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6411" windowHeight="12995" activeTab="1"/>
  </bookViews>
  <sheets>
    <sheet name="Device" sheetId="13" r:id="rId1"/>
    <sheet name="Axis" sheetId="14" r:id="rId2"/>
    <sheet name="Unit" sheetId="15" r:id="rId3"/>
    <sheet name="Sheet2" sheetId="16" state="hidden" r:id="rId4"/>
    <sheet name="Sheet1" sheetId="17" state="hidden" r:id="rId5"/>
  </sheets>
  <definedNames>
    <definedName name="_xlnm._FilterDatabase" localSheetId="0" hidden="1">Device!$D$1:$P$295</definedName>
    <definedName name="_xlnm._FilterDatabase" localSheetId="1" hidden="1">Axis!$A$2:$R$543</definedName>
  </definedNames>
  <calcPr calcId="144525"/>
</workbook>
</file>

<file path=xl/sharedStrings.xml><?xml version="1.0" encoding="utf-8"?>
<sst xmlns="http://schemas.openxmlformats.org/spreadsheetml/2006/main" count="7802" uniqueCount="1293">
  <si>
    <r>
      <rPr>
        <b/>
        <sz val="10"/>
        <color theme="1"/>
        <rFont val="宋体"/>
        <charset val="134"/>
      </rPr>
      <t>组</t>
    </r>
  </si>
  <si>
    <r>
      <rPr>
        <b/>
        <sz val="10"/>
        <color theme="1"/>
        <rFont val="宋体"/>
        <charset val="134"/>
      </rPr>
      <t>参数</t>
    </r>
  </si>
  <si>
    <r>
      <rPr>
        <b/>
        <sz val="10"/>
        <color theme="1"/>
        <rFont val="宋体"/>
        <charset val="134"/>
      </rPr>
      <t>序号</t>
    </r>
  </si>
  <si>
    <r>
      <rPr>
        <b/>
        <sz val="10"/>
        <color theme="1"/>
        <rFont val="宋体"/>
        <charset val="134"/>
      </rPr>
      <t>名称</t>
    </r>
  </si>
  <si>
    <r>
      <rPr>
        <b/>
        <sz val="10"/>
        <color theme="1"/>
        <rFont val="宋体"/>
        <charset val="134"/>
      </rPr>
      <t>描述</t>
    </r>
  </si>
  <si>
    <r>
      <rPr>
        <b/>
        <sz val="10"/>
        <color theme="1"/>
        <rFont val="宋体"/>
        <charset val="134"/>
      </rPr>
      <t>地址</t>
    </r>
  </si>
  <si>
    <r>
      <rPr>
        <b/>
        <sz val="10"/>
        <color theme="1"/>
        <rFont val="宋体"/>
        <charset val="134"/>
      </rPr>
      <t>类型</t>
    </r>
  </si>
  <si>
    <r>
      <rPr>
        <b/>
        <sz val="10"/>
        <color theme="1"/>
        <rFont val="宋体"/>
        <charset val="134"/>
      </rPr>
      <t>默认值</t>
    </r>
  </si>
  <si>
    <t>下限值</t>
  </si>
  <si>
    <t>上限值</t>
  </si>
  <si>
    <r>
      <rPr>
        <b/>
        <sz val="10"/>
        <color theme="1"/>
        <rFont val="宋体"/>
        <charset val="134"/>
      </rPr>
      <t>属性</t>
    </r>
  </si>
  <si>
    <r>
      <rPr>
        <b/>
        <sz val="10"/>
        <color theme="1"/>
        <rFont val="宋体"/>
        <charset val="134"/>
      </rPr>
      <t>对象字典</t>
    </r>
  </si>
  <si>
    <r>
      <rPr>
        <b/>
        <sz val="10"/>
        <color theme="1"/>
        <rFont val="宋体"/>
        <charset val="134"/>
      </rPr>
      <t>参数名（中文）</t>
    </r>
  </si>
  <si>
    <r>
      <rPr>
        <b/>
        <sz val="10"/>
        <color theme="1"/>
        <rFont val="宋体"/>
        <charset val="134"/>
      </rPr>
      <t>值说明（中文）</t>
    </r>
  </si>
  <si>
    <r>
      <rPr>
        <b/>
        <sz val="10"/>
        <color theme="1"/>
        <rFont val="宋体"/>
        <charset val="134"/>
      </rPr>
      <t>物理单位</t>
    </r>
  </si>
  <si>
    <r>
      <rPr>
        <b/>
        <sz val="10"/>
        <color theme="1"/>
        <rFont val="宋体"/>
        <charset val="134"/>
      </rPr>
      <t>读写模式</t>
    </r>
  </si>
  <si>
    <r>
      <rPr>
        <b/>
        <sz val="10"/>
        <color theme="1"/>
        <rFont val="宋体"/>
        <charset val="134"/>
      </rPr>
      <t>同步模式</t>
    </r>
  </si>
  <si>
    <r>
      <rPr>
        <b/>
        <sz val="10"/>
        <color theme="1"/>
        <rFont val="宋体"/>
        <charset val="134"/>
      </rPr>
      <t>访问权限</t>
    </r>
  </si>
  <si>
    <t>DrvSche</t>
  </si>
  <si>
    <r>
      <rPr>
        <sz val="10"/>
        <color theme="1"/>
        <rFont val="宋体"/>
        <charset val="134"/>
      </rPr>
      <t>驱动器方案</t>
    </r>
  </si>
  <si>
    <t>u32</t>
  </si>
  <si>
    <t>u32DrvScheme</t>
  </si>
  <si>
    <t>12345678</t>
  </si>
  <si>
    <t>0</t>
  </si>
  <si>
    <t>U32_MAX</t>
  </si>
  <si>
    <t>-</t>
  </si>
  <si>
    <r>
      <rPr>
        <sz val="10"/>
        <color theme="1"/>
        <rFont val="宋体"/>
        <charset val="134"/>
      </rPr>
      <t>只读</t>
    </r>
  </si>
  <si>
    <r>
      <rPr>
        <sz val="10"/>
        <color theme="1"/>
        <rFont val="宋体"/>
        <charset val="134"/>
      </rPr>
      <t>允许保存，可恢复</t>
    </r>
  </si>
  <si>
    <t>Anyone</t>
  </si>
  <si>
    <t>u32McuSwBuildDate</t>
  </si>
  <si>
    <r>
      <rPr>
        <sz val="10"/>
        <color theme="1"/>
        <rFont val="宋体"/>
        <charset val="134"/>
      </rPr>
      <t>不允许保存，不可恢复</t>
    </r>
  </si>
  <si>
    <r>
      <rPr>
        <sz val="10"/>
        <color theme="1"/>
        <rFont val="宋体"/>
        <charset val="134"/>
      </rPr>
      <t>软件构建日期</t>
    </r>
  </si>
  <si>
    <t>u32McuSwBuildTime</t>
  </si>
  <si>
    <r>
      <rPr>
        <sz val="10"/>
        <color theme="1"/>
        <rFont val="宋体"/>
        <charset val="134"/>
      </rPr>
      <t>软件构建时间</t>
    </r>
  </si>
  <si>
    <t>u16</t>
  </si>
  <si>
    <t>U16_MAX</t>
  </si>
  <si>
    <t>u16CurSampType</t>
  </si>
  <si>
    <r>
      <rPr>
        <sz val="10"/>
        <color theme="1"/>
        <rFont val="宋体"/>
        <charset val="134"/>
      </rPr>
      <t>电流采样类型</t>
    </r>
  </si>
  <si>
    <t>u16AxisNum</t>
  </si>
  <si>
    <t>1</t>
  </si>
  <si>
    <r>
      <rPr>
        <sz val="10"/>
        <color theme="1"/>
        <rFont val="宋体"/>
        <charset val="134"/>
      </rPr>
      <t>轴数量</t>
    </r>
  </si>
  <si>
    <t>u16LedNum</t>
  </si>
  <si>
    <t>2</t>
  </si>
  <si>
    <r>
      <rPr>
        <sz val="10"/>
        <color theme="1"/>
        <rFont val="宋体"/>
        <charset val="134"/>
      </rPr>
      <t>指示灯个数</t>
    </r>
  </si>
  <si>
    <t>u16KeyNum</t>
  </si>
  <si>
    <t>3</t>
  </si>
  <si>
    <r>
      <rPr>
        <sz val="10"/>
        <color theme="1"/>
        <rFont val="宋体"/>
        <charset val="134"/>
      </rPr>
      <t>按键个数</t>
    </r>
  </si>
  <si>
    <t>u16ExtDiNum</t>
  </si>
  <si>
    <r>
      <rPr>
        <sz val="10"/>
        <color theme="1"/>
        <rFont val="宋体"/>
        <charset val="134"/>
      </rPr>
      <t>外部数字量输入个数</t>
    </r>
  </si>
  <si>
    <t>u16ExtDoNum</t>
  </si>
  <si>
    <r>
      <rPr>
        <sz val="10"/>
        <color theme="1"/>
        <rFont val="宋体"/>
        <charset val="134"/>
      </rPr>
      <t>外部数字量输出个数</t>
    </r>
  </si>
  <si>
    <t>u16ExtHDiNum</t>
  </si>
  <si>
    <r>
      <rPr>
        <sz val="10"/>
        <color theme="1"/>
        <rFont val="宋体"/>
        <charset val="134"/>
      </rPr>
      <t>外部高速数字量输入个数</t>
    </r>
  </si>
  <si>
    <t>u16ExtHDoNum</t>
  </si>
  <si>
    <r>
      <rPr>
        <sz val="10"/>
        <color theme="1"/>
        <rFont val="宋体"/>
        <charset val="134"/>
      </rPr>
      <t>外部高速数字量输出个数</t>
    </r>
  </si>
  <si>
    <t>u16ExtAiNum</t>
  </si>
  <si>
    <r>
      <rPr>
        <sz val="10"/>
        <color theme="1"/>
        <rFont val="宋体"/>
        <charset val="134"/>
      </rPr>
      <t>外部模拟量输入个数</t>
    </r>
  </si>
  <si>
    <t>u16ExtAoNum</t>
  </si>
  <si>
    <r>
      <rPr>
        <sz val="10"/>
        <color theme="1"/>
        <rFont val="宋体"/>
        <charset val="134"/>
      </rPr>
      <t>外部模拟量输出个数</t>
    </r>
  </si>
  <si>
    <t>u16TsNum</t>
  </si>
  <si>
    <r>
      <rPr>
        <sz val="10"/>
        <color theme="1"/>
        <rFont val="宋体"/>
        <charset val="134"/>
      </rPr>
      <t>温度采样个数</t>
    </r>
  </si>
  <si>
    <t>u16SysPwd</t>
  </si>
  <si>
    <r>
      <rPr>
        <sz val="10"/>
        <color theme="1"/>
        <rFont val="宋体"/>
        <charset val="134"/>
      </rPr>
      <t>读写</t>
    </r>
    <r>
      <rPr>
        <sz val="10"/>
        <color theme="1"/>
        <rFont val="Consolas"/>
        <charset val="134"/>
      </rPr>
      <t xml:space="preserve"> - </t>
    </r>
    <r>
      <rPr>
        <sz val="10"/>
        <color theme="1"/>
        <rFont val="宋体"/>
        <charset val="134"/>
      </rPr>
      <t>立即更改，立即生效</t>
    </r>
  </si>
  <si>
    <r>
      <rPr>
        <sz val="10"/>
        <color theme="1"/>
        <rFont val="宋体"/>
        <charset val="134"/>
      </rPr>
      <t>系统密码</t>
    </r>
  </si>
  <si>
    <t>u16SysAccess</t>
  </si>
  <si>
    <r>
      <rPr>
        <sz val="10"/>
        <color theme="1"/>
        <rFont val="宋体"/>
        <charset val="134"/>
      </rPr>
      <t>当前系统权限</t>
    </r>
  </si>
  <si>
    <t>0-Admin;
1-User;
2-Anyone;</t>
  </si>
  <si>
    <t>bSysRst</t>
  </si>
  <si>
    <r>
      <rPr>
        <sz val="10"/>
        <color theme="1"/>
        <rFont val="宋体"/>
        <charset val="134"/>
      </rPr>
      <t>读写</t>
    </r>
    <r>
      <rPr>
        <sz val="10"/>
        <color theme="1"/>
        <rFont val="Consolas"/>
        <charset val="134"/>
      </rPr>
      <t xml:space="preserve"> - </t>
    </r>
    <r>
      <rPr>
        <sz val="10"/>
        <color theme="1"/>
        <rFont val="宋体"/>
        <charset val="134"/>
      </rPr>
      <t>停机更改，立即生效</t>
    </r>
  </si>
  <si>
    <r>
      <rPr>
        <sz val="10"/>
        <color theme="1"/>
        <rFont val="宋体"/>
        <charset val="134"/>
      </rPr>
      <t>系统软复位</t>
    </r>
  </si>
  <si>
    <r>
      <rPr>
        <sz val="10"/>
        <color theme="1"/>
        <rFont val="宋体"/>
        <charset val="134"/>
      </rPr>
      <t>上升沿触发</t>
    </r>
  </si>
  <si>
    <t>u16UmdcHwCoeff</t>
  </si>
  <si>
    <t>363</t>
  </si>
  <si>
    <r>
      <rPr>
        <sz val="10"/>
        <color theme="1"/>
        <rFont val="宋体"/>
        <charset val="134"/>
      </rPr>
      <t>允许保存，不可恢复</t>
    </r>
  </si>
  <si>
    <t>Admin</t>
  </si>
  <si>
    <r>
      <rPr>
        <sz val="10"/>
        <color theme="1"/>
        <rFont val="宋体"/>
        <charset val="134"/>
      </rPr>
      <t>主回路电压采样系数</t>
    </r>
  </si>
  <si>
    <r>
      <rPr>
        <sz val="10"/>
        <color theme="1"/>
        <rFont val="宋体"/>
        <charset val="134"/>
      </rPr>
      <t>分压系数</t>
    </r>
    <r>
      <rPr>
        <sz val="10"/>
        <color theme="1"/>
        <rFont val="Consolas"/>
        <charset val="134"/>
      </rPr>
      <t>: 11</t>
    </r>
    <r>
      <rPr>
        <sz val="10"/>
        <color theme="1"/>
        <rFont val="宋体"/>
        <charset val="134"/>
      </rPr>
      <t>。参考电压</t>
    </r>
    <r>
      <rPr>
        <sz val="10"/>
        <color theme="1"/>
        <rFont val="Consolas"/>
        <charset val="134"/>
      </rPr>
      <t xml:space="preserve"> 33 (0.1V)</t>
    </r>
    <r>
      <rPr>
        <sz val="10"/>
        <color theme="1"/>
        <rFont val="宋体"/>
        <charset val="134"/>
      </rPr>
      <t>。</t>
    </r>
  </si>
  <si>
    <t>u16UcdcHwCoeff</t>
  </si>
  <si>
    <r>
      <rPr>
        <sz val="10"/>
        <color theme="1"/>
        <rFont val="宋体"/>
        <charset val="134"/>
      </rPr>
      <t>控制电电压采样系数</t>
    </r>
  </si>
  <si>
    <t>u16Uai0HwCoeff</t>
  </si>
  <si>
    <r>
      <rPr>
        <sz val="10"/>
        <color theme="1"/>
        <rFont val="宋体"/>
        <charset val="134"/>
      </rPr>
      <t>模拟量输入</t>
    </r>
    <r>
      <rPr>
        <sz val="10"/>
        <color theme="1"/>
        <rFont val="Consolas"/>
        <charset val="134"/>
      </rPr>
      <t>AI0</t>
    </r>
    <r>
      <rPr>
        <sz val="10"/>
        <color theme="1"/>
        <rFont val="宋体"/>
        <charset val="134"/>
      </rPr>
      <t>采样系数</t>
    </r>
  </si>
  <si>
    <t>u16Uai1HwCoeff</t>
  </si>
  <si>
    <r>
      <rPr>
        <sz val="10"/>
        <color theme="1"/>
        <rFont val="宋体"/>
        <charset val="134"/>
      </rPr>
      <t>模拟量输入</t>
    </r>
    <r>
      <rPr>
        <sz val="10"/>
        <color theme="1"/>
        <rFont val="Consolas"/>
        <charset val="134"/>
      </rPr>
      <t>AI1</t>
    </r>
    <r>
      <rPr>
        <sz val="10"/>
        <color theme="1"/>
        <rFont val="宋体"/>
        <charset val="134"/>
      </rPr>
      <t>采样系数</t>
    </r>
  </si>
  <si>
    <t>u16Uai2HwCoeff</t>
  </si>
  <si>
    <r>
      <rPr>
        <sz val="10"/>
        <color theme="1"/>
        <rFont val="宋体"/>
        <charset val="134"/>
      </rPr>
      <t>模拟量输入</t>
    </r>
    <r>
      <rPr>
        <sz val="10"/>
        <color theme="1"/>
        <rFont val="Consolas"/>
        <charset val="134"/>
      </rPr>
      <t>AI2</t>
    </r>
    <r>
      <rPr>
        <sz val="10"/>
        <color theme="1"/>
        <rFont val="宋体"/>
        <charset val="134"/>
      </rPr>
      <t>采样系数</t>
    </r>
  </si>
  <si>
    <t>u16InvtTempHwCoeff</t>
  </si>
  <si>
    <r>
      <rPr>
        <sz val="10"/>
        <color theme="1"/>
        <rFont val="宋体"/>
        <charset val="134"/>
      </rPr>
      <t>逆变桥温度采样系数</t>
    </r>
  </si>
  <si>
    <t>u16UmdcZoom</t>
  </si>
  <si>
    <t>1000</t>
  </si>
  <si>
    <t>‰</t>
  </si>
  <si>
    <r>
      <rPr>
        <sz val="10"/>
        <color theme="1"/>
        <rFont val="宋体"/>
        <charset val="134"/>
      </rPr>
      <t>主回路电压采样缩放系数</t>
    </r>
  </si>
  <si>
    <t>s16</t>
  </si>
  <si>
    <t>s16UmdcOffset</t>
  </si>
  <si>
    <t>S16_MIN</t>
  </si>
  <si>
    <t>S16_MAX</t>
  </si>
  <si>
    <r>
      <rPr>
        <sz val="10"/>
        <color theme="1"/>
        <rFont val="宋体"/>
        <charset val="134"/>
      </rPr>
      <t>主回路电压采样偏置</t>
    </r>
  </si>
  <si>
    <t>u16UcdcZoom</t>
  </si>
  <si>
    <r>
      <rPr>
        <sz val="10"/>
        <color theme="1"/>
        <rFont val="宋体"/>
        <charset val="134"/>
      </rPr>
      <t>控制电电压采样缩放系数</t>
    </r>
  </si>
  <si>
    <t>s16UcdcOffset</t>
  </si>
  <si>
    <r>
      <rPr>
        <sz val="10"/>
        <color theme="1"/>
        <rFont val="宋体"/>
        <charset val="134"/>
      </rPr>
      <t>控制电电压采样偏置</t>
    </r>
  </si>
  <si>
    <t>u16Uai0Zoom</t>
  </si>
  <si>
    <r>
      <rPr>
        <sz val="10"/>
        <color theme="1"/>
        <rFont val="宋体"/>
        <charset val="134"/>
      </rPr>
      <t>模拟量输入</t>
    </r>
    <r>
      <rPr>
        <sz val="10"/>
        <color theme="1"/>
        <rFont val="Consolas"/>
        <charset val="134"/>
      </rPr>
      <t>AI0</t>
    </r>
    <r>
      <rPr>
        <sz val="10"/>
        <color theme="1"/>
        <rFont val="宋体"/>
        <charset val="134"/>
      </rPr>
      <t>采样缩放系数</t>
    </r>
  </si>
  <si>
    <t>s16Uai0Offset</t>
  </si>
  <si>
    <r>
      <rPr>
        <sz val="10"/>
        <color theme="1"/>
        <rFont val="宋体"/>
        <charset val="134"/>
      </rPr>
      <t>模拟量输入</t>
    </r>
    <r>
      <rPr>
        <sz val="10"/>
        <color theme="1"/>
        <rFont val="Consolas"/>
        <charset val="134"/>
      </rPr>
      <t>AI0</t>
    </r>
    <r>
      <rPr>
        <sz val="10"/>
        <color theme="1"/>
        <rFont val="宋体"/>
        <charset val="134"/>
      </rPr>
      <t>采样偏置</t>
    </r>
  </si>
  <si>
    <t>u16Uai0DeadZone</t>
  </si>
  <si>
    <r>
      <rPr>
        <sz val="10"/>
        <color theme="1"/>
        <rFont val="宋体"/>
        <charset val="134"/>
      </rPr>
      <t>模拟量输入</t>
    </r>
    <r>
      <rPr>
        <sz val="10"/>
        <color theme="1"/>
        <rFont val="Consolas"/>
        <charset val="134"/>
      </rPr>
      <t>AI0</t>
    </r>
    <r>
      <rPr>
        <sz val="10"/>
        <color theme="1"/>
        <rFont val="宋体"/>
        <charset val="134"/>
      </rPr>
      <t>输入死区</t>
    </r>
  </si>
  <si>
    <t>u16Uai1Zoom</t>
  </si>
  <si>
    <r>
      <rPr>
        <sz val="10"/>
        <color theme="1"/>
        <rFont val="宋体"/>
        <charset val="134"/>
      </rPr>
      <t>模拟量输入</t>
    </r>
    <r>
      <rPr>
        <sz val="10"/>
        <color theme="1"/>
        <rFont val="Consolas"/>
        <charset val="134"/>
      </rPr>
      <t>AI1</t>
    </r>
    <r>
      <rPr>
        <sz val="10"/>
        <color theme="1"/>
        <rFont val="宋体"/>
        <charset val="134"/>
      </rPr>
      <t>采样缩放系数</t>
    </r>
  </si>
  <si>
    <t>s16Uai1Offset</t>
  </si>
  <si>
    <r>
      <rPr>
        <sz val="10"/>
        <color theme="1"/>
        <rFont val="宋体"/>
        <charset val="134"/>
      </rPr>
      <t>模拟量输入</t>
    </r>
    <r>
      <rPr>
        <sz val="10"/>
        <color theme="1"/>
        <rFont val="Consolas"/>
        <charset val="134"/>
      </rPr>
      <t>AI1</t>
    </r>
    <r>
      <rPr>
        <sz val="10"/>
        <color theme="1"/>
        <rFont val="宋体"/>
        <charset val="134"/>
      </rPr>
      <t>采样偏置</t>
    </r>
  </si>
  <si>
    <t>u16Uai1DeadZone</t>
  </si>
  <si>
    <r>
      <rPr>
        <sz val="10"/>
        <color theme="1"/>
        <rFont val="宋体"/>
        <charset val="134"/>
      </rPr>
      <t>模拟量输入</t>
    </r>
    <r>
      <rPr>
        <sz val="10"/>
        <color theme="1"/>
        <rFont val="Consolas"/>
        <charset val="134"/>
      </rPr>
      <t>AI1</t>
    </r>
    <r>
      <rPr>
        <sz val="10"/>
        <color theme="1"/>
        <rFont val="宋体"/>
        <charset val="134"/>
      </rPr>
      <t>输入死区</t>
    </r>
  </si>
  <si>
    <t>u16Uai2Zoom</t>
  </si>
  <si>
    <r>
      <rPr>
        <sz val="10"/>
        <color theme="1"/>
        <rFont val="宋体"/>
        <charset val="134"/>
      </rPr>
      <t>模拟量输入</t>
    </r>
    <r>
      <rPr>
        <sz val="10"/>
        <color theme="1"/>
        <rFont val="Consolas"/>
        <charset val="134"/>
      </rPr>
      <t>AI2</t>
    </r>
    <r>
      <rPr>
        <sz val="10"/>
        <color theme="1"/>
        <rFont val="宋体"/>
        <charset val="134"/>
      </rPr>
      <t>采样缩放系数</t>
    </r>
  </si>
  <si>
    <t>s16Uai2Offset</t>
  </si>
  <si>
    <r>
      <rPr>
        <sz val="10"/>
        <color theme="1"/>
        <rFont val="宋体"/>
        <charset val="134"/>
      </rPr>
      <t>模拟量输入</t>
    </r>
    <r>
      <rPr>
        <sz val="10"/>
        <color theme="1"/>
        <rFont val="Consolas"/>
        <charset val="134"/>
      </rPr>
      <t>AI2</t>
    </r>
    <r>
      <rPr>
        <sz val="10"/>
        <color theme="1"/>
        <rFont val="宋体"/>
        <charset val="134"/>
      </rPr>
      <t>采样偏置</t>
    </r>
  </si>
  <si>
    <t>u16Uai2DeadZone</t>
  </si>
  <si>
    <r>
      <rPr>
        <sz val="10"/>
        <color theme="1"/>
        <rFont val="宋体"/>
        <charset val="134"/>
      </rPr>
      <t>模拟量输入</t>
    </r>
    <r>
      <rPr>
        <sz val="10"/>
        <color theme="1"/>
        <rFont val="Consolas"/>
        <charset val="134"/>
      </rPr>
      <t>AI2</t>
    </r>
    <r>
      <rPr>
        <sz val="10"/>
        <color theme="1"/>
        <rFont val="宋体"/>
        <charset val="134"/>
      </rPr>
      <t>输入死区</t>
    </r>
  </si>
  <si>
    <t>u16TempInvtZoom</t>
  </si>
  <si>
    <r>
      <rPr>
        <sz val="10"/>
        <color theme="1"/>
        <rFont val="宋体"/>
        <charset val="134"/>
      </rPr>
      <t>逆变桥温度采样缩放系数</t>
    </r>
  </si>
  <si>
    <t>s16TempInvtOffset</t>
  </si>
  <si>
    <r>
      <rPr>
        <sz val="10"/>
        <color theme="1"/>
        <rFont val="宋体"/>
        <charset val="134"/>
      </rPr>
      <t>逆变桥温度采样偏置</t>
    </r>
  </si>
  <si>
    <t>u16DrvCurRate</t>
  </si>
  <si>
    <t>96</t>
  </si>
  <si>
    <t>0.01A</t>
  </si>
  <si>
    <t>驱动器额定电流</t>
  </si>
  <si>
    <t>额定电流(瞬时值)=最大电流(有效值)/过载倍数/sqrt2.
Irate=540/4/1.414=96</t>
  </si>
  <si>
    <t>u16UmdcErrOVSi</t>
  </si>
  <si>
    <t>200</t>
  </si>
  <si>
    <t>0.1V</t>
  </si>
  <si>
    <t>直流母线过压故障值</t>
  </si>
  <si>
    <t>u16UmdcErrUVSi</t>
  </si>
  <si>
    <t>50</t>
  </si>
  <si>
    <t>直流母线欠压故障值</t>
  </si>
  <si>
    <t>u16UmdcWrnUVSi</t>
  </si>
  <si>
    <t>80</t>
  </si>
  <si>
    <t>直流母线欠压警告值</t>
  </si>
  <si>
    <t>u16UmdcRlyOnSi</t>
  </si>
  <si>
    <t>直流母线缓起继电器吸合值</t>
  </si>
  <si>
    <t>u16UmdcRgOnSi</t>
  </si>
  <si>
    <t>150</t>
  </si>
  <si>
    <t>直流母线再生电阻放电电压值</t>
  </si>
  <si>
    <t>u16CarryFreq</t>
  </si>
  <si>
    <t>8000</t>
  </si>
  <si>
    <t>Hz</t>
  </si>
  <si>
    <r>
      <rPr>
        <sz val="10"/>
        <color theme="1"/>
        <rFont val="宋体"/>
        <charset val="134"/>
      </rPr>
      <t>载波频率</t>
    </r>
  </si>
  <si>
    <t>u16PosLoopFreq</t>
  </si>
  <si>
    <t>4000</t>
  </si>
  <si>
    <r>
      <rPr>
        <sz val="10"/>
        <color theme="1"/>
        <rFont val="宋体"/>
        <charset val="134"/>
      </rPr>
      <t>位置环频率</t>
    </r>
  </si>
  <si>
    <t>u16SpdLoopFreq</t>
  </si>
  <si>
    <r>
      <rPr>
        <sz val="10"/>
        <color theme="1"/>
        <rFont val="宋体"/>
        <charset val="134"/>
      </rPr>
      <t>速度环频率</t>
    </r>
  </si>
  <si>
    <t>u16CurLoopFreq</t>
  </si>
  <si>
    <r>
      <rPr>
        <sz val="10"/>
        <color theme="1"/>
        <rFont val="宋体"/>
        <charset val="134"/>
      </rPr>
      <t>电流环频率</t>
    </r>
  </si>
  <si>
    <t>Comm</t>
  </si>
  <si>
    <r>
      <rPr>
        <sz val="10"/>
        <color theme="1"/>
        <rFont val="宋体"/>
        <charset val="134"/>
      </rPr>
      <t>通讯交互</t>
    </r>
  </si>
  <si>
    <t>u16MbSlvId</t>
  </si>
  <si>
    <t>247</t>
  </si>
  <si>
    <r>
      <rPr>
        <sz val="10"/>
        <color theme="1"/>
        <rFont val="宋体"/>
        <charset val="134"/>
      </rPr>
      <t>读写</t>
    </r>
    <r>
      <rPr>
        <sz val="10"/>
        <color theme="1"/>
        <rFont val="Consolas"/>
        <charset val="134"/>
      </rPr>
      <t xml:space="preserve"> - </t>
    </r>
    <r>
      <rPr>
        <sz val="10"/>
        <color theme="1"/>
        <rFont val="宋体"/>
        <charset val="134"/>
      </rPr>
      <t>立即更改，重启生效</t>
    </r>
  </si>
  <si>
    <r>
      <rPr>
        <sz val="10"/>
        <color theme="1"/>
        <rFont val="Consolas"/>
        <charset val="134"/>
      </rPr>
      <t>Modbus-</t>
    </r>
    <r>
      <rPr>
        <sz val="10"/>
        <color theme="1"/>
        <rFont val="宋体"/>
        <charset val="134"/>
      </rPr>
      <t>从站节点</t>
    </r>
    <r>
      <rPr>
        <sz val="10"/>
        <color theme="1"/>
        <rFont val="Consolas"/>
        <charset val="134"/>
      </rPr>
      <t>ID</t>
    </r>
  </si>
  <si>
    <t>u32MbBaudrate</t>
  </si>
  <si>
    <t>19200</t>
  </si>
  <si>
    <t>1000000</t>
  </si>
  <si>
    <r>
      <rPr>
        <sz val="10"/>
        <color theme="1"/>
        <rFont val="Consolas"/>
        <charset val="134"/>
      </rPr>
      <t>Modbus-</t>
    </r>
    <r>
      <rPr>
        <sz val="10"/>
        <color theme="1"/>
        <rFont val="宋体"/>
        <charset val="134"/>
      </rPr>
      <t>从站波特率</t>
    </r>
  </si>
  <si>
    <t>u16MbParity</t>
  </si>
  <si>
    <r>
      <rPr>
        <sz val="10"/>
        <color theme="1"/>
        <rFont val="Consolas"/>
        <charset val="134"/>
      </rPr>
      <t>Modbus-</t>
    </r>
    <r>
      <rPr>
        <sz val="10"/>
        <color theme="1"/>
        <rFont val="宋体"/>
        <charset val="134"/>
      </rPr>
      <t>从站检验位</t>
    </r>
  </si>
  <si>
    <r>
      <rPr>
        <sz val="10"/>
        <color theme="1"/>
        <rFont val="Consolas"/>
        <charset val="134"/>
      </rPr>
      <t>0-</t>
    </r>
    <r>
      <rPr>
        <sz val="10"/>
        <color theme="1"/>
        <rFont val="宋体"/>
        <charset val="134"/>
      </rPr>
      <t>无校验</t>
    </r>
    <r>
      <rPr>
        <sz val="10"/>
        <color theme="1"/>
        <rFont val="Consolas"/>
        <charset val="134"/>
      </rPr>
      <t>;
1-</t>
    </r>
    <r>
      <rPr>
        <sz val="10"/>
        <color theme="1"/>
        <rFont val="宋体"/>
        <charset val="134"/>
      </rPr>
      <t>奇校验</t>
    </r>
    <r>
      <rPr>
        <sz val="10"/>
        <color theme="1"/>
        <rFont val="Consolas"/>
        <charset val="134"/>
      </rPr>
      <t>;
2-</t>
    </r>
    <r>
      <rPr>
        <sz val="10"/>
        <color theme="1"/>
        <rFont val="宋体"/>
        <charset val="134"/>
      </rPr>
      <t>偶校验</t>
    </r>
  </si>
  <si>
    <t>u16MbMstEndian</t>
  </si>
  <si>
    <r>
      <rPr>
        <sz val="10"/>
        <color theme="1"/>
        <rFont val="Consolas"/>
        <charset val="134"/>
      </rPr>
      <t>Modbus-</t>
    </r>
    <r>
      <rPr>
        <sz val="10"/>
        <color theme="1"/>
        <rFont val="宋体"/>
        <charset val="134"/>
      </rPr>
      <t>主站大小端</t>
    </r>
  </si>
  <si>
    <r>
      <rPr>
        <sz val="10"/>
        <color theme="1"/>
        <rFont val="Consolas"/>
        <charset val="134"/>
      </rPr>
      <t>0-</t>
    </r>
    <r>
      <rPr>
        <sz val="10"/>
        <color theme="1"/>
        <rFont val="宋体"/>
        <charset val="134"/>
      </rPr>
      <t>小端</t>
    </r>
    <r>
      <rPr>
        <sz val="10"/>
        <color theme="1"/>
        <rFont val="Consolas"/>
        <charset val="134"/>
      </rPr>
      <t>;
1-</t>
    </r>
    <r>
      <rPr>
        <sz val="10"/>
        <color theme="1"/>
        <rFont val="宋体"/>
        <charset val="134"/>
      </rPr>
      <t>大端</t>
    </r>
    <r>
      <rPr>
        <sz val="10"/>
        <color theme="1"/>
        <rFont val="Consolas"/>
        <charset val="134"/>
      </rPr>
      <t>;</t>
    </r>
  </si>
  <si>
    <t>u16MbDisconnTime</t>
  </si>
  <si>
    <t>5000</t>
  </si>
  <si>
    <t>U16_MIN</t>
  </si>
  <si>
    <t>ms</t>
  </si>
  <si>
    <r>
      <rPr>
        <sz val="10"/>
        <color theme="1"/>
        <rFont val="Consolas"/>
        <charset val="134"/>
      </rPr>
      <t>Modbus-</t>
    </r>
    <r>
      <rPr>
        <sz val="10"/>
        <color theme="1"/>
        <rFont val="宋体"/>
        <charset val="134"/>
      </rPr>
      <t>通讯断开检测时间</t>
    </r>
  </si>
  <si>
    <t>u16MbResponseDelay</t>
  </si>
  <si>
    <r>
      <rPr>
        <sz val="10"/>
        <color theme="1"/>
        <rFont val="Consolas"/>
        <charset val="134"/>
      </rPr>
      <t>Modbus-</t>
    </r>
    <r>
      <rPr>
        <sz val="10"/>
        <color theme="1"/>
        <rFont val="宋体"/>
        <charset val="134"/>
      </rPr>
      <t>命令响应延时</t>
    </r>
    <r>
      <rPr>
        <sz val="10"/>
        <color theme="1"/>
        <rFont val="Consolas"/>
        <charset val="134"/>
      </rPr>
      <t xml:space="preserve"> </t>
    </r>
  </si>
  <si>
    <t>u16CopNodeId</t>
  </si>
  <si>
    <t>127</t>
  </si>
  <si>
    <r>
      <rPr>
        <sz val="10"/>
        <color theme="1"/>
        <rFont val="Consolas"/>
        <charset val="134"/>
      </rPr>
      <t>CANopen-</t>
    </r>
    <r>
      <rPr>
        <sz val="10"/>
        <color theme="1"/>
        <rFont val="宋体"/>
        <charset val="134"/>
      </rPr>
      <t>节点</t>
    </r>
    <r>
      <rPr>
        <sz val="10"/>
        <color theme="1"/>
        <rFont val="Consolas"/>
        <charset val="134"/>
      </rPr>
      <t>ID</t>
    </r>
  </si>
  <si>
    <t>u16CopBitrate</t>
  </si>
  <si>
    <r>
      <rPr>
        <sz val="10"/>
        <color theme="1"/>
        <rFont val="Consolas"/>
        <charset val="134"/>
      </rPr>
      <t>CANopen-</t>
    </r>
    <r>
      <rPr>
        <sz val="10"/>
        <color theme="1"/>
        <rFont val="宋体"/>
        <charset val="134"/>
      </rPr>
      <t>比特率</t>
    </r>
  </si>
  <si>
    <t>u16PdoInhTime</t>
  </si>
  <si>
    <t>100</t>
  </si>
  <si>
    <r>
      <rPr>
        <sz val="10"/>
        <color theme="1"/>
        <rFont val="Consolas"/>
        <charset val="134"/>
      </rPr>
      <t>CANopen-PDO</t>
    </r>
    <r>
      <rPr>
        <sz val="10"/>
        <color theme="1"/>
        <rFont val="宋体"/>
        <charset val="134"/>
      </rPr>
      <t>禁止时间</t>
    </r>
  </si>
  <si>
    <t>u16CopState</t>
  </si>
  <si>
    <r>
      <rPr>
        <sz val="10"/>
        <color theme="1"/>
        <rFont val="Consolas"/>
        <charset val="134"/>
      </rPr>
      <t>CANopen-</t>
    </r>
    <r>
      <rPr>
        <sz val="10"/>
        <color theme="1"/>
        <rFont val="宋体"/>
        <charset val="134"/>
      </rPr>
      <t>通信状态</t>
    </r>
  </si>
  <si>
    <t>u16EcatScanPrd</t>
  </si>
  <si>
    <r>
      <rPr>
        <sz val="10"/>
        <color theme="1"/>
        <rFont val="Consolas"/>
        <charset val="134"/>
      </rPr>
      <t>EtherCAT-</t>
    </r>
    <r>
      <rPr>
        <sz val="10"/>
        <color theme="1"/>
        <rFont val="宋体"/>
        <charset val="134"/>
      </rPr>
      <t>通信状态</t>
    </r>
  </si>
  <si>
    <t>u16EcatState</t>
  </si>
  <si>
    <r>
      <rPr>
        <sz val="10"/>
        <color theme="1"/>
        <rFont val="Consolas"/>
        <charset val="134"/>
      </rPr>
      <t>EtherCAT-Port0</t>
    </r>
    <r>
      <rPr>
        <sz val="10"/>
        <color theme="1"/>
        <rFont val="宋体"/>
        <charset val="134"/>
      </rPr>
      <t>错误统计</t>
    </r>
  </si>
  <si>
    <t>u16EcatPort0ErrCnt</t>
  </si>
  <si>
    <r>
      <rPr>
        <sz val="10"/>
        <color theme="1"/>
        <rFont val="Consolas"/>
        <charset val="134"/>
      </rPr>
      <t>EtherCAT-Port1</t>
    </r>
    <r>
      <rPr>
        <sz val="10"/>
        <color theme="1"/>
        <rFont val="宋体"/>
        <charset val="134"/>
      </rPr>
      <t>错误统计</t>
    </r>
  </si>
  <si>
    <t>u16EcatPort1ErrCnt</t>
  </si>
  <si>
    <r>
      <rPr>
        <sz val="10"/>
        <color theme="1"/>
        <rFont val="Consolas"/>
        <charset val="134"/>
      </rPr>
      <t>EtherCAT-</t>
    </r>
    <r>
      <rPr>
        <sz val="10"/>
        <color theme="1"/>
        <rFont val="宋体"/>
        <charset val="134"/>
      </rPr>
      <t>接收错误统计</t>
    </r>
  </si>
  <si>
    <t>u16EcatRxErrCnt</t>
  </si>
  <si>
    <r>
      <rPr>
        <sz val="10"/>
        <color theme="1"/>
        <rFont val="Consolas"/>
        <charset val="134"/>
      </rPr>
      <t>EtherCAT-</t>
    </r>
    <r>
      <rPr>
        <sz val="10"/>
        <color theme="1"/>
        <rFont val="宋体"/>
        <charset val="134"/>
      </rPr>
      <t>处理单元错误统计</t>
    </r>
  </si>
  <si>
    <t>u16EcatPdiErrCnt</t>
  </si>
  <si>
    <t>u16PanelDispPage</t>
  </si>
  <si>
    <t>5</t>
  </si>
  <si>
    <r>
      <rPr>
        <sz val="10"/>
        <color theme="1"/>
        <rFont val="宋体"/>
        <charset val="134"/>
      </rPr>
      <t>面板默认显示页面</t>
    </r>
  </si>
  <si>
    <r>
      <rPr>
        <sz val="10"/>
        <color theme="1"/>
        <rFont val="Consolas"/>
        <charset val="134"/>
      </rPr>
      <t>0-</t>
    </r>
    <r>
      <rPr>
        <sz val="10"/>
        <color theme="1"/>
        <rFont val="宋体"/>
        <charset val="134"/>
      </rPr>
      <t>反馈转速</t>
    </r>
    <r>
      <rPr>
        <sz val="10"/>
        <color theme="1"/>
        <rFont val="Consolas"/>
        <charset val="134"/>
      </rPr>
      <t xml:space="preserve">
1-</t>
    </r>
    <r>
      <rPr>
        <sz val="10"/>
        <color theme="1"/>
        <rFont val="宋体"/>
        <charset val="134"/>
      </rPr>
      <t>反馈转矩</t>
    </r>
    <r>
      <rPr>
        <sz val="10"/>
        <color theme="1"/>
        <rFont val="Consolas"/>
        <charset val="134"/>
      </rPr>
      <t xml:space="preserve">
2-</t>
    </r>
    <r>
      <rPr>
        <sz val="10"/>
        <color theme="1"/>
        <rFont val="宋体"/>
        <charset val="134"/>
      </rPr>
      <t>位置偏差</t>
    </r>
    <r>
      <rPr>
        <sz val="10"/>
        <color theme="1"/>
        <rFont val="Consolas"/>
        <charset val="134"/>
      </rPr>
      <t xml:space="preserve">
3-</t>
    </r>
    <r>
      <rPr>
        <sz val="10"/>
        <color theme="1"/>
        <rFont val="宋体"/>
        <charset val="134"/>
      </rPr>
      <t>反馈脉冲</t>
    </r>
    <r>
      <rPr>
        <sz val="10"/>
        <color theme="1"/>
        <rFont val="Consolas"/>
        <charset val="134"/>
      </rPr>
      <t xml:space="preserve">
4-</t>
    </r>
    <r>
      <rPr>
        <sz val="10"/>
        <color theme="1"/>
        <rFont val="宋体"/>
        <charset val="134"/>
      </rPr>
      <t>指令脉冲</t>
    </r>
    <r>
      <rPr>
        <sz val="10"/>
        <color theme="1"/>
        <rFont val="Consolas"/>
        <charset val="134"/>
      </rPr>
      <t xml:space="preserve">
5-</t>
    </r>
    <r>
      <rPr>
        <sz val="10"/>
        <color theme="1"/>
        <rFont val="宋体"/>
        <charset val="134"/>
      </rPr>
      <t>系统运行状态</t>
    </r>
  </si>
  <si>
    <t>u16PanelKeyVaule</t>
  </si>
  <si>
    <r>
      <rPr>
        <sz val="10"/>
        <color theme="1"/>
        <rFont val="宋体"/>
        <charset val="134"/>
      </rPr>
      <t>面板按键键值</t>
    </r>
  </si>
  <si>
    <t>u16ScopeSampPrd</t>
  </si>
  <si>
    <t>2000</t>
  </si>
  <si>
    <r>
      <rPr>
        <sz val="10"/>
        <color theme="1"/>
        <rFont val="宋体"/>
        <charset val="134"/>
      </rPr>
      <t>数据记录采样周期设定</t>
    </r>
  </si>
  <si>
    <t>u16ScopeSampPts</t>
  </si>
  <si>
    <r>
      <rPr>
        <sz val="10"/>
        <color theme="1"/>
        <rFont val="宋体"/>
        <charset val="134"/>
      </rPr>
      <t>数据记录采样点数设定</t>
    </r>
  </si>
  <si>
    <t>u16ScopeChCnt</t>
  </si>
  <si>
    <r>
      <rPr>
        <sz val="10"/>
        <color theme="1"/>
        <rFont val="宋体"/>
        <charset val="134"/>
      </rPr>
      <t>数据记录通道数量设定</t>
    </r>
  </si>
  <si>
    <t>u16ScopeChSrc01</t>
  </si>
  <si>
    <r>
      <rPr>
        <sz val="10"/>
        <color theme="1"/>
        <rFont val="宋体"/>
        <charset val="134"/>
      </rPr>
      <t>数据记录通道来源设定</t>
    </r>
    <r>
      <rPr>
        <sz val="10"/>
        <color theme="1"/>
        <rFont val="Consolas"/>
        <charset val="134"/>
      </rPr>
      <t>1 (</t>
    </r>
    <r>
      <rPr>
        <sz val="10"/>
        <color theme="1"/>
        <rFont val="宋体"/>
        <charset val="134"/>
      </rPr>
      <t>数据源</t>
    </r>
    <r>
      <rPr>
        <sz val="10"/>
        <color theme="1"/>
        <rFont val="Consolas"/>
        <charset val="134"/>
      </rPr>
      <t>)</t>
    </r>
  </si>
  <si>
    <r>
      <rPr>
        <sz val="10"/>
        <color theme="1"/>
        <rFont val="Consolas"/>
        <charset val="134"/>
      </rPr>
      <t xml:space="preserve">00: </t>
    </r>
    <r>
      <rPr>
        <sz val="10"/>
        <color theme="1"/>
        <rFont val="宋体"/>
        <charset val="134"/>
      </rPr>
      <t>无</t>
    </r>
    <r>
      <rPr>
        <sz val="10"/>
        <color theme="1"/>
        <rFont val="Consolas"/>
        <charset val="134"/>
      </rPr>
      <t xml:space="preserve">
01: </t>
    </r>
    <r>
      <rPr>
        <sz val="10"/>
        <color theme="1"/>
        <rFont val="宋体"/>
        <charset val="134"/>
      </rPr>
      <t>自定义地址</t>
    </r>
    <r>
      <rPr>
        <sz val="10"/>
        <color theme="1"/>
        <rFont val="Consolas"/>
        <charset val="134"/>
      </rPr>
      <t xml:space="preserve">
02: </t>
    </r>
    <r>
      <rPr>
        <sz val="10"/>
        <color theme="1"/>
        <rFont val="宋体"/>
        <charset val="134"/>
      </rPr>
      <t>主回路母线电压</t>
    </r>
    <r>
      <rPr>
        <sz val="10"/>
        <color theme="1"/>
        <rFont val="Consolas"/>
        <charset val="134"/>
      </rPr>
      <t xml:space="preserve">
03: </t>
    </r>
    <r>
      <rPr>
        <sz val="10"/>
        <color theme="1"/>
        <rFont val="宋体"/>
        <charset val="134"/>
      </rPr>
      <t>用户转矩指令</t>
    </r>
    <r>
      <rPr>
        <sz val="10"/>
        <color theme="1"/>
        <rFont val="Consolas"/>
        <charset val="134"/>
      </rPr>
      <t xml:space="preserve">
04: </t>
    </r>
    <r>
      <rPr>
        <sz val="10"/>
        <color theme="1"/>
        <rFont val="宋体"/>
        <charset val="134"/>
      </rPr>
      <t>用户转矩反馈</t>
    </r>
    <r>
      <rPr>
        <sz val="10"/>
        <color theme="1"/>
        <rFont val="Consolas"/>
        <charset val="134"/>
      </rPr>
      <t xml:space="preserve">
05: </t>
    </r>
    <r>
      <rPr>
        <sz val="10"/>
        <color theme="1"/>
        <rFont val="宋体"/>
        <charset val="134"/>
      </rPr>
      <t>用户速度指令</t>
    </r>
    <r>
      <rPr>
        <sz val="10"/>
        <color theme="1"/>
        <rFont val="Consolas"/>
        <charset val="134"/>
      </rPr>
      <t xml:space="preserve">
06: </t>
    </r>
    <r>
      <rPr>
        <sz val="10"/>
        <color theme="1"/>
        <rFont val="宋体"/>
        <charset val="134"/>
      </rPr>
      <t>用户速度反馈</t>
    </r>
    <r>
      <rPr>
        <sz val="10"/>
        <color theme="1"/>
        <rFont val="Consolas"/>
        <charset val="134"/>
      </rPr>
      <t xml:space="preserve">
07: </t>
    </r>
    <r>
      <rPr>
        <sz val="10"/>
        <color theme="1"/>
        <rFont val="宋体"/>
        <charset val="134"/>
      </rPr>
      <t>用户位置指令</t>
    </r>
    <r>
      <rPr>
        <sz val="10"/>
        <color theme="1"/>
        <rFont val="Consolas"/>
        <charset val="134"/>
      </rPr>
      <t xml:space="preserve">
08: </t>
    </r>
    <r>
      <rPr>
        <sz val="10"/>
        <color theme="1"/>
        <rFont val="宋体"/>
        <charset val="134"/>
      </rPr>
      <t>用户位置反馈</t>
    </r>
    <r>
      <rPr>
        <sz val="10"/>
        <color theme="1"/>
        <rFont val="Consolas"/>
        <charset val="134"/>
      </rPr>
      <t xml:space="preserve">
09: </t>
    </r>
    <r>
      <rPr>
        <sz val="10"/>
        <color theme="1"/>
        <rFont val="宋体"/>
        <charset val="134"/>
      </rPr>
      <t>驱动层速度指令</t>
    </r>
    <r>
      <rPr>
        <sz val="10"/>
        <color theme="1"/>
        <rFont val="Consolas"/>
        <charset val="134"/>
      </rPr>
      <t xml:space="preserve">
10: </t>
    </r>
    <r>
      <rPr>
        <sz val="10"/>
        <color theme="1"/>
        <rFont val="宋体"/>
        <charset val="134"/>
      </rPr>
      <t>驱动层速度反馈</t>
    </r>
    <r>
      <rPr>
        <sz val="10"/>
        <color theme="1"/>
        <rFont val="Consolas"/>
        <charset val="134"/>
      </rPr>
      <t xml:space="preserve">
11: </t>
    </r>
    <r>
      <rPr>
        <sz val="10"/>
        <color theme="1"/>
        <rFont val="宋体"/>
        <charset val="134"/>
      </rPr>
      <t>驱动层位置指令</t>
    </r>
    <r>
      <rPr>
        <sz val="10"/>
        <color theme="1"/>
        <rFont val="Consolas"/>
        <charset val="134"/>
      </rPr>
      <t xml:space="preserve">
12: </t>
    </r>
    <r>
      <rPr>
        <sz val="10"/>
        <color theme="1"/>
        <rFont val="宋体"/>
        <charset val="134"/>
      </rPr>
      <t>驱动层位置反馈</t>
    </r>
    <r>
      <rPr>
        <sz val="10"/>
        <color theme="1"/>
        <rFont val="Consolas"/>
        <charset val="134"/>
      </rPr>
      <t xml:space="preserve">
13: </t>
    </r>
    <r>
      <rPr>
        <sz val="10"/>
        <color theme="1"/>
        <rFont val="宋体"/>
        <charset val="134"/>
      </rPr>
      <t>电角度指令</t>
    </r>
    <r>
      <rPr>
        <sz val="10"/>
        <color theme="1"/>
        <rFont val="Consolas"/>
        <charset val="134"/>
      </rPr>
      <t xml:space="preserve">
14: </t>
    </r>
    <r>
      <rPr>
        <sz val="10"/>
        <color theme="1"/>
        <rFont val="宋体"/>
        <charset val="134"/>
      </rPr>
      <t>电角度反馈</t>
    </r>
    <r>
      <rPr>
        <sz val="10"/>
        <color theme="1"/>
        <rFont val="Consolas"/>
        <charset val="134"/>
      </rPr>
      <t xml:space="preserve">
15: U</t>
    </r>
    <r>
      <rPr>
        <sz val="10"/>
        <color theme="1"/>
        <rFont val="宋体"/>
        <charset val="134"/>
      </rPr>
      <t>相占空比</t>
    </r>
    <r>
      <rPr>
        <sz val="10"/>
        <color theme="1"/>
        <rFont val="Consolas"/>
        <charset val="134"/>
      </rPr>
      <t xml:space="preserve">
16: V</t>
    </r>
    <r>
      <rPr>
        <sz val="10"/>
        <color theme="1"/>
        <rFont val="宋体"/>
        <charset val="134"/>
      </rPr>
      <t>相占空比</t>
    </r>
    <r>
      <rPr>
        <sz val="10"/>
        <color theme="1"/>
        <rFont val="Consolas"/>
        <charset val="134"/>
      </rPr>
      <t xml:space="preserve">
17: W</t>
    </r>
    <r>
      <rPr>
        <sz val="10"/>
        <color theme="1"/>
        <rFont val="宋体"/>
        <charset val="134"/>
      </rPr>
      <t>相占空比</t>
    </r>
    <r>
      <rPr>
        <sz val="10"/>
        <color theme="1"/>
        <rFont val="Consolas"/>
        <charset val="134"/>
      </rPr>
      <t xml:space="preserve">
18: U</t>
    </r>
    <r>
      <rPr>
        <sz val="10"/>
        <color theme="1"/>
        <rFont val="宋体"/>
        <charset val="134"/>
      </rPr>
      <t>相电流反馈</t>
    </r>
    <r>
      <rPr>
        <sz val="10"/>
        <color theme="1"/>
        <rFont val="Consolas"/>
        <charset val="134"/>
      </rPr>
      <t xml:space="preserve">
19: V</t>
    </r>
    <r>
      <rPr>
        <sz val="10"/>
        <color theme="1"/>
        <rFont val="宋体"/>
        <charset val="134"/>
      </rPr>
      <t>相电流反馈</t>
    </r>
    <r>
      <rPr>
        <sz val="10"/>
        <color theme="1"/>
        <rFont val="Consolas"/>
        <charset val="134"/>
      </rPr>
      <t xml:space="preserve">
20: W</t>
    </r>
    <r>
      <rPr>
        <sz val="10"/>
        <color theme="1"/>
        <rFont val="宋体"/>
        <charset val="134"/>
      </rPr>
      <t>相电流反馈</t>
    </r>
    <r>
      <rPr>
        <sz val="10"/>
        <color theme="1"/>
        <rFont val="Consolas"/>
        <charset val="134"/>
      </rPr>
      <t xml:space="preserve">
21: Q</t>
    </r>
    <r>
      <rPr>
        <sz val="10"/>
        <color theme="1"/>
        <rFont val="宋体"/>
        <charset val="134"/>
      </rPr>
      <t>轴电流指令</t>
    </r>
    <r>
      <rPr>
        <sz val="10"/>
        <color theme="1"/>
        <rFont val="Consolas"/>
        <charset val="134"/>
      </rPr>
      <t xml:space="preserve">
22: Q</t>
    </r>
    <r>
      <rPr>
        <sz val="10"/>
        <color theme="1"/>
        <rFont val="宋体"/>
        <charset val="134"/>
      </rPr>
      <t>轴电流反馈</t>
    </r>
    <r>
      <rPr>
        <sz val="10"/>
        <color theme="1"/>
        <rFont val="Consolas"/>
        <charset val="134"/>
      </rPr>
      <t xml:space="preserve">
23: D</t>
    </r>
    <r>
      <rPr>
        <sz val="10"/>
        <color theme="1"/>
        <rFont val="宋体"/>
        <charset val="134"/>
      </rPr>
      <t>轴电流指令</t>
    </r>
    <r>
      <rPr>
        <sz val="10"/>
        <color theme="1"/>
        <rFont val="Consolas"/>
        <charset val="134"/>
      </rPr>
      <t xml:space="preserve">
24: D</t>
    </r>
    <r>
      <rPr>
        <sz val="10"/>
        <color theme="1"/>
        <rFont val="宋体"/>
        <charset val="134"/>
      </rPr>
      <t>轴电流反馈</t>
    </r>
  </si>
  <si>
    <t>u16ScopeChSrc02</t>
  </si>
  <si>
    <r>
      <rPr>
        <sz val="10"/>
        <color theme="1"/>
        <rFont val="宋体"/>
        <charset val="134"/>
      </rPr>
      <t>数据记录通道来源设定</t>
    </r>
    <r>
      <rPr>
        <sz val="10"/>
        <color theme="1"/>
        <rFont val="Consolas"/>
        <charset val="134"/>
      </rPr>
      <t>2 (</t>
    </r>
    <r>
      <rPr>
        <sz val="10"/>
        <color theme="1"/>
        <rFont val="宋体"/>
        <charset val="134"/>
      </rPr>
      <t>数据源</t>
    </r>
    <r>
      <rPr>
        <sz val="10"/>
        <color theme="1"/>
        <rFont val="Consolas"/>
        <charset val="134"/>
      </rPr>
      <t>)</t>
    </r>
  </si>
  <si>
    <t>u16ScopeChSrc03</t>
  </si>
  <si>
    <r>
      <rPr>
        <sz val="10"/>
        <color theme="1"/>
        <rFont val="宋体"/>
        <charset val="134"/>
      </rPr>
      <t>数据记录通道来源设定</t>
    </r>
    <r>
      <rPr>
        <sz val="10"/>
        <color theme="1"/>
        <rFont val="Consolas"/>
        <charset val="134"/>
      </rPr>
      <t>3 (</t>
    </r>
    <r>
      <rPr>
        <sz val="10"/>
        <color theme="1"/>
        <rFont val="宋体"/>
        <charset val="134"/>
      </rPr>
      <t>数据源</t>
    </r>
    <r>
      <rPr>
        <sz val="10"/>
        <color theme="1"/>
        <rFont val="Consolas"/>
        <charset val="134"/>
      </rPr>
      <t>)</t>
    </r>
  </si>
  <si>
    <t>u16ScopeChSrc04</t>
  </si>
  <si>
    <r>
      <rPr>
        <sz val="10"/>
        <color theme="1"/>
        <rFont val="宋体"/>
        <charset val="134"/>
      </rPr>
      <t>数据记录通道来源设定</t>
    </r>
    <r>
      <rPr>
        <sz val="10"/>
        <color theme="1"/>
        <rFont val="Consolas"/>
        <charset val="134"/>
      </rPr>
      <t>4 (</t>
    </r>
    <r>
      <rPr>
        <sz val="10"/>
        <color theme="1"/>
        <rFont val="宋体"/>
        <charset val="134"/>
      </rPr>
      <t>数据源</t>
    </r>
    <r>
      <rPr>
        <sz val="10"/>
        <color theme="1"/>
        <rFont val="Consolas"/>
        <charset val="134"/>
      </rPr>
      <t>)</t>
    </r>
  </si>
  <si>
    <t>u16ScopeChAddr01</t>
  </si>
  <si>
    <r>
      <rPr>
        <sz val="10"/>
        <color theme="1"/>
        <rFont val="宋体"/>
        <charset val="134"/>
      </rPr>
      <t>数据记录通道地址设定</t>
    </r>
  </si>
  <si>
    <t>u16ScopeChAddr02</t>
  </si>
  <si>
    <t>u16ScopeChAddr03</t>
  </si>
  <si>
    <t>u16ScopeChAddr04</t>
  </si>
  <si>
    <t>u16ScopeSampIdx</t>
  </si>
  <si>
    <r>
      <rPr>
        <sz val="10"/>
        <color theme="1"/>
        <rFont val="宋体"/>
        <charset val="134"/>
      </rPr>
      <t>当前数据记录索引</t>
    </r>
  </si>
  <si>
    <t>u16ScopeSampSts</t>
  </si>
  <si>
    <r>
      <rPr>
        <sz val="10"/>
        <color theme="1"/>
        <rFont val="宋体"/>
        <charset val="134"/>
      </rPr>
      <t>数据记录状态</t>
    </r>
  </si>
  <si>
    <t>u16AlmCodeSeq</t>
  </si>
  <si>
    <r>
      <rPr>
        <sz val="10"/>
        <color theme="1"/>
        <rFont val="宋体"/>
        <charset val="134"/>
      </rPr>
      <t>当前所有报警代码轮巡</t>
    </r>
  </si>
  <si>
    <t>u16LastAlmSrc</t>
  </si>
  <si>
    <t>最新报警来源</t>
  </si>
  <si>
    <t>u16LastAlmCode</t>
  </si>
  <si>
    <t>最新报警代码</t>
  </si>
  <si>
    <t>u16HisAlmSrc01</t>
  </si>
  <si>
    <t>历史报警代码来源01</t>
  </si>
  <si>
    <t>u16HisAlmCode01</t>
  </si>
  <si>
    <r>
      <rPr>
        <sz val="10"/>
        <color theme="1"/>
        <rFont val="宋体"/>
        <charset val="134"/>
      </rPr>
      <t>历史报警代码</t>
    </r>
    <r>
      <rPr>
        <sz val="10"/>
        <color theme="1"/>
        <rFont val="Consolas"/>
        <charset val="134"/>
      </rPr>
      <t>01</t>
    </r>
  </si>
  <si>
    <t>u32HisAlmTime01</t>
  </si>
  <si>
    <r>
      <rPr>
        <sz val="10"/>
        <color theme="1"/>
        <rFont val="宋体"/>
        <charset val="134"/>
      </rPr>
      <t>历史报警时间戳</t>
    </r>
    <r>
      <rPr>
        <sz val="10"/>
        <color theme="1"/>
        <rFont val="Consolas"/>
        <charset val="134"/>
      </rPr>
      <t>01</t>
    </r>
  </si>
  <si>
    <t>u16HisAlmSrc02</t>
  </si>
  <si>
    <t>历史报警代码来源02</t>
  </si>
  <si>
    <t>u16HisAlmCode02</t>
  </si>
  <si>
    <r>
      <rPr>
        <sz val="10"/>
        <color theme="1"/>
        <rFont val="宋体"/>
        <charset val="134"/>
      </rPr>
      <t>历史报警代码</t>
    </r>
    <r>
      <rPr>
        <sz val="10"/>
        <color theme="1"/>
        <rFont val="Consolas"/>
        <charset val="134"/>
      </rPr>
      <t>02</t>
    </r>
  </si>
  <si>
    <t>u32HisAlmTime02</t>
  </si>
  <si>
    <r>
      <rPr>
        <sz val="10"/>
        <color theme="1"/>
        <rFont val="宋体"/>
        <charset val="134"/>
      </rPr>
      <t>历史报警时间戳</t>
    </r>
    <r>
      <rPr>
        <sz val="10"/>
        <color theme="1"/>
        <rFont val="Consolas"/>
        <charset val="134"/>
      </rPr>
      <t>02</t>
    </r>
  </si>
  <si>
    <t>u16HisAlmSrc03</t>
  </si>
  <si>
    <t>历史报警代码来源03</t>
  </si>
  <si>
    <t>u16HisAlmCode03</t>
  </si>
  <si>
    <r>
      <rPr>
        <sz val="10"/>
        <color theme="1"/>
        <rFont val="宋体"/>
        <charset val="134"/>
      </rPr>
      <t>历史报警代码</t>
    </r>
    <r>
      <rPr>
        <sz val="10"/>
        <color theme="1"/>
        <rFont val="Consolas"/>
        <charset val="134"/>
      </rPr>
      <t>03</t>
    </r>
  </si>
  <si>
    <t>u32HisAlmTime03</t>
  </si>
  <si>
    <r>
      <rPr>
        <sz val="10"/>
        <color theme="1"/>
        <rFont val="宋体"/>
        <charset val="134"/>
      </rPr>
      <t>历史报警时间戳</t>
    </r>
    <r>
      <rPr>
        <sz val="10"/>
        <color theme="1"/>
        <rFont val="Consolas"/>
        <charset val="134"/>
      </rPr>
      <t>03</t>
    </r>
  </si>
  <si>
    <t>u16HisAlmSrc04</t>
  </si>
  <si>
    <t>历史报警代码来源04</t>
  </si>
  <si>
    <t>u16HisAlmCode04</t>
  </si>
  <si>
    <r>
      <rPr>
        <sz val="10"/>
        <color theme="1"/>
        <rFont val="宋体"/>
        <charset val="134"/>
      </rPr>
      <t>历史报警代码</t>
    </r>
    <r>
      <rPr>
        <sz val="10"/>
        <color theme="1"/>
        <rFont val="Consolas"/>
        <charset val="134"/>
      </rPr>
      <t>04</t>
    </r>
  </si>
  <si>
    <t>u32HisAlmTime04</t>
  </si>
  <si>
    <r>
      <rPr>
        <sz val="10"/>
        <color theme="1"/>
        <rFont val="宋体"/>
        <charset val="134"/>
      </rPr>
      <t>历史报警时间戳</t>
    </r>
    <r>
      <rPr>
        <sz val="10"/>
        <color theme="1"/>
        <rFont val="Consolas"/>
        <charset val="134"/>
      </rPr>
      <t>04</t>
    </r>
  </si>
  <si>
    <t>u16HisAlmSrc05</t>
  </si>
  <si>
    <t>历史报警代码来源05</t>
  </si>
  <si>
    <t>u16HisAlmCode05</t>
  </si>
  <si>
    <r>
      <rPr>
        <sz val="10"/>
        <color theme="1"/>
        <rFont val="宋体"/>
        <charset val="134"/>
      </rPr>
      <t>历史报警代码</t>
    </r>
    <r>
      <rPr>
        <sz val="10"/>
        <color theme="1"/>
        <rFont val="Consolas"/>
        <charset val="134"/>
      </rPr>
      <t>05</t>
    </r>
  </si>
  <si>
    <t>u32HisAlmTime05</t>
  </si>
  <si>
    <r>
      <rPr>
        <sz val="10"/>
        <color theme="1"/>
        <rFont val="宋体"/>
        <charset val="134"/>
      </rPr>
      <t>历史报警时间戳</t>
    </r>
    <r>
      <rPr>
        <sz val="10"/>
        <color theme="1"/>
        <rFont val="Consolas"/>
        <charset val="134"/>
      </rPr>
      <t>05</t>
    </r>
  </si>
  <si>
    <t>u16HisAlmSrc06</t>
  </si>
  <si>
    <t>历史报警代码来源06</t>
  </si>
  <si>
    <t>u16HisAlmCode06</t>
  </si>
  <si>
    <r>
      <rPr>
        <sz val="10"/>
        <color theme="1"/>
        <rFont val="宋体"/>
        <charset val="134"/>
      </rPr>
      <t>历史报警代码</t>
    </r>
    <r>
      <rPr>
        <sz val="10"/>
        <color theme="1"/>
        <rFont val="Consolas"/>
        <charset val="134"/>
      </rPr>
      <t>06</t>
    </r>
  </si>
  <si>
    <t>u32HisAlmTime06</t>
  </si>
  <si>
    <r>
      <rPr>
        <sz val="10"/>
        <color theme="1"/>
        <rFont val="宋体"/>
        <charset val="134"/>
      </rPr>
      <t>历史报警时间戳</t>
    </r>
    <r>
      <rPr>
        <sz val="10"/>
        <color theme="1"/>
        <rFont val="Consolas"/>
        <charset val="134"/>
      </rPr>
      <t>06</t>
    </r>
  </si>
  <si>
    <t>u16HisAlmSrc07</t>
  </si>
  <si>
    <t>历史报警代码来源07</t>
  </si>
  <si>
    <t>u16HisAlmCode07</t>
  </si>
  <si>
    <r>
      <rPr>
        <sz val="10"/>
        <color theme="1"/>
        <rFont val="宋体"/>
        <charset val="134"/>
      </rPr>
      <t>历史报警代码</t>
    </r>
    <r>
      <rPr>
        <sz val="10"/>
        <color theme="1"/>
        <rFont val="Consolas"/>
        <charset val="134"/>
      </rPr>
      <t>07</t>
    </r>
  </si>
  <si>
    <t>u32HisAlmTime07</t>
  </si>
  <si>
    <r>
      <rPr>
        <sz val="10"/>
        <color theme="1"/>
        <rFont val="宋体"/>
        <charset val="134"/>
      </rPr>
      <t>历史报警时间戳</t>
    </r>
    <r>
      <rPr>
        <sz val="10"/>
        <color theme="1"/>
        <rFont val="Consolas"/>
        <charset val="134"/>
      </rPr>
      <t>07</t>
    </r>
  </si>
  <si>
    <t>u16HisAlmSrc08</t>
  </si>
  <si>
    <t>历史报警代码来源08</t>
  </si>
  <si>
    <t>u16HisAlmCode08</t>
  </si>
  <si>
    <r>
      <rPr>
        <sz val="10"/>
        <color theme="1"/>
        <rFont val="宋体"/>
        <charset val="134"/>
      </rPr>
      <t>历史报警代码</t>
    </r>
    <r>
      <rPr>
        <sz val="10"/>
        <color theme="1"/>
        <rFont val="Consolas"/>
        <charset val="134"/>
      </rPr>
      <t>08</t>
    </r>
  </si>
  <si>
    <t>u32HisAlmTime08</t>
  </si>
  <si>
    <r>
      <rPr>
        <sz val="10"/>
        <color theme="1"/>
        <rFont val="宋体"/>
        <charset val="134"/>
      </rPr>
      <t>历史报警时间戳</t>
    </r>
    <r>
      <rPr>
        <sz val="10"/>
        <color theme="1"/>
        <rFont val="Consolas"/>
        <charset val="134"/>
      </rPr>
      <t>08</t>
    </r>
  </si>
  <si>
    <t>u16HisAlmSrc09</t>
  </si>
  <si>
    <t>历史报警代码来源09</t>
  </si>
  <si>
    <t>u16HisAlmCode09</t>
  </si>
  <si>
    <r>
      <rPr>
        <sz val="10"/>
        <color theme="1"/>
        <rFont val="宋体"/>
        <charset val="134"/>
      </rPr>
      <t>历史报警代码</t>
    </r>
    <r>
      <rPr>
        <sz val="10"/>
        <color theme="1"/>
        <rFont val="Consolas"/>
        <charset val="134"/>
      </rPr>
      <t>09</t>
    </r>
  </si>
  <si>
    <t>u32HisAlmTime09</t>
  </si>
  <si>
    <r>
      <rPr>
        <sz val="10"/>
        <color theme="1"/>
        <rFont val="宋体"/>
        <charset val="134"/>
      </rPr>
      <t>历史报警时间戳</t>
    </r>
    <r>
      <rPr>
        <sz val="10"/>
        <color theme="1"/>
        <rFont val="Consolas"/>
        <charset val="134"/>
      </rPr>
      <t>09</t>
    </r>
  </si>
  <si>
    <t>u16HisAlmSrc10</t>
  </si>
  <si>
    <t>历史报警代码来源10</t>
  </si>
  <si>
    <t>u16HisAlmCode10</t>
  </si>
  <si>
    <r>
      <rPr>
        <sz val="10"/>
        <color theme="1"/>
        <rFont val="宋体"/>
        <charset val="134"/>
      </rPr>
      <t>历史报警代码</t>
    </r>
    <r>
      <rPr>
        <sz val="10"/>
        <color theme="1"/>
        <rFont val="Consolas"/>
        <charset val="134"/>
      </rPr>
      <t>10</t>
    </r>
  </si>
  <si>
    <t>u32HisAlmTime10</t>
  </si>
  <si>
    <r>
      <rPr>
        <sz val="10"/>
        <color theme="1"/>
        <rFont val="宋体"/>
        <charset val="134"/>
      </rPr>
      <t>历史报警时间戳</t>
    </r>
    <r>
      <rPr>
        <sz val="10"/>
        <color theme="1"/>
        <rFont val="Consolas"/>
        <charset val="134"/>
      </rPr>
      <t>10</t>
    </r>
  </si>
  <si>
    <t>u16HisAlmSrc11</t>
  </si>
  <si>
    <t>历史报警代码来源11</t>
  </si>
  <si>
    <t>u16HisAlmCode11</t>
  </si>
  <si>
    <r>
      <rPr>
        <sz val="10"/>
        <color theme="1"/>
        <rFont val="宋体"/>
        <charset val="134"/>
      </rPr>
      <t>历史报警代码</t>
    </r>
    <r>
      <rPr>
        <sz val="10"/>
        <color theme="1"/>
        <rFont val="Consolas"/>
        <charset val="134"/>
      </rPr>
      <t>11</t>
    </r>
  </si>
  <si>
    <t>u32HisAlmTime11</t>
  </si>
  <si>
    <r>
      <rPr>
        <sz val="10"/>
        <color theme="1"/>
        <rFont val="宋体"/>
        <charset val="134"/>
      </rPr>
      <t>历史报警时间戳</t>
    </r>
    <r>
      <rPr>
        <sz val="10"/>
        <color theme="1"/>
        <rFont val="Consolas"/>
        <charset val="134"/>
      </rPr>
      <t>11</t>
    </r>
  </si>
  <si>
    <t>u16HisAlmSrc12</t>
  </si>
  <si>
    <t>历史报警代码来源12</t>
  </si>
  <si>
    <t>u16HisAlmCode12</t>
  </si>
  <si>
    <r>
      <rPr>
        <sz val="10"/>
        <color theme="1"/>
        <rFont val="宋体"/>
        <charset val="134"/>
      </rPr>
      <t>历史报警代码</t>
    </r>
    <r>
      <rPr>
        <sz val="10"/>
        <color theme="1"/>
        <rFont val="Consolas"/>
        <charset val="134"/>
      </rPr>
      <t>12</t>
    </r>
  </si>
  <si>
    <t>u32HisAlmTime12</t>
  </si>
  <si>
    <r>
      <rPr>
        <sz val="10"/>
        <color theme="1"/>
        <rFont val="宋体"/>
        <charset val="134"/>
      </rPr>
      <t>历史报警时间戳</t>
    </r>
    <r>
      <rPr>
        <sz val="10"/>
        <color theme="1"/>
        <rFont val="Consolas"/>
        <charset val="134"/>
      </rPr>
      <t>12</t>
    </r>
  </si>
  <si>
    <t>u16HisAlmSrc13</t>
  </si>
  <si>
    <t>历史报警代码来源13</t>
  </si>
  <si>
    <t>u16HisAlmCode13</t>
  </si>
  <si>
    <r>
      <rPr>
        <sz val="10"/>
        <color theme="1"/>
        <rFont val="宋体"/>
        <charset val="134"/>
      </rPr>
      <t>历史报警代码</t>
    </r>
    <r>
      <rPr>
        <sz val="10"/>
        <color theme="1"/>
        <rFont val="Consolas"/>
        <charset val="134"/>
      </rPr>
      <t>13</t>
    </r>
  </si>
  <si>
    <t>u32HisAlmTime13</t>
  </si>
  <si>
    <r>
      <rPr>
        <sz val="10"/>
        <color theme="1"/>
        <rFont val="宋体"/>
        <charset val="134"/>
      </rPr>
      <t>历史报警时间戳</t>
    </r>
    <r>
      <rPr>
        <sz val="10"/>
        <color theme="1"/>
        <rFont val="Consolas"/>
        <charset val="134"/>
      </rPr>
      <t>13</t>
    </r>
  </si>
  <si>
    <t>u16HisAlmSrc14</t>
  </si>
  <si>
    <t>历史报警代码来源14</t>
  </si>
  <si>
    <t>u16HisAlmCode14</t>
  </si>
  <si>
    <r>
      <rPr>
        <sz val="10"/>
        <color theme="1"/>
        <rFont val="宋体"/>
        <charset val="134"/>
      </rPr>
      <t>历史报警代码</t>
    </r>
    <r>
      <rPr>
        <sz val="10"/>
        <color theme="1"/>
        <rFont val="Consolas"/>
        <charset val="134"/>
      </rPr>
      <t>14</t>
    </r>
  </si>
  <si>
    <t>u32HisAlmTime14</t>
  </si>
  <si>
    <r>
      <rPr>
        <sz val="10"/>
        <color theme="1"/>
        <rFont val="宋体"/>
        <charset val="134"/>
      </rPr>
      <t>历史报警时间戳</t>
    </r>
    <r>
      <rPr>
        <sz val="10"/>
        <color theme="1"/>
        <rFont val="Consolas"/>
        <charset val="134"/>
      </rPr>
      <t>14</t>
    </r>
  </si>
  <si>
    <t>u16HisAlmSrc15</t>
  </si>
  <si>
    <t>历史报警代码来源15</t>
  </si>
  <si>
    <t>u16HisAlmCode15</t>
  </si>
  <si>
    <r>
      <rPr>
        <sz val="10"/>
        <color theme="1"/>
        <rFont val="宋体"/>
        <charset val="134"/>
      </rPr>
      <t>历史报警代码</t>
    </r>
    <r>
      <rPr>
        <sz val="10"/>
        <color theme="1"/>
        <rFont val="Consolas"/>
        <charset val="134"/>
      </rPr>
      <t>15</t>
    </r>
  </si>
  <si>
    <t>u32HisAlmTime15</t>
  </si>
  <si>
    <r>
      <rPr>
        <sz val="10"/>
        <color theme="1"/>
        <rFont val="宋体"/>
        <charset val="134"/>
      </rPr>
      <t>历史报警时间戳</t>
    </r>
    <r>
      <rPr>
        <sz val="10"/>
        <color theme="1"/>
        <rFont val="Consolas"/>
        <charset val="134"/>
      </rPr>
      <t>15</t>
    </r>
  </si>
  <si>
    <t>SysSts</t>
  </si>
  <si>
    <r>
      <rPr>
        <sz val="10"/>
        <color theme="1"/>
        <rFont val="宋体"/>
        <charset val="134"/>
      </rPr>
      <t>系统状态</t>
    </r>
  </si>
  <si>
    <t>u16TunerSoftVer</t>
  </si>
  <si>
    <t>22096</t>
  </si>
  <si>
    <r>
      <rPr>
        <sz val="10"/>
        <color theme="1"/>
        <rFont val="宋体"/>
        <charset val="134"/>
      </rPr>
      <t>设备识别码</t>
    </r>
    <r>
      <rPr>
        <sz val="10"/>
        <color theme="1"/>
        <rFont val="Consolas"/>
        <charset val="134"/>
      </rPr>
      <t>1</t>
    </r>
  </si>
  <si>
    <t>P180</t>
  </si>
  <si>
    <t>u16TunerDrvType</t>
  </si>
  <si>
    <t>0x0303</t>
  </si>
  <si>
    <r>
      <rPr>
        <sz val="10"/>
        <color theme="1"/>
        <rFont val="宋体"/>
        <charset val="134"/>
      </rPr>
      <t>设备识别码</t>
    </r>
    <r>
      <rPr>
        <sz val="10"/>
        <color theme="1"/>
        <rFont val="Consolas"/>
        <charset val="134"/>
      </rPr>
      <t>2</t>
    </r>
  </si>
  <si>
    <t>P181</t>
  </si>
  <si>
    <t>eSysState</t>
  </si>
  <si>
    <t>4</t>
  </si>
  <si>
    <r>
      <rPr>
        <sz val="10"/>
        <color theme="1"/>
        <rFont val="Consolas"/>
        <charset val="134"/>
      </rPr>
      <t xml:space="preserve">0: </t>
    </r>
    <r>
      <rPr>
        <sz val="10"/>
        <color theme="1"/>
        <rFont val="宋体"/>
        <charset val="134"/>
      </rPr>
      <t>初始化</t>
    </r>
    <r>
      <rPr>
        <sz val="10"/>
        <color theme="1"/>
        <rFont val="Consolas"/>
        <charset val="134"/>
      </rPr>
      <t xml:space="preserve">
1</t>
    </r>
    <r>
      <rPr>
        <sz val="10"/>
        <color theme="1"/>
        <rFont val="宋体"/>
        <charset val="134"/>
      </rPr>
      <t>：准备</t>
    </r>
    <r>
      <rPr>
        <sz val="10"/>
        <color theme="1"/>
        <rFont val="Consolas"/>
        <charset val="134"/>
      </rPr>
      <t xml:space="preserve">
2</t>
    </r>
    <r>
      <rPr>
        <sz val="10"/>
        <color theme="1"/>
        <rFont val="宋体"/>
        <charset val="134"/>
      </rPr>
      <t>：就绪</t>
    </r>
    <r>
      <rPr>
        <sz val="10"/>
        <color theme="1"/>
        <rFont val="Consolas"/>
        <charset val="134"/>
      </rPr>
      <t xml:space="preserve">
3</t>
    </r>
    <r>
      <rPr>
        <sz val="10"/>
        <color theme="1"/>
        <rFont val="宋体"/>
        <charset val="134"/>
      </rPr>
      <t>：使能</t>
    </r>
    <r>
      <rPr>
        <sz val="10"/>
        <color theme="1"/>
        <rFont val="Consolas"/>
        <charset val="134"/>
      </rPr>
      <t xml:space="preserve">
4</t>
    </r>
    <r>
      <rPr>
        <sz val="10"/>
        <color theme="1"/>
        <rFont val="宋体"/>
        <charset val="134"/>
      </rPr>
      <t>：错误</t>
    </r>
  </si>
  <si>
    <t>u32SysRunTime</t>
  </si>
  <si>
    <r>
      <rPr>
        <sz val="10"/>
        <color theme="1"/>
        <rFont val="宋体"/>
        <charset val="134"/>
      </rPr>
      <t>运行时间</t>
    </r>
  </si>
  <si>
    <t>u16DiState</t>
  </si>
  <si>
    <r>
      <rPr>
        <sz val="10"/>
        <color theme="1"/>
        <rFont val="Consolas"/>
        <charset val="134"/>
      </rPr>
      <t>DI</t>
    </r>
    <r>
      <rPr>
        <sz val="10"/>
        <color theme="1"/>
        <rFont val="宋体"/>
        <charset val="134"/>
      </rPr>
      <t>输入端子电平状态</t>
    </r>
  </si>
  <si>
    <t>u16DoState</t>
  </si>
  <si>
    <r>
      <rPr>
        <sz val="10"/>
        <color theme="1"/>
        <rFont val="Consolas"/>
        <charset val="134"/>
      </rPr>
      <t>DO</t>
    </r>
    <r>
      <rPr>
        <sz val="10"/>
        <color theme="1"/>
        <rFont val="宋体"/>
        <charset val="134"/>
      </rPr>
      <t>输出端子电平状态</t>
    </r>
  </si>
  <si>
    <t>u16UmdcSi</t>
  </si>
  <si>
    <r>
      <rPr>
        <sz val="10"/>
        <color theme="1"/>
        <rFont val="宋体"/>
        <charset val="134"/>
      </rPr>
      <t>主回路母线电压物理值</t>
    </r>
  </si>
  <si>
    <t>u16UcdcSi</t>
  </si>
  <si>
    <r>
      <rPr>
        <sz val="10"/>
        <color theme="1"/>
        <rFont val="宋体"/>
        <charset val="134"/>
      </rPr>
      <t>控制母线电压物理值</t>
    </r>
  </si>
  <si>
    <t>s16UaiSi0</t>
  </si>
  <si>
    <r>
      <rPr>
        <sz val="10"/>
        <color theme="1"/>
        <rFont val="Consolas"/>
        <charset val="134"/>
      </rPr>
      <t>AI0</t>
    </r>
    <r>
      <rPr>
        <sz val="10"/>
        <color theme="1"/>
        <rFont val="宋体"/>
        <charset val="134"/>
      </rPr>
      <t>输入电压物理值</t>
    </r>
  </si>
  <si>
    <t>s16UaiSi1</t>
  </si>
  <si>
    <r>
      <rPr>
        <sz val="10"/>
        <color theme="1"/>
        <rFont val="Consolas"/>
        <charset val="134"/>
      </rPr>
      <t>AI1</t>
    </r>
    <r>
      <rPr>
        <sz val="10"/>
        <color theme="1"/>
        <rFont val="宋体"/>
        <charset val="134"/>
      </rPr>
      <t>输入电压物理值</t>
    </r>
  </si>
  <si>
    <t>s16UaiSi2</t>
  </si>
  <si>
    <r>
      <rPr>
        <sz val="10"/>
        <color theme="1"/>
        <rFont val="Consolas"/>
        <charset val="134"/>
      </rPr>
      <t>AI2</t>
    </r>
    <r>
      <rPr>
        <sz val="10"/>
        <color theme="1"/>
        <rFont val="宋体"/>
        <charset val="134"/>
      </rPr>
      <t>输入电压物理值</t>
    </r>
  </si>
  <si>
    <t>u16UaoSi0</t>
  </si>
  <si>
    <r>
      <rPr>
        <sz val="10"/>
        <color theme="1"/>
        <rFont val="Consolas"/>
        <charset val="134"/>
      </rPr>
      <t>AO0</t>
    </r>
    <r>
      <rPr>
        <sz val="10"/>
        <color theme="1"/>
        <rFont val="宋体"/>
        <charset val="134"/>
      </rPr>
      <t>输出电压物理值</t>
    </r>
  </si>
  <si>
    <t>u16UaoSi1</t>
  </si>
  <si>
    <r>
      <rPr>
        <sz val="10"/>
        <color theme="1"/>
        <rFont val="Consolas"/>
        <charset val="134"/>
      </rPr>
      <t>AO1</t>
    </r>
    <r>
      <rPr>
        <sz val="10"/>
        <color theme="1"/>
        <rFont val="宋体"/>
        <charset val="134"/>
      </rPr>
      <t>输出电压物理值</t>
    </r>
  </si>
  <si>
    <t>s16TempInvtSi</t>
  </si>
  <si>
    <r>
      <rPr>
        <sz val="10"/>
        <color theme="1"/>
        <rFont val="Consolas"/>
        <charset val="134"/>
      </rPr>
      <t>0.1</t>
    </r>
    <r>
      <rPr>
        <sz val="10"/>
        <color theme="1"/>
        <rFont val="宋体"/>
        <charset val="134"/>
      </rPr>
      <t>℃</t>
    </r>
  </si>
  <si>
    <t>逆变桥温度物理值</t>
  </si>
  <si>
    <t>s16TempRectSi</t>
  </si>
  <si>
    <r>
      <rPr>
        <sz val="10"/>
        <color theme="1"/>
        <rFont val="宋体"/>
        <charset val="134"/>
      </rPr>
      <t>整流桥温度物理值</t>
    </r>
  </si>
  <si>
    <t>s16TempCtrlBrdSi</t>
  </si>
  <si>
    <r>
      <rPr>
        <sz val="10"/>
        <color theme="1"/>
        <rFont val="宋体"/>
        <charset val="134"/>
      </rPr>
      <t>控制板温度物理值</t>
    </r>
  </si>
  <si>
    <t>u16UmdcPu</t>
  </si>
  <si>
    <t>Q15</t>
  </si>
  <si>
    <r>
      <rPr>
        <sz val="10"/>
        <color theme="1"/>
        <rFont val="宋体"/>
        <charset val="134"/>
      </rPr>
      <t>主回路母线电压数字量</t>
    </r>
  </si>
  <si>
    <t>u16UcdcPu</t>
  </si>
  <si>
    <r>
      <rPr>
        <sz val="10"/>
        <color theme="1"/>
        <rFont val="宋体"/>
        <charset val="134"/>
      </rPr>
      <t>控制母线电压数字量</t>
    </r>
  </si>
  <si>
    <t>s16UaiPu0</t>
  </si>
  <si>
    <r>
      <rPr>
        <sz val="10"/>
        <color theme="1"/>
        <rFont val="Consolas"/>
        <charset val="134"/>
      </rPr>
      <t>AI0</t>
    </r>
    <r>
      <rPr>
        <sz val="10"/>
        <color theme="1"/>
        <rFont val="宋体"/>
        <charset val="134"/>
      </rPr>
      <t>输入电压数字量</t>
    </r>
  </si>
  <si>
    <t>s16UaiPu1</t>
  </si>
  <si>
    <r>
      <rPr>
        <sz val="10"/>
        <color theme="1"/>
        <rFont val="Consolas"/>
        <charset val="134"/>
      </rPr>
      <t>AI1</t>
    </r>
    <r>
      <rPr>
        <sz val="10"/>
        <color theme="1"/>
        <rFont val="宋体"/>
        <charset val="134"/>
      </rPr>
      <t>输入电压数字量</t>
    </r>
  </si>
  <si>
    <t>s16UaiPu2</t>
  </si>
  <si>
    <r>
      <rPr>
        <sz val="10"/>
        <color theme="1"/>
        <rFont val="Consolas"/>
        <charset val="134"/>
      </rPr>
      <t>AI2</t>
    </r>
    <r>
      <rPr>
        <sz val="10"/>
        <color theme="1"/>
        <rFont val="宋体"/>
        <charset val="134"/>
      </rPr>
      <t>输入电压数字量</t>
    </r>
  </si>
  <si>
    <t>s16TempInvtPu</t>
  </si>
  <si>
    <r>
      <rPr>
        <sz val="10"/>
        <color theme="1"/>
        <rFont val="宋体"/>
        <charset val="134"/>
      </rPr>
      <t>逆变桥温度数字量</t>
    </r>
  </si>
  <si>
    <t>s16TempRectPu</t>
  </si>
  <si>
    <r>
      <rPr>
        <sz val="10"/>
        <color theme="1"/>
        <rFont val="宋体"/>
        <charset val="134"/>
      </rPr>
      <t>整流桥温度数字量</t>
    </r>
  </si>
  <si>
    <t>s16TempCtrlBrdtPu</t>
  </si>
  <si>
    <r>
      <rPr>
        <sz val="10"/>
        <color theme="1"/>
        <rFont val="宋体"/>
        <charset val="134"/>
      </rPr>
      <t>控制板温度数字量</t>
    </r>
  </si>
  <si>
    <t>u16ProbeStatus</t>
  </si>
  <si>
    <r>
      <rPr>
        <sz val="10"/>
        <color theme="1"/>
        <rFont val="宋体"/>
        <charset val="134"/>
      </rPr>
      <t>探针状态</t>
    </r>
  </si>
  <si>
    <t>s64</t>
  </si>
  <si>
    <t>s64ProbePosEdgePos00</t>
  </si>
  <si>
    <t>S64_MIN</t>
  </si>
  <si>
    <t>S64_MAX</t>
  </si>
  <si>
    <t>pulse</t>
  </si>
  <si>
    <r>
      <rPr>
        <sz val="10"/>
        <color theme="1"/>
        <rFont val="宋体"/>
        <charset val="134"/>
      </rPr>
      <t>探针</t>
    </r>
    <r>
      <rPr>
        <sz val="10"/>
        <color theme="1"/>
        <rFont val="Consolas"/>
        <charset val="134"/>
      </rPr>
      <t>1</t>
    </r>
    <r>
      <rPr>
        <sz val="10"/>
        <color theme="1"/>
        <rFont val="宋体"/>
        <charset val="134"/>
      </rPr>
      <t>上升沿锁存位置</t>
    </r>
  </si>
  <si>
    <t>s64ProbeNegEdgePos00</t>
  </si>
  <si>
    <r>
      <rPr>
        <sz val="10"/>
        <color theme="1"/>
        <rFont val="宋体"/>
        <charset val="134"/>
      </rPr>
      <t>探针</t>
    </r>
    <r>
      <rPr>
        <sz val="10"/>
        <color theme="1"/>
        <rFont val="Consolas"/>
        <charset val="134"/>
      </rPr>
      <t>1</t>
    </r>
    <r>
      <rPr>
        <sz val="10"/>
        <color theme="1"/>
        <rFont val="宋体"/>
        <charset val="134"/>
      </rPr>
      <t>下降沿锁存位置</t>
    </r>
  </si>
  <si>
    <t>s64ProbePosEdgePos01</t>
  </si>
  <si>
    <r>
      <rPr>
        <sz val="10"/>
        <color theme="1"/>
        <rFont val="宋体"/>
        <charset val="134"/>
      </rPr>
      <t>探针</t>
    </r>
    <r>
      <rPr>
        <sz val="10"/>
        <color theme="1"/>
        <rFont val="Consolas"/>
        <charset val="134"/>
      </rPr>
      <t>2</t>
    </r>
    <r>
      <rPr>
        <sz val="10"/>
        <color theme="1"/>
        <rFont val="宋体"/>
        <charset val="134"/>
      </rPr>
      <t>上升沿锁存位置</t>
    </r>
  </si>
  <si>
    <t>s64ProbeNegEdgePos01</t>
  </si>
  <si>
    <r>
      <rPr>
        <sz val="10"/>
        <color theme="1"/>
        <rFont val="宋体"/>
        <charset val="134"/>
      </rPr>
      <t>探针</t>
    </r>
    <r>
      <rPr>
        <sz val="10"/>
        <color theme="1"/>
        <rFont val="Consolas"/>
        <charset val="134"/>
      </rPr>
      <t>2</t>
    </r>
    <r>
      <rPr>
        <sz val="10"/>
        <color theme="1"/>
        <rFont val="宋体"/>
        <charset val="134"/>
      </rPr>
      <t>下降沿锁存位置</t>
    </r>
  </si>
  <si>
    <t>s64ProbePosEdgePos02</t>
  </si>
  <si>
    <r>
      <rPr>
        <sz val="10"/>
        <color theme="1"/>
        <rFont val="宋体"/>
        <charset val="134"/>
      </rPr>
      <t>探针</t>
    </r>
    <r>
      <rPr>
        <sz val="10"/>
        <color theme="1"/>
        <rFont val="Consolas"/>
        <charset val="134"/>
      </rPr>
      <t>3</t>
    </r>
    <r>
      <rPr>
        <sz val="10"/>
        <color theme="1"/>
        <rFont val="宋体"/>
        <charset val="134"/>
      </rPr>
      <t>上升沿锁存位置</t>
    </r>
  </si>
  <si>
    <t>s64ProbeNegEdgePos02</t>
  </si>
  <si>
    <r>
      <rPr>
        <sz val="10"/>
        <color theme="1"/>
        <rFont val="宋体"/>
        <charset val="134"/>
      </rPr>
      <t>探针</t>
    </r>
    <r>
      <rPr>
        <sz val="10"/>
        <color theme="1"/>
        <rFont val="Consolas"/>
        <charset val="134"/>
      </rPr>
      <t>3</t>
    </r>
    <r>
      <rPr>
        <sz val="10"/>
        <color theme="1"/>
        <rFont val="宋体"/>
        <charset val="134"/>
      </rPr>
      <t>下降沿锁存位置</t>
    </r>
  </si>
  <si>
    <t>s64ProbePosEdgePos03</t>
  </si>
  <si>
    <r>
      <rPr>
        <sz val="10"/>
        <color theme="1"/>
        <rFont val="宋体"/>
        <charset val="134"/>
      </rPr>
      <t>探针</t>
    </r>
    <r>
      <rPr>
        <sz val="10"/>
        <color theme="1"/>
        <rFont val="Consolas"/>
        <charset val="134"/>
      </rPr>
      <t>4</t>
    </r>
    <r>
      <rPr>
        <sz val="10"/>
        <color theme="1"/>
        <rFont val="宋体"/>
        <charset val="134"/>
      </rPr>
      <t>上升沿锁存位置</t>
    </r>
  </si>
  <si>
    <t>s64ProbeNegEdgePos03</t>
  </si>
  <si>
    <r>
      <rPr>
        <sz val="10"/>
        <color theme="1"/>
        <rFont val="宋体"/>
        <charset val="134"/>
      </rPr>
      <t>探针</t>
    </r>
    <r>
      <rPr>
        <sz val="10"/>
        <color theme="1"/>
        <rFont val="Consolas"/>
        <charset val="134"/>
      </rPr>
      <t>4</t>
    </r>
    <r>
      <rPr>
        <sz val="10"/>
        <color theme="1"/>
        <rFont val="宋体"/>
        <charset val="134"/>
      </rPr>
      <t>下降沿锁存位置</t>
    </r>
  </si>
  <si>
    <t>u16HrTimerSel</t>
  </si>
  <si>
    <t>8</t>
  </si>
  <si>
    <r>
      <rPr>
        <sz val="10"/>
        <color theme="1"/>
        <rFont val="宋体"/>
        <charset val="134"/>
      </rPr>
      <t>程序段运行计时选择</t>
    </r>
  </si>
  <si>
    <t>u16CycleScanTime</t>
  </si>
  <si>
    <r>
      <rPr>
        <sz val="10"/>
        <color theme="1"/>
        <rFont val="宋体"/>
        <charset val="134"/>
      </rPr>
      <t>主循环程序</t>
    </r>
    <r>
      <rPr>
        <sz val="10"/>
        <color theme="1"/>
        <rFont val="Consolas"/>
        <charset val="134"/>
      </rPr>
      <t>Scan</t>
    </r>
    <r>
      <rPr>
        <sz val="10"/>
        <color theme="1"/>
        <rFont val="宋体"/>
        <charset val="134"/>
      </rPr>
      <t>运行时间</t>
    </r>
  </si>
  <si>
    <t>u16IsrScanATime</t>
  </si>
  <si>
    <r>
      <rPr>
        <sz val="10"/>
        <color theme="1"/>
        <rFont val="宋体"/>
        <charset val="134"/>
      </rPr>
      <t>中断程序</t>
    </r>
    <r>
      <rPr>
        <sz val="10"/>
        <color theme="1"/>
        <rFont val="Consolas"/>
        <charset val="134"/>
      </rPr>
      <t>ScanA</t>
    </r>
    <r>
      <rPr>
        <sz val="10"/>
        <color theme="1"/>
        <rFont val="宋体"/>
        <charset val="134"/>
      </rPr>
      <t>运行时间</t>
    </r>
  </si>
  <si>
    <t>u16IsrScanBTime</t>
  </si>
  <si>
    <r>
      <rPr>
        <sz val="10"/>
        <color theme="1"/>
        <rFont val="宋体"/>
        <charset val="134"/>
      </rPr>
      <t>中断程序</t>
    </r>
    <r>
      <rPr>
        <sz val="10"/>
        <color theme="1"/>
        <rFont val="Consolas"/>
        <charset val="134"/>
      </rPr>
      <t>ScanB</t>
    </r>
    <r>
      <rPr>
        <sz val="10"/>
        <color theme="1"/>
        <rFont val="宋体"/>
        <charset val="134"/>
      </rPr>
      <t>运行时间</t>
    </r>
  </si>
  <si>
    <t>u16IsrPosLoopTime</t>
  </si>
  <si>
    <r>
      <rPr>
        <sz val="10"/>
        <color theme="1"/>
        <rFont val="宋体"/>
        <charset val="134"/>
      </rPr>
      <t>中断程序位置环运行时间</t>
    </r>
  </si>
  <si>
    <t>u16IsrSpdLoopTime</t>
  </si>
  <si>
    <r>
      <rPr>
        <sz val="10"/>
        <color theme="1"/>
        <rFont val="宋体"/>
        <charset val="134"/>
      </rPr>
      <t>中断程序速度环运行时间</t>
    </r>
  </si>
  <si>
    <t>u16IsrCurLoopTime</t>
  </si>
  <si>
    <r>
      <rPr>
        <sz val="10"/>
        <color theme="1"/>
        <rFont val="宋体"/>
        <charset val="134"/>
      </rPr>
      <t>中断程序电流环运行时间</t>
    </r>
  </si>
  <si>
    <t>u16CustomTime0</t>
  </si>
  <si>
    <r>
      <rPr>
        <sz val="10"/>
        <color theme="1"/>
        <rFont val="宋体"/>
        <charset val="134"/>
      </rPr>
      <t>缺省程序运行时间</t>
    </r>
    <r>
      <rPr>
        <sz val="10"/>
        <color theme="1"/>
        <rFont val="Consolas"/>
        <charset val="134"/>
      </rPr>
      <t>0</t>
    </r>
  </si>
  <si>
    <t>u16CustomTime1</t>
  </si>
  <si>
    <r>
      <rPr>
        <sz val="10"/>
        <color theme="1"/>
        <rFont val="宋体"/>
        <charset val="134"/>
      </rPr>
      <t>缺省程序运行时间</t>
    </r>
    <r>
      <rPr>
        <sz val="10"/>
        <color theme="1"/>
        <rFont val="Consolas"/>
        <charset val="134"/>
      </rPr>
      <t>1</t>
    </r>
  </si>
  <si>
    <r>
      <rPr>
        <sz val="10"/>
        <color theme="1"/>
        <rFont val="Consolas"/>
        <charset val="134"/>
      </rPr>
      <t xml:space="preserve">270, A4 </t>
    </r>
    <r>
      <rPr>
        <sz val="10"/>
        <color theme="1"/>
        <rFont val="宋体"/>
        <charset val="134"/>
      </rPr>
      <t>曲线采样选择</t>
    </r>
  </si>
  <si>
    <r>
      <rPr>
        <sz val="10"/>
        <color theme="1"/>
        <rFont val="Consolas"/>
        <charset val="134"/>
      </rPr>
      <t xml:space="preserve">272, A4 </t>
    </r>
    <r>
      <rPr>
        <sz val="10"/>
        <color theme="1"/>
        <rFont val="宋体"/>
        <charset val="134"/>
      </rPr>
      <t>曲线采样周期</t>
    </r>
  </si>
  <si>
    <r>
      <rPr>
        <sz val="10"/>
        <color theme="1"/>
        <rFont val="Consolas"/>
        <charset val="134"/>
      </rPr>
      <t xml:space="preserve">277, A4 </t>
    </r>
    <r>
      <rPr>
        <sz val="10"/>
        <color theme="1"/>
        <rFont val="宋体"/>
        <charset val="134"/>
      </rPr>
      <t>曲线采样选择</t>
    </r>
  </si>
  <si>
    <r>
      <rPr>
        <sz val="10"/>
        <color theme="1"/>
        <rFont val="Consolas"/>
        <charset val="134"/>
      </rPr>
      <t xml:space="preserve">278, A4 </t>
    </r>
    <r>
      <rPr>
        <sz val="10"/>
        <color theme="1"/>
        <rFont val="宋体"/>
        <charset val="134"/>
      </rPr>
      <t>曲线采样点数</t>
    </r>
  </si>
  <si>
    <t>s16DbgBuf1</t>
  </si>
  <si>
    <t>s16DbgBuf2</t>
  </si>
  <si>
    <t>s16DbgBuf3</t>
  </si>
  <si>
    <t>s16DbgBuf4</t>
  </si>
  <si>
    <t>u16DbgBuf1</t>
  </si>
  <si>
    <t>u16DbgBuf2</t>
  </si>
  <si>
    <t>u16DbgBuf3</t>
  </si>
  <si>
    <t>u16DbgBuf4</t>
  </si>
  <si>
    <t>s32</t>
  </si>
  <si>
    <t>s32DbgBuf1</t>
  </si>
  <si>
    <t>S32_MIN</t>
  </si>
  <si>
    <t>S32_MAX</t>
  </si>
  <si>
    <t>s32DbgBuf2</t>
  </si>
  <si>
    <t>s32DbgBuf3</t>
  </si>
  <si>
    <t>s32DbgBuf4</t>
  </si>
  <si>
    <t>u32DbgBuf1</t>
  </si>
  <si>
    <t>u32DbgBuf2</t>
  </si>
  <si>
    <t>u32DbgBuf3</t>
  </si>
  <si>
    <t>u32DbgBuf4</t>
  </si>
  <si>
    <t>eAxisNo</t>
  </si>
  <si>
    <t>轴号</t>
  </si>
  <si>
    <t>u16MotEncSel</t>
  </si>
  <si>
    <t>电机选择</t>
  </si>
  <si>
    <r>
      <rPr>
        <sz val="10"/>
        <color theme="1"/>
        <rFont val="Consolas"/>
        <charset val="134"/>
      </rPr>
      <t>0-</t>
    </r>
    <r>
      <rPr>
        <sz val="10"/>
        <color theme="1"/>
        <rFont val="宋体"/>
        <charset val="134"/>
      </rPr>
      <t>自定义</t>
    </r>
    <r>
      <rPr>
        <sz val="10"/>
        <color theme="1"/>
        <rFont val="Consolas"/>
        <charset val="134"/>
      </rPr>
      <t xml:space="preserve">
1-2804</t>
    </r>
    <r>
      <rPr>
        <sz val="10"/>
        <color theme="1"/>
        <rFont val="宋体"/>
        <charset val="134"/>
      </rPr>
      <t>无刷电机</t>
    </r>
    <r>
      <rPr>
        <sz val="10"/>
        <color theme="1"/>
        <rFont val="Consolas"/>
        <charset val="134"/>
      </rPr>
      <t>, 14</t>
    </r>
    <r>
      <rPr>
        <sz val="10"/>
        <color theme="1"/>
        <rFont val="宋体"/>
        <charset val="134"/>
      </rPr>
      <t>位单圈绝对值磁编码器</t>
    </r>
    <r>
      <rPr>
        <sz val="10"/>
        <color theme="1"/>
        <rFont val="Consolas"/>
        <charset val="134"/>
      </rPr>
      <t>MT6701</t>
    </r>
    <r>
      <rPr>
        <sz val="10"/>
        <color theme="1"/>
        <rFont val="宋体"/>
        <charset val="134"/>
      </rPr>
      <t>。</t>
    </r>
  </si>
  <si>
    <t>u16MotPolePairs</t>
  </si>
  <si>
    <t>10</t>
  </si>
  <si>
    <t>允许保存，不可恢复</t>
  </si>
  <si>
    <r>
      <rPr>
        <sz val="10"/>
        <color theme="1"/>
        <rFont val="宋体"/>
        <charset val="134"/>
      </rPr>
      <t>电机极对数</t>
    </r>
  </si>
  <si>
    <t>u32MotInertia</t>
  </si>
  <si>
    <t>0.001kg.cm2</t>
  </si>
  <si>
    <r>
      <rPr>
        <sz val="10"/>
        <color theme="1"/>
        <rFont val="宋体"/>
        <charset val="134"/>
      </rPr>
      <t>电机转动惯量</t>
    </r>
  </si>
  <si>
    <t>u16MotStatorRes</t>
  </si>
  <si>
    <t>mΩ</t>
  </si>
  <si>
    <r>
      <rPr>
        <sz val="10"/>
        <color theme="1"/>
        <rFont val="宋体"/>
        <charset val="134"/>
      </rPr>
      <t>电机定子电阻</t>
    </r>
  </si>
  <si>
    <t>u16MotStatorLd</t>
  </si>
  <si>
    <t>0.01mH</t>
  </si>
  <si>
    <r>
      <rPr>
        <sz val="10"/>
        <color theme="1"/>
        <rFont val="宋体"/>
        <charset val="134"/>
      </rPr>
      <t>电机定子</t>
    </r>
    <r>
      <rPr>
        <sz val="10"/>
        <color theme="1"/>
        <rFont val="Consolas"/>
        <charset val="134"/>
      </rPr>
      <t>D</t>
    </r>
    <r>
      <rPr>
        <sz val="10"/>
        <color theme="1"/>
        <rFont val="宋体"/>
        <charset val="134"/>
      </rPr>
      <t>轴电感</t>
    </r>
  </si>
  <si>
    <t>u16MotStatorLq</t>
  </si>
  <si>
    <r>
      <rPr>
        <sz val="10"/>
        <color theme="1"/>
        <rFont val="宋体"/>
        <charset val="134"/>
      </rPr>
      <t>电机定子</t>
    </r>
    <r>
      <rPr>
        <sz val="10"/>
        <color theme="1"/>
        <rFont val="Consolas"/>
        <charset val="134"/>
      </rPr>
      <t>Q</t>
    </r>
    <r>
      <rPr>
        <sz val="10"/>
        <color theme="1"/>
        <rFont val="宋体"/>
        <charset val="134"/>
      </rPr>
      <t>轴电感</t>
    </r>
  </si>
  <si>
    <t>u16MotEmfCoeff</t>
  </si>
  <si>
    <r>
      <rPr>
        <sz val="10"/>
        <color theme="1"/>
        <rFont val="宋体"/>
        <charset val="134"/>
      </rPr>
      <t>电机反电动势常数</t>
    </r>
  </si>
  <si>
    <t>u16MotTrqCoeff</t>
  </si>
  <si>
    <r>
      <rPr>
        <sz val="10"/>
        <color theme="1"/>
        <rFont val="宋体"/>
        <charset val="134"/>
      </rPr>
      <t>电机转矩系数</t>
    </r>
  </si>
  <si>
    <t>u16MotTm</t>
  </si>
  <si>
    <t>0.01ms</t>
  </si>
  <si>
    <r>
      <rPr>
        <sz val="10"/>
        <color theme="1"/>
        <rFont val="宋体"/>
        <charset val="134"/>
      </rPr>
      <t>电机机械时间常数</t>
    </r>
  </si>
  <si>
    <t>u16MotVoltInRate</t>
  </si>
  <si>
    <t>V</t>
  </si>
  <si>
    <r>
      <rPr>
        <sz val="10"/>
        <color theme="1"/>
        <rFont val="宋体"/>
        <charset val="134"/>
      </rPr>
      <t>电机额定输入电压</t>
    </r>
  </si>
  <si>
    <t>0-AC380
1-AC220
2-DC24
3-DC48
4-DC80</t>
  </si>
  <si>
    <t>u16MotPowerRate</t>
  </si>
  <si>
    <t>0.01kW</t>
  </si>
  <si>
    <r>
      <rPr>
        <sz val="10"/>
        <color theme="1"/>
        <rFont val="宋体"/>
        <charset val="134"/>
      </rPr>
      <t>电机额定功率</t>
    </r>
  </si>
  <si>
    <t>u16MotCurRate</t>
  </si>
  <si>
    <r>
      <rPr>
        <sz val="10"/>
        <color theme="1"/>
        <rFont val="宋体"/>
        <charset val="134"/>
      </rPr>
      <t>电机额定电流</t>
    </r>
  </si>
  <si>
    <t>u16MotCurMax</t>
  </si>
  <si>
    <r>
      <rPr>
        <sz val="10"/>
        <color theme="1"/>
        <rFont val="宋体"/>
        <charset val="134"/>
      </rPr>
      <t>电机最大电流</t>
    </r>
  </si>
  <si>
    <t>u16MotTrqRate</t>
  </si>
  <si>
    <t>0.01N·m</t>
  </si>
  <si>
    <r>
      <rPr>
        <sz val="10"/>
        <color theme="1"/>
        <rFont val="宋体"/>
        <charset val="134"/>
      </rPr>
      <t>电机额定转矩</t>
    </r>
  </si>
  <si>
    <t>u16MotTrqMax</t>
  </si>
  <si>
    <r>
      <rPr>
        <sz val="10"/>
        <color theme="1"/>
        <rFont val="宋体"/>
        <charset val="134"/>
      </rPr>
      <t>电机最大转矩</t>
    </r>
  </si>
  <si>
    <t>u16MotSpdRate</t>
  </si>
  <si>
    <t>rpm</t>
  </si>
  <si>
    <r>
      <rPr>
        <sz val="10"/>
        <color theme="1"/>
        <rFont val="宋体"/>
        <charset val="134"/>
      </rPr>
      <t>电机额定转速</t>
    </r>
  </si>
  <si>
    <t>u16MotSpdMax</t>
  </si>
  <si>
    <r>
      <rPr>
        <sz val="10"/>
        <color theme="1"/>
        <rFont val="宋体"/>
        <charset val="134"/>
      </rPr>
      <t>电机最大转速</t>
    </r>
  </si>
  <si>
    <t>u16MotAccMax</t>
  </si>
  <si>
    <t>m/s2</t>
  </si>
  <si>
    <t>电机最大加速度</t>
  </si>
  <si>
    <t>u16EncSN</t>
  </si>
  <si>
    <r>
      <rPr>
        <sz val="10"/>
        <color theme="1"/>
        <rFont val="宋体"/>
        <charset val="134"/>
      </rPr>
      <t>编码器序列号</t>
    </r>
  </si>
  <si>
    <t>u16EncMethod</t>
  </si>
  <si>
    <r>
      <rPr>
        <sz val="11"/>
        <color theme="1"/>
        <rFont val="宋体"/>
        <charset val="134"/>
      </rPr>
      <t>编码器原理</t>
    </r>
  </si>
  <si>
    <r>
      <rPr>
        <sz val="10"/>
        <color theme="1"/>
        <rFont val="Consolas"/>
        <charset val="134"/>
      </rPr>
      <t>0-</t>
    </r>
    <r>
      <rPr>
        <sz val="10"/>
        <color theme="1"/>
        <rFont val="宋体"/>
        <charset val="134"/>
      </rPr>
      <t>无；</t>
    </r>
    <r>
      <rPr>
        <sz val="10"/>
        <color theme="1"/>
        <rFont val="Consolas"/>
        <charset val="134"/>
      </rPr>
      <t xml:space="preserve">
1-</t>
    </r>
    <r>
      <rPr>
        <sz val="10"/>
        <color theme="1"/>
        <rFont val="宋体"/>
        <charset val="134"/>
      </rPr>
      <t>光编码器；</t>
    </r>
    <r>
      <rPr>
        <sz val="10"/>
        <color theme="1"/>
        <rFont val="Consolas"/>
        <charset val="134"/>
      </rPr>
      <t xml:space="preserve">
2-</t>
    </r>
    <r>
      <rPr>
        <sz val="10"/>
        <color theme="1"/>
        <rFont val="宋体"/>
        <charset val="134"/>
      </rPr>
      <t>磁编码器；</t>
    </r>
    <r>
      <rPr>
        <sz val="10"/>
        <color theme="1"/>
        <rFont val="Consolas"/>
        <charset val="134"/>
      </rPr>
      <t xml:space="preserve">
3-</t>
    </r>
    <r>
      <rPr>
        <sz val="10"/>
        <color theme="1"/>
        <rFont val="宋体"/>
        <charset val="134"/>
      </rPr>
      <t>霍尔；</t>
    </r>
    <r>
      <rPr>
        <sz val="10"/>
        <color theme="1"/>
        <rFont val="Consolas"/>
        <charset val="134"/>
      </rPr>
      <t xml:space="preserve">
4-</t>
    </r>
    <r>
      <rPr>
        <sz val="10"/>
        <color theme="1"/>
        <rFont val="宋体"/>
        <charset val="134"/>
      </rPr>
      <t>电感式；</t>
    </r>
    <r>
      <rPr>
        <sz val="10"/>
        <color theme="1"/>
        <rFont val="Consolas"/>
        <charset val="134"/>
      </rPr>
      <t xml:space="preserve">
5-</t>
    </r>
    <r>
      <rPr>
        <sz val="10"/>
        <color theme="1"/>
        <rFont val="宋体"/>
        <charset val="134"/>
      </rPr>
      <t>旋变；</t>
    </r>
  </si>
  <si>
    <t>u16EncType</t>
  </si>
  <si>
    <r>
      <rPr>
        <sz val="10"/>
        <color theme="1"/>
        <rFont val="宋体"/>
        <charset val="134"/>
      </rPr>
      <t>编码器类型</t>
    </r>
  </si>
  <si>
    <r>
      <rPr>
        <sz val="10"/>
        <color theme="1"/>
        <rFont val="Consolas"/>
        <charset val="134"/>
      </rPr>
      <t>0-Hall
1-Tformat
2-12B</t>
    </r>
    <r>
      <rPr>
        <sz val="10"/>
        <color theme="1"/>
        <rFont val="宋体"/>
        <charset val="134"/>
      </rPr>
      <t>磁编</t>
    </r>
    <r>
      <rPr>
        <sz val="10"/>
        <color theme="1"/>
        <rFont val="Consolas"/>
        <charset val="134"/>
      </rPr>
      <t xml:space="preserve"> AS5600
3-14B</t>
    </r>
    <r>
      <rPr>
        <sz val="10"/>
        <color theme="1"/>
        <rFont val="宋体"/>
        <charset val="134"/>
      </rPr>
      <t>磁编</t>
    </r>
    <r>
      <rPr>
        <sz val="10"/>
        <color theme="1"/>
        <rFont val="Consolas"/>
        <charset val="134"/>
      </rPr>
      <t xml:space="preserve"> MT6701
4-14B</t>
    </r>
    <r>
      <rPr>
        <sz val="10"/>
        <color theme="1"/>
        <rFont val="宋体"/>
        <charset val="134"/>
      </rPr>
      <t>磁编</t>
    </r>
    <r>
      <rPr>
        <sz val="10"/>
        <color theme="1"/>
        <rFont val="Consolas"/>
        <charset val="134"/>
      </rPr>
      <t xml:space="preserve"> MT6816
5-21B</t>
    </r>
    <r>
      <rPr>
        <sz val="10"/>
        <color theme="1"/>
        <rFont val="宋体"/>
        <charset val="134"/>
      </rPr>
      <t>磁编</t>
    </r>
    <r>
      <rPr>
        <sz val="10"/>
        <color theme="1"/>
        <rFont val="Consolas"/>
        <charset val="134"/>
      </rPr>
      <t xml:space="preserve"> MT6835
6-ABZ</t>
    </r>
    <r>
      <rPr>
        <sz val="10"/>
        <color theme="1"/>
        <rFont val="宋体"/>
        <charset val="134"/>
      </rPr>
      <t>光编</t>
    </r>
    <r>
      <rPr>
        <sz val="10"/>
        <color theme="1"/>
        <rFont val="Consolas"/>
        <charset val="134"/>
      </rPr>
      <t xml:space="preserve"> 2500</t>
    </r>
    <r>
      <rPr>
        <sz val="10"/>
        <color theme="1"/>
        <rFont val="宋体"/>
        <charset val="134"/>
      </rPr>
      <t>线</t>
    </r>
    <r>
      <rPr>
        <sz val="10"/>
        <color theme="1"/>
        <rFont val="Consolas"/>
        <charset val="134"/>
      </rPr>
      <t xml:space="preserve">
7-ABZ</t>
    </r>
    <r>
      <rPr>
        <sz val="10"/>
        <color theme="1"/>
        <rFont val="宋体"/>
        <charset val="134"/>
      </rPr>
      <t>光编</t>
    </r>
    <r>
      <rPr>
        <sz val="10"/>
        <color theme="1"/>
        <rFont val="Consolas"/>
        <charset val="134"/>
      </rPr>
      <t xml:space="preserve"> 1000</t>
    </r>
    <r>
      <rPr>
        <sz val="10"/>
        <color theme="1"/>
        <rFont val="宋体"/>
        <charset val="134"/>
      </rPr>
      <t>线</t>
    </r>
  </si>
  <si>
    <t>u32EncRes</t>
  </si>
  <si>
    <t>6</t>
  </si>
  <si>
    <r>
      <rPr>
        <sz val="10"/>
        <color theme="1"/>
        <rFont val="宋体"/>
        <charset val="134"/>
      </rPr>
      <t>编码器分辨率</t>
    </r>
  </si>
  <si>
    <t>u32EncPosOffset</t>
  </si>
  <si>
    <t>U32_MIN</t>
  </si>
  <si>
    <t>电角度偏置</t>
  </si>
  <si>
    <t>u32EncPosInit</t>
  </si>
  <si>
    <r>
      <rPr>
        <sz val="10"/>
        <color theme="1"/>
        <rFont val="宋体"/>
        <charset val="134"/>
      </rPr>
      <t>编码器初始位置</t>
    </r>
  </si>
  <si>
    <t>u32EncPos</t>
  </si>
  <si>
    <r>
      <rPr>
        <sz val="10"/>
        <color theme="1"/>
        <rFont val="宋体"/>
        <charset val="134"/>
      </rPr>
      <t>编码器单圈位置</t>
    </r>
  </si>
  <si>
    <t>s32EncTurns</t>
  </si>
  <si>
    <r>
      <rPr>
        <sz val="10"/>
        <color theme="1"/>
        <rFont val="宋体"/>
        <charset val="134"/>
      </rPr>
      <t>编码器圈数</t>
    </r>
  </si>
  <si>
    <t>s64EncMultPos</t>
  </si>
  <si>
    <t>编码器多圈位置</t>
  </si>
  <si>
    <t>u16EncHallState</t>
  </si>
  <si>
    <t>编码器霍尔真值状态</t>
  </si>
  <si>
    <t>u16AbsEncWorkMode</t>
  </si>
  <si>
    <r>
      <rPr>
        <sz val="10"/>
        <color theme="1"/>
        <rFont val="宋体"/>
        <charset val="134"/>
      </rPr>
      <t>轴配置</t>
    </r>
    <r>
      <rPr>
        <sz val="10"/>
        <color theme="1"/>
        <rFont val="Consolas"/>
        <charset val="134"/>
      </rPr>
      <t>.</t>
    </r>
    <r>
      <rPr>
        <sz val="10"/>
        <color theme="1"/>
        <rFont val="宋体"/>
        <charset val="134"/>
      </rPr>
      <t>绝对值编码器工作模式</t>
    </r>
  </si>
  <si>
    <t>0-INC
1-ABS</t>
  </si>
  <si>
    <t>u16PwmFreq</t>
  </si>
  <si>
    <t>0.1kHz</t>
  </si>
  <si>
    <r>
      <rPr>
        <sz val="10"/>
        <color theme="1"/>
        <rFont val="Consolas"/>
        <charset val="134"/>
      </rPr>
      <t>PWM</t>
    </r>
    <r>
      <rPr>
        <sz val="10"/>
        <color theme="1"/>
        <rFont val="宋体"/>
        <charset val="134"/>
      </rPr>
      <t>载波频率</t>
    </r>
  </si>
  <si>
    <t>u16PwmDutyMax</t>
  </si>
  <si>
    <r>
      <rPr>
        <sz val="10"/>
        <color theme="1"/>
        <rFont val="Consolas"/>
        <charset val="134"/>
      </rPr>
      <t>PWM</t>
    </r>
    <r>
      <rPr>
        <sz val="10"/>
        <color theme="1"/>
        <rFont val="宋体"/>
        <charset val="134"/>
      </rPr>
      <t>最大占空比</t>
    </r>
  </si>
  <si>
    <t>u16PwmDeadband</t>
  </si>
  <si>
    <t>20</t>
  </si>
  <si>
    <t>0.1us</t>
  </si>
  <si>
    <r>
      <rPr>
        <sz val="10"/>
        <color theme="1"/>
        <rFont val="Consolas"/>
        <charset val="134"/>
      </rPr>
      <t>PWM</t>
    </r>
    <r>
      <rPr>
        <sz val="10"/>
        <color theme="1"/>
        <rFont val="宋体"/>
        <charset val="134"/>
      </rPr>
      <t>死区时间</t>
    </r>
  </si>
  <si>
    <t>u16PosLoopKp</t>
  </si>
  <si>
    <t>1500</t>
  </si>
  <si>
    <r>
      <rPr>
        <sz val="10"/>
        <color theme="1"/>
        <rFont val="宋体"/>
        <charset val="134"/>
      </rPr>
      <t>轴配置</t>
    </r>
    <r>
      <rPr>
        <sz val="10"/>
        <color theme="1"/>
        <rFont val="Consolas"/>
        <charset val="134"/>
      </rPr>
      <t>.</t>
    </r>
    <r>
      <rPr>
        <sz val="10"/>
        <color theme="1"/>
        <rFont val="宋体"/>
        <charset val="134"/>
      </rPr>
      <t>位置环增益系数</t>
    </r>
  </si>
  <si>
    <t>u16PosLoopKi</t>
  </si>
  <si>
    <t>250</t>
  </si>
  <si>
    <r>
      <rPr>
        <sz val="10"/>
        <color theme="1"/>
        <rFont val="宋体"/>
        <charset val="134"/>
      </rPr>
      <t>轴配置</t>
    </r>
    <r>
      <rPr>
        <sz val="10"/>
        <color theme="1"/>
        <rFont val="Consolas"/>
        <charset val="134"/>
      </rPr>
      <t>.</t>
    </r>
    <r>
      <rPr>
        <sz val="10"/>
        <color theme="1"/>
        <rFont val="宋体"/>
        <charset val="134"/>
      </rPr>
      <t>位置环积分系数</t>
    </r>
  </si>
  <si>
    <t>u16SpdLoopKp</t>
  </si>
  <si>
    <r>
      <rPr>
        <sz val="10"/>
        <color theme="1"/>
        <rFont val="宋体"/>
        <charset val="134"/>
      </rPr>
      <t>轴配置</t>
    </r>
    <r>
      <rPr>
        <sz val="10"/>
        <color theme="1"/>
        <rFont val="Consolas"/>
        <charset val="134"/>
      </rPr>
      <t>.</t>
    </r>
    <r>
      <rPr>
        <sz val="10"/>
        <color theme="1"/>
        <rFont val="宋体"/>
        <charset val="134"/>
      </rPr>
      <t>速度环增益系数</t>
    </r>
  </si>
  <si>
    <t>u16SpdLoopKi</t>
  </si>
  <si>
    <r>
      <rPr>
        <sz val="10"/>
        <color theme="1"/>
        <rFont val="宋体"/>
        <charset val="134"/>
      </rPr>
      <t>轴配置</t>
    </r>
    <r>
      <rPr>
        <sz val="10"/>
        <color theme="1"/>
        <rFont val="Consolas"/>
        <charset val="134"/>
      </rPr>
      <t>.</t>
    </r>
    <r>
      <rPr>
        <sz val="10"/>
        <color theme="1"/>
        <rFont val="宋体"/>
        <charset val="134"/>
      </rPr>
      <t>速度环积分系数</t>
    </r>
  </si>
  <si>
    <t>u16CurLoopIqKp</t>
  </si>
  <si>
    <t>60</t>
  </si>
  <si>
    <r>
      <rPr>
        <sz val="10"/>
        <color theme="1"/>
        <rFont val="宋体"/>
        <charset val="134"/>
      </rPr>
      <t>轴配置</t>
    </r>
    <r>
      <rPr>
        <sz val="10"/>
        <color theme="1"/>
        <rFont val="Consolas"/>
        <charset val="134"/>
      </rPr>
      <t>.</t>
    </r>
    <r>
      <rPr>
        <sz val="10"/>
        <color theme="1"/>
        <rFont val="宋体"/>
        <charset val="134"/>
      </rPr>
      <t>电流环转矩增益系数</t>
    </r>
  </si>
  <si>
    <t>u16CurLoopIqKi</t>
  </si>
  <si>
    <r>
      <rPr>
        <sz val="10"/>
        <color theme="1"/>
        <rFont val="宋体"/>
        <charset val="134"/>
      </rPr>
      <t>轴配置</t>
    </r>
    <r>
      <rPr>
        <sz val="10"/>
        <color theme="1"/>
        <rFont val="Consolas"/>
        <charset val="134"/>
      </rPr>
      <t>.</t>
    </r>
    <r>
      <rPr>
        <sz val="10"/>
        <color theme="1"/>
        <rFont val="宋体"/>
        <charset val="134"/>
      </rPr>
      <t>电流环转矩积分系数</t>
    </r>
  </si>
  <si>
    <t>u16CurLoopIdKp</t>
  </si>
  <si>
    <r>
      <rPr>
        <sz val="10"/>
        <color theme="1"/>
        <rFont val="宋体"/>
        <charset val="134"/>
      </rPr>
      <t>轴配置</t>
    </r>
    <r>
      <rPr>
        <sz val="10"/>
        <color theme="1"/>
        <rFont val="Consolas"/>
        <charset val="134"/>
      </rPr>
      <t>.</t>
    </r>
    <r>
      <rPr>
        <sz val="10"/>
        <color theme="1"/>
        <rFont val="宋体"/>
        <charset val="134"/>
      </rPr>
      <t>电流环磁链增益系数</t>
    </r>
  </si>
  <si>
    <t>u16CurLoopIdKi</t>
  </si>
  <si>
    <r>
      <rPr>
        <sz val="10"/>
        <color theme="1"/>
        <rFont val="宋体"/>
        <charset val="134"/>
      </rPr>
      <t>轴配置</t>
    </r>
    <r>
      <rPr>
        <sz val="10"/>
        <color theme="1"/>
        <rFont val="Consolas"/>
        <charset val="134"/>
      </rPr>
      <t>.</t>
    </r>
    <r>
      <rPr>
        <sz val="10"/>
        <color theme="1"/>
        <rFont val="宋体"/>
        <charset val="134"/>
      </rPr>
      <t>电流环磁链积分系数</t>
    </r>
  </si>
  <si>
    <t>u16SpdRefFltrTc</t>
  </si>
  <si>
    <r>
      <rPr>
        <sz val="10"/>
        <color theme="1"/>
        <rFont val="宋体"/>
        <charset val="134"/>
      </rPr>
      <t>轴配置</t>
    </r>
    <r>
      <rPr>
        <sz val="10"/>
        <color theme="1"/>
        <rFont val="Consolas"/>
        <charset val="134"/>
      </rPr>
      <t>.</t>
    </r>
    <r>
      <rPr>
        <sz val="10"/>
        <color theme="1"/>
        <rFont val="宋体"/>
        <charset val="134"/>
      </rPr>
      <t>速度指令滤波常数</t>
    </r>
  </si>
  <si>
    <t>u16SpdFbFltrTc</t>
  </si>
  <si>
    <r>
      <rPr>
        <sz val="10"/>
        <color theme="1"/>
        <rFont val="宋体"/>
        <charset val="134"/>
      </rPr>
      <t>轴配置</t>
    </r>
    <r>
      <rPr>
        <sz val="10"/>
        <color theme="1"/>
        <rFont val="Consolas"/>
        <charset val="134"/>
      </rPr>
      <t>.</t>
    </r>
    <r>
      <rPr>
        <sz val="10"/>
        <color theme="1"/>
        <rFont val="宋体"/>
        <charset val="134"/>
      </rPr>
      <t>速度反馈滤波常数</t>
    </r>
  </si>
  <si>
    <t>u16IdRefFltrTc</t>
  </si>
  <si>
    <r>
      <rPr>
        <sz val="10"/>
        <color theme="1"/>
        <rFont val="宋体"/>
        <charset val="134"/>
      </rPr>
      <t>轴配置</t>
    </r>
    <r>
      <rPr>
        <sz val="10"/>
        <color theme="1"/>
        <rFont val="Consolas"/>
        <charset val="134"/>
      </rPr>
      <t>.</t>
    </r>
    <r>
      <rPr>
        <sz val="10"/>
        <color theme="1"/>
        <rFont val="宋体"/>
        <charset val="134"/>
      </rPr>
      <t>转矩指令滤波常数</t>
    </r>
  </si>
  <si>
    <t>u16IdFbFltrTc</t>
  </si>
  <si>
    <r>
      <rPr>
        <sz val="10"/>
        <color theme="1"/>
        <rFont val="宋体"/>
        <charset val="134"/>
      </rPr>
      <t>轴配置</t>
    </r>
    <r>
      <rPr>
        <sz val="10"/>
        <color theme="1"/>
        <rFont val="Consolas"/>
        <charset val="134"/>
      </rPr>
      <t>.</t>
    </r>
    <r>
      <rPr>
        <sz val="10"/>
        <color theme="1"/>
        <rFont val="宋体"/>
        <charset val="134"/>
      </rPr>
      <t>转矩反馈滤波常数</t>
    </r>
  </si>
  <si>
    <t>u16IqRefFltrTc</t>
  </si>
  <si>
    <r>
      <rPr>
        <sz val="10"/>
        <color theme="1"/>
        <rFont val="宋体"/>
        <charset val="134"/>
      </rPr>
      <t>轴配置</t>
    </r>
    <r>
      <rPr>
        <sz val="10"/>
        <color theme="1"/>
        <rFont val="Consolas"/>
        <charset val="134"/>
      </rPr>
      <t>.</t>
    </r>
    <r>
      <rPr>
        <sz val="10"/>
        <color theme="1"/>
        <rFont val="宋体"/>
        <charset val="134"/>
      </rPr>
      <t>磁链指令滤波常数</t>
    </r>
  </si>
  <si>
    <t>u16IqFbFltrTc</t>
  </si>
  <si>
    <r>
      <rPr>
        <sz val="10"/>
        <color theme="1"/>
        <rFont val="宋体"/>
        <charset val="134"/>
      </rPr>
      <t>轴配置</t>
    </r>
    <r>
      <rPr>
        <sz val="10"/>
        <color theme="1"/>
        <rFont val="Consolas"/>
        <charset val="134"/>
      </rPr>
      <t>.</t>
    </r>
    <r>
      <rPr>
        <sz val="10"/>
        <color theme="1"/>
        <rFont val="宋体"/>
        <charset val="134"/>
      </rPr>
      <t>磁链反馈滤波常数</t>
    </r>
  </si>
  <si>
    <t>u16CurSampDir</t>
  </si>
  <si>
    <t>7</t>
  </si>
  <si>
    <r>
      <rPr>
        <sz val="10"/>
        <color theme="1"/>
        <rFont val="宋体"/>
        <charset val="134"/>
      </rPr>
      <t>轴配置</t>
    </r>
    <r>
      <rPr>
        <sz val="10"/>
        <color theme="1"/>
        <rFont val="Consolas"/>
        <charset val="134"/>
      </rPr>
      <t>.</t>
    </r>
    <r>
      <rPr>
        <sz val="10"/>
        <color theme="1"/>
        <rFont val="宋体"/>
        <charset val="134"/>
      </rPr>
      <t>电流采样方向</t>
    </r>
  </si>
  <si>
    <t>u16IphHwCoeff</t>
  </si>
  <si>
    <t>540</t>
  </si>
  <si>
    <r>
      <rPr>
        <sz val="10"/>
        <color theme="1"/>
        <rFont val="宋体"/>
        <charset val="134"/>
      </rPr>
      <t>轴配置</t>
    </r>
    <r>
      <rPr>
        <sz val="10"/>
        <color theme="1"/>
        <rFont val="Consolas"/>
        <charset val="134"/>
      </rPr>
      <t>.</t>
    </r>
    <r>
      <rPr>
        <sz val="10"/>
        <color theme="1"/>
        <rFont val="宋体"/>
        <charset val="134"/>
      </rPr>
      <t>电流硬件采样系数</t>
    </r>
  </si>
  <si>
    <r>
      <rPr>
        <sz val="10"/>
        <color theme="1"/>
        <rFont val="宋体"/>
        <charset val="134"/>
      </rPr>
      <t>最大电流</t>
    </r>
    <r>
      <rPr>
        <sz val="10"/>
        <color theme="1"/>
        <rFont val="Consolas"/>
        <charset val="134"/>
      </rPr>
      <t xml:space="preserve">(A)*100. </t>
    </r>
    <r>
      <rPr>
        <sz val="10"/>
        <color theme="1"/>
        <rFont val="宋体"/>
        <charset val="134"/>
      </rPr>
      <t>实际电流</t>
    </r>
    <r>
      <rPr>
        <sz val="10"/>
        <color theme="1"/>
        <rFont val="Consolas"/>
        <charset val="134"/>
      </rPr>
      <t>(0.01A)=</t>
    </r>
    <r>
      <rPr>
        <sz val="10"/>
        <color theme="1"/>
        <rFont val="宋体"/>
        <charset val="134"/>
      </rPr>
      <t>相电流系数</t>
    </r>
    <r>
      <rPr>
        <sz val="10"/>
        <color theme="1"/>
        <rFont val="Consolas"/>
        <charset val="134"/>
      </rPr>
      <t>*</t>
    </r>
    <r>
      <rPr>
        <sz val="10"/>
        <color theme="1"/>
        <rFont val="宋体"/>
        <charset val="134"/>
      </rPr>
      <t>反馈电流</t>
    </r>
    <r>
      <rPr>
        <sz val="10"/>
        <color theme="1"/>
        <rFont val="Consolas"/>
        <charset val="134"/>
      </rPr>
      <t>/32768</t>
    </r>
  </si>
  <si>
    <t>u16IphZoom</t>
  </si>
  <si>
    <t>10000</t>
  </si>
  <si>
    <r>
      <rPr>
        <sz val="10"/>
        <color theme="1"/>
        <rFont val="宋体"/>
        <charset val="134"/>
      </rPr>
      <t>轴配置</t>
    </r>
    <r>
      <rPr>
        <sz val="10"/>
        <color theme="1"/>
        <rFont val="Consolas"/>
        <charset val="134"/>
      </rPr>
      <t>.</t>
    </r>
    <r>
      <rPr>
        <sz val="10"/>
        <color theme="1"/>
        <rFont val="宋体"/>
        <charset val="134"/>
      </rPr>
      <t>电流缩放系数</t>
    </r>
  </si>
  <si>
    <t>s16IaOffset</t>
  </si>
  <si>
    <r>
      <rPr>
        <sz val="10"/>
        <color theme="1"/>
        <rFont val="宋体"/>
        <charset val="134"/>
      </rPr>
      <t>轴配置</t>
    </r>
    <r>
      <rPr>
        <sz val="10"/>
        <color theme="1"/>
        <rFont val="Consolas"/>
        <charset val="134"/>
      </rPr>
      <t>.U</t>
    </r>
    <r>
      <rPr>
        <sz val="10"/>
        <color theme="1"/>
        <rFont val="宋体"/>
        <charset val="134"/>
      </rPr>
      <t>相电流偏置标幺值</t>
    </r>
  </si>
  <si>
    <t>s16IbOffset</t>
  </si>
  <si>
    <r>
      <rPr>
        <sz val="10"/>
        <color theme="1"/>
        <rFont val="宋体"/>
        <charset val="134"/>
      </rPr>
      <t>轴配置</t>
    </r>
    <r>
      <rPr>
        <sz val="10"/>
        <color theme="1"/>
        <rFont val="Consolas"/>
        <charset val="134"/>
      </rPr>
      <t>.V</t>
    </r>
    <r>
      <rPr>
        <sz val="10"/>
        <color theme="1"/>
        <rFont val="宋体"/>
        <charset val="134"/>
      </rPr>
      <t>相电流偏置标幺值</t>
    </r>
  </si>
  <si>
    <t>s16IcOffset</t>
  </si>
  <si>
    <r>
      <rPr>
        <sz val="10"/>
        <color theme="1"/>
        <rFont val="宋体"/>
        <charset val="134"/>
      </rPr>
      <t>轴配置</t>
    </r>
    <r>
      <rPr>
        <sz val="10"/>
        <color theme="1"/>
        <rFont val="Consolas"/>
        <charset val="134"/>
      </rPr>
      <t>.W</t>
    </r>
    <r>
      <rPr>
        <sz val="10"/>
        <color theme="1"/>
        <rFont val="宋体"/>
        <charset val="134"/>
      </rPr>
      <t>相电流偏置标幺值</t>
    </r>
  </si>
  <si>
    <t>u16SpdMaxGain</t>
  </si>
  <si>
    <t>%</t>
  </si>
  <si>
    <r>
      <rPr>
        <sz val="10"/>
        <color theme="1"/>
        <rFont val="宋体"/>
        <charset val="134"/>
      </rPr>
      <t>轴配置</t>
    </r>
    <r>
      <rPr>
        <sz val="10"/>
        <color theme="1"/>
        <rFont val="Consolas"/>
        <charset val="134"/>
      </rPr>
      <t>.</t>
    </r>
    <r>
      <rPr>
        <sz val="10"/>
        <color theme="1"/>
        <rFont val="宋体"/>
        <charset val="134"/>
      </rPr>
      <t>最大速度增益</t>
    </r>
  </si>
  <si>
    <t>u16CurRateDigMot</t>
  </si>
  <si>
    <r>
      <rPr>
        <sz val="10"/>
        <color theme="1"/>
        <rFont val="宋体"/>
        <charset val="134"/>
      </rPr>
      <t>轴配置</t>
    </r>
    <r>
      <rPr>
        <sz val="10"/>
        <color theme="1"/>
        <rFont val="Consolas"/>
        <charset val="134"/>
      </rPr>
      <t>.</t>
    </r>
    <r>
      <rPr>
        <sz val="10"/>
        <color theme="1"/>
        <rFont val="宋体"/>
        <charset val="134"/>
      </rPr>
      <t>额定电流数字量</t>
    </r>
  </si>
  <si>
    <t>u16OverCurrTh</t>
  </si>
  <si>
    <r>
      <rPr>
        <sz val="10"/>
        <color theme="1"/>
        <rFont val="宋体"/>
        <charset val="134"/>
      </rPr>
      <t>轴配置</t>
    </r>
    <r>
      <rPr>
        <sz val="10"/>
        <color theme="1"/>
        <rFont val="Consolas"/>
        <charset val="134"/>
      </rPr>
      <t>.</t>
    </r>
    <r>
      <rPr>
        <sz val="10"/>
        <color theme="1"/>
        <rFont val="宋体"/>
        <charset val="134"/>
      </rPr>
      <t>软件过流阈值</t>
    </r>
  </si>
  <si>
    <r>
      <rPr>
        <sz val="10"/>
        <color theme="1"/>
        <rFont val="宋体"/>
        <charset val="134"/>
      </rPr>
      <t>驱动器和电机额定电流数字量中较小值的</t>
    </r>
    <r>
      <rPr>
        <sz val="10"/>
        <color theme="1"/>
        <rFont val="Consolas"/>
        <charset val="134"/>
      </rPr>
      <t>3.9</t>
    </r>
    <r>
      <rPr>
        <sz val="10"/>
        <color theme="1"/>
        <rFont val="宋体"/>
        <charset val="134"/>
      </rPr>
      <t>倍</t>
    </r>
  </si>
  <si>
    <t>u16OverSpdTh</t>
  </si>
  <si>
    <r>
      <rPr>
        <sz val="10"/>
        <color theme="1"/>
        <rFont val="宋体"/>
        <charset val="134"/>
      </rPr>
      <t>轴配置</t>
    </r>
    <r>
      <rPr>
        <sz val="10"/>
        <color theme="1"/>
        <rFont val="Consolas"/>
        <charset val="134"/>
      </rPr>
      <t>.</t>
    </r>
    <r>
      <rPr>
        <sz val="10"/>
        <color theme="1"/>
        <rFont val="宋体"/>
        <charset val="134"/>
      </rPr>
      <t>过速阈值</t>
    </r>
  </si>
  <si>
    <r>
      <rPr>
        <sz val="10"/>
        <color theme="1"/>
        <rFont val="宋体"/>
        <charset val="134"/>
      </rPr>
      <t>如果速度反馈超过此设定值则触发过速故障保护；设定值为</t>
    </r>
    <r>
      <rPr>
        <sz val="10"/>
        <color theme="1"/>
        <rFont val="Consolas"/>
        <charset val="134"/>
      </rPr>
      <t>0</t>
    </r>
    <r>
      <rPr>
        <sz val="10"/>
        <color theme="1"/>
        <rFont val="宋体"/>
        <charset val="134"/>
      </rPr>
      <t>时则以电机最高转速</t>
    </r>
    <r>
      <rPr>
        <sz val="10"/>
        <color theme="1"/>
        <rFont val="Consolas"/>
        <charset val="134"/>
      </rPr>
      <t>x1.2</t>
    </r>
    <r>
      <rPr>
        <sz val="10"/>
        <color theme="1"/>
        <rFont val="宋体"/>
        <charset val="134"/>
      </rPr>
      <t>倍作为过速阈值；</t>
    </r>
  </si>
  <si>
    <t>u16OverTempTh</t>
  </si>
  <si>
    <t>850</t>
  </si>
  <si>
    <t>1250</t>
  </si>
  <si>
    <r>
      <rPr>
        <sz val="10"/>
        <color theme="1"/>
        <rFont val="宋体"/>
        <charset val="134"/>
      </rPr>
      <t>轴配置</t>
    </r>
    <r>
      <rPr>
        <sz val="10"/>
        <color theme="1"/>
        <rFont val="Consolas"/>
        <charset val="134"/>
      </rPr>
      <t>.</t>
    </r>
    <r>
      <rPr>
        <sz val="10"/>
        <color theme="1"/>
        <rFont val="宋体"/>
        <charset val="134"/>
      </rPr>
      <t>过热阈值</t>
    </r>
  </si>
  <si>
    <t>u16OverLoadCoeff</t>
  </si>
  <si>
    <r>
      <rPr>
        <sz val="10"/>
        <color theme="1"/>
        <rFont val="宋体"/>
        <charset val="134"/>
      </rPr>
      <t>轴配置</t>
    </r>
    <r>
      <rPr>
        <sz val="10"/>
        <color theme="1"/>
        <rFont val="Consolas"/>
        <charset val="134"/>
      </rPr>
      <t>.</t>
    </r>
    <r>
      <rPr>
        <sz val="10"/>
        <color theme="1"/>
        <rFont val="宋体"/>
        <charset val="134"/>
      </rPr>
      <t>过载倍数</t>
    </r>
  </si>
  <si>
    <t>eCtrlMethod</t>
  </si>
  <si>
    <r>
      <rPr>
        <sz val="10"/>
        <color theme="1"/>
        <rFont val="宋体"/>
        <charset val="134"/>
      </rPr>
      <t>用户层</t>
    </r>
    <r>
      <rPr>
        <sz val="10"/>
        <color theme="1"/>
        <rFont val="Consolas"/>
        <charset val="134"/>
      </rPr>
      <t>.</t>
    </r>
    <r>
      <rPr>
        <sz val="10"/>
        <color theme="1"/>
        <rFont val="宋体"/>
        <charset val="134"/>
      </rPr>
      <t>控制方法</t>
    </r>
  </si>
  <si>
    <r>
      <rPr>
        <sz val="10"/>
        <color theme="1"/>
        <rFont val="Consolas"/>
        <charset val="134"/>
      </rPr>
      <t>0-</t>
    </r>
    <r>
      <rPr>
        <sz val="10"/>
        <color theme="1"/>
        <rFont val="宋体"/>
        <charset val="134"/>
      </rPr>
      <t>有感矢量控制；</t>
    </r>
    <r>
      <rPr>
        <sz val="10"/>
        <color theme="1"/>
        <rFont val="Consolas"/>
        <charset val="134"/>
      </rPr>
      <t xml:space="preserve">
1-</t>
    </r>
    <r>
      <rPr>
        <sz val="10"/>
        <color theme="1"/>
        <rFont val="宋体"/>
        <charset val="134"/>
      </rPr>
      <t>无感矢量控制；</t>
    </r>
    <r>
      <rPr>
        <sz val="10"/>
        <color theme="1"/>
        <rFont val="Consolas"/>
        <charset val="134"/>
      </rPr>
      <t xml:space="preserve">
2-VF</t>
    </r>
    <r>
      <rPr>
        <sz val="10"/>
        <color theme="1"/>
        <rFont val="宋体"/>
        <charset val="134"/>
      </rPr>
      <t>速度开环控制；</t>
    </r>
    <r>
      <rPr>
        <sz val="10"/>
        <color theme="1"/>
        <rFont val="Consolas"/>
        <charset val="134"/>
      </rPr>
      <t xml:space="preserve">
3-VF</t>
    </r>
    <r>
      <rPr>
        <sz val="10"/>
        <color theme="1"/>
        <rFont val="宋体"/>
        <charset val="134"/>
      </rPr>
      <t>分离开环控制；</t>
    </r>
  </si>
  <si>
    <t>eAppSel</t>
  </si>
  <si>
    <r>
      <rPr>
        <sz val="10"/>
        <color theme="1"/>
        <rFont val="宋体"/>
        <charset val="134"/>
      </rPr>
      <t>用户层</t>
    </r>
    <r>
      <rPr>
        <sz val="10"/>
        <color theme="1"/>
        <rFont val="Consolas"/>
        <charset val="134"/>
      </rPr>
      <t>.</t>
    </r>
    <r>
      <rPr>
        <sz val="10"/>
        <color theme="1"/>
        <rFont val="宋体"/>
        <charset val="134"/>
      </rPr>
      <t>应用选择</t>
    </r>
  </si>
  <si>
    <r>
      <rPr>
        <sz val="10"/>
        <color theme="1"/>
        <rFont val="Consolas"/>
        <charset val="134"/>
      </rPr>
      <t>0-</t>
    </r>
    <r>
      <rPr>
        <sz val="10"/>
        <color theme="1"/>
        <rFont val="宋体"/>
        <charset val="134"/>
      </rPr>
      <t>通用控制</t>
    </r>
    <r>
      <rPr>
        <sz val="10"/>
        <color theme="1"/>
        <rFont val="Consolas"/>
        <charset val="134"/>
      </rPr>
      <t xml:space="preserve">
1-</t>
    </r>
    <r>
      <rPr>
        <sz val="10"/>
        <color theme="1"/>
        <rFont val="宋体"/>
        <charset val="134"/>
      </rPr>
      <t>开环测试</t>
    </r>
    <r>
      <rPr>
        <sz val="10"/>
        <color theme="1"/>
        <rFont val="Consolas"/>
        <charset val="134"/>
      </rPr>
      <t xml:space="preserve">
2-</t>
    </r>
    <r>
      <rPr>
        <sz val="10"/>
        <color theme="1"/>
        <rFont val="宋体"/>
        <charset val="134"/>
      </rPr>
      <t>编码器辨识</t>
    </r>
    <r>
      <rPr>
        <sz val="10"/>
        <color theme="1"/>
        <rFont val="Consolas"/>
        <charset val="134"/>
      </rPr>
      <t xml:space="preserve">
3-</t>
    </r>
    <r>
      <rPr>
        <sz val="10"/>
        <color theme="1"/>
        <rFont val="宋体"/>
        <charset val="134"/>
      </rPr>
      <t>响应测试</t>
    </r>
  </si>
  <si>
    <t>eCtrlMode</t>
  </si>
  <si>
    <r>
      <rPr>
        <sz val="10"/>
        <color theme="1"/>
        <rFont val="宋体"/>
        <charset val="134"/>
      </rPr>
      <t>用户层</t>
    </r>
    <r>
      <rPr>
        <sz val="10"/>
        <color theme="1"/>
        <rFont val="Consolas"/>
        <charset val="134"/>
      </rPr>
      <t>.</t>
    </r>
    <r>
      <rPr>
        <sz val="10"/>
        <color theme="1"/>
        <rFont val="宋体"/>
        <charset val="134"/>
      </rPr>
      <t>控制模式</t>
    </r>
  </si>
  <si>
    <r>
      <rPr>
        <sz val="10"/>
        <color theme="1"/>
        <rFont val="Consolas"/>
        <charset val="134"/>
      </rPr>
      <t>0-</t>
    </r>
    <r>
      <rPr>
        <sz val="10"/>
        <color theme="1"/>
        <rFont val="宋体"/>
        <charset val="134"/>
      </rPr>
      <t>位置模式</t>
    </r>
    <r>
      <rPr>
        <sz val="10"/>
        <color theme="1"/>
        <rFont val="Consolas"/>
        <charset val="134"/>
      </rPr>
      <t xml:space="preserve">
1-</t>
    </r>
    <r>
      <rPr>
        <sz val="10"/>
        <color theme="1"/>
        <rFont val="宋体"/>
        <charset val="134"/>
      </rPr>
      <t>速度模式</t>
    </r>
    <r>
      <rPr>
        <sz val="10"/>
        <color theme="1"/>
        <rFont val="Consolas"/>
        <charset val="134"/>
      </rPr>
      <t xml:space="preserve">
2-</t>
    </r>
    <r>
      <rPr>
        <sz val="10"/>
        <color theme="1"/>
        <rFont val="宋体"/>
        <charset val="134"/>
      </rPr>
      <t>转矩模式</t>
    </r>
    <r>
      <rPr>
        <sz val="10"/>
        <color theme="1"/>
        <rFont val="Consolas"/>
        <charset val="134"/>
      </rPr>
      <t xml:space="preserve">
3-DS402(ECAT/COP)</t>
    </r>
  </si>
  <si>
    <t>eCtrlCmdSrc</t>
  </si>
  <si>
    <r>
      <rPr>
        <sz val="10"/>
        <color theme="1"/>
        <rFont val="宋体"/>
        <charset val="134"/>
      </rPr>
      <t>用户层</t>
    </r>
    <r>
      <rPr>
        <sz val="10"/>
        <color theme="1"/>
        <rFont val="Consolas"/>
        <charset val="134"/>
      </rPr>
      <t>.</t>
    </r>
    <r>
      <rPr>
        <sz val="10"/>
        <color theme="1"/>
        <rFont val="宋体"/>
        <charset val="134"/>
      </rPr>
      <t>控制命令来源</t>
    </r>
  </si>
  <si>
    <t>eDiSrc</t>
  </si>
  <si>
    <r>
      <rPr>
        <sz val="10"/>
        <color theme="1"/>
        <rFont val="宋体"/>
        <charset val="134"/>
      </rPr>
      <t>用户层</t>
    </r>
    <r>
      <rPr>
        <sz val="10"/>
        <color theme="1"/>
        <rFont val="Consolas"/>
        <charset val="134"/>
      </rPr>
      <t>.</t>
    </r>
    <r>
      <rPr>
        <sz val="10"/>
        <color theme="1"/>
        <rFont val="宋体"/>
        <charset val="134"/>
      </rPr>
      <t>外部或虚拟</t>
    </r>
    <r>
      <rPr>
        <sz val="10"/>
        <color theme="1"/>
        <rFont val="Consolas"/>
        <charset val="134"/>
      </rPr>
      <t>DI</t>
    </r>
    <r>
      <rPr>
        <sz val="10"/>
        <color theme="1"/>
        <rFont val="宋体"/>
        <charset val="134"/>
      </rPr>
      <t>选择</t>
    </r>
  </si>
  <si>
    <r>
      <rPr>
        <sz val="10"/>
        <color theme="1"/>
        <rFont val="Consolas"/>
        <charset val="134"/>
      </rPr>
      <t>0-</t>
    </r>
    <r>
      <rPr>
        <sz val="10"/>
        <color theme="1"/>
        <rFont val="宋体"/>
        <charset val="134"/>
      </rPr>
      <t>外部</t>
    </r>
    <r>
      <rPr>
        <sz val="10"/>
        <color theme="1"/>
        <rFont val="Consolas"/>
        <charset val="134"/>
      </rPr>
      <t>DI
1-</t>
    </r>
    <r>
      <rPr>
        <sz val="10"/>
        <color theme="1"/>
        <rFont val="宋体"/>
        <charset val="134"/>
      </rPr>
      <t>虚拟</t>
    </r>
    <r>
      <rPr>
        <sz val="10"/>
        <color theme="1"/>
        <rFont val="Consolas"/>
        <charset val="134"/>
      </rPr>
      <t>DI</t>
    </r>
  </si>
  <si>
    <t>eDoSrc</t>
  </si>
  <si>
    <r>
      <rPr>
        <sz val="10"/>
        <color theme="1"/>
        <rFont val="宋体"/>
        <charset val="134"/>
      </rPr>
      <t>用户层</t>
    </r>
    <r>
      <rPr>
        <sz val="10"/>
        <color theme="1"/>
        <rFont val="Consolas"/>
        <charset val="134"/>
      </rPr>
      <t>.</t>
    </r>
    <r>
      <rPr>
        <sz val="10"/>
        <color theme="1"/>
        <rFont val="宋体"/>
        <charset val="134"/>
      </rPr>
      <t>外部或虚拟</t>
    </r>
    <r>
      <rPr>
        <sz val="10"/>
        <color theme="1"/>
        <rFont val="Consolas"/>
        <charset val="134"/>
      </rPr>
      <t>DO</t>
    </r>
    <r>
      <rPr>
        <sz val="10"/>
        <color theme="1"/>
        <rFont val="宋体"/>
        <charset val="134"/>
      </rPr>
      <t>选择</t>
    </r>
  </si>
  <si>
    <r>
      <rPr>
        <sz val="10"/>
        <color theme="1"/>
        <rFont val="Consolas"/>
        <charset val="134"/>
      </rPr>
      <t>0-</t>
    </r>
    <r>
      <rPr>
        <sz val="10"/>
        <color theme="1"/>
        <rFont val="宋体"/>
        <charset val="134"/>
      </rPr>
      <t>外部</t>
    </r>
    <r>
      <rPr>
        <sz val="10"/>
        <color theme="1"/>
        <rFont val="Consolas"/>
        <charset val="134"/>
      </rPr>
      <t>DO
1-</t>
    </r>
    <r>
      <rPr>
        <sz val="10"/>
        <color theme="1"/>
        <rFont val="宋体"/>
        <charset val="134"/>
      </rPr>
      <t>虚拟</t>
    </r>
    <r>
      <rPr>
        <sz val="10"/>
        <color theme="1"/>
        <rFont val="Consolas"/>
        <charset val="134"/>
      </rPr>
      <t>DO</t>
    </r>
  </si>
  <si>
    <t>u32CommCmd</t>
  </si>
  <si>
    <r>
      <rPr>
        <sz val="10"/>
        <color theme="1"/>
        <rFont val="宋体"/>
        <charset val="134"/>
      </rPr>
      <t>用户层</t>
    </r>
    <r>
      <rPr>
        <sz val="10"/>
        <color theme="1"/>
        <rFont val="Consolas"/>
        <charset val="134"/>
      </rPr>
      <t>.</t>
    </r>
    <r>
      <rPr>
        <sz val="10"/>
        <color theme="1"/>
        <rFont val="宋体"/>
        <charset val="134"/>
      </rPr>
      <t>通信命令字</t>
    </r>
  </si>
  <si>
    <r>
      <rPr>
        <sz val="10"/>
        <color theme="1"/>
        <rFont val="Consolas"/>
        <charset val="134"/>
      </rPr>
      <t>bit0:</t>
    </r>
    <r>
      <rPr>
        <sz val="10"/>
        <color theme="1"/>
        <rFont val="宋体"/>
        <charset val="134"/>
      </rPr>
      <t>伺服使能</t>
    </r>
  </si>
  <si>
    <t>u32DiCmd</t>
  </si>
  <si>
    <r>
      <rPr>
        <sz val="10"/>
        <color theme="1"/>
        <rFont val="宋体"/>
        <charset val="134"/>
      </rPr>
      <t>用户层</t>
    </r>
    <r>
      <rPr>
        <sz val="10"/>
        <color theme="1"/>
        <rFont val="Consolas"/>
        <charset val="134"/>
      </rPr>
      <t>.DI</t>
    </r>
    <r>
      <rPr>
        <sz val="10"/>
        <color theme="1"/>
        <rFont val="宋体"/>
        <charset val="134"/>
      </rPr>
      <t>命令字</t>
    </r>
  </si>
  <si>
    <t>u16PwrOnConf</t>
  </si>
  <si>
    <t>User</t>
  </si>
  <si>
    <r>
      <rPr>
        <sz val="10"/>
        <color theme="1"/>
        <rFont val="宋体"/>
        <charset val="134"/>
      </rPr>
      <t>用户层</t>
    </r>
    <r>
      <rPr>
        <sz val="10"/>
        <color theme="1"/>
        <rFont val="Consolas"/>
        <charset val="134"/>
      </rPr>
      <t>.</t>
    </r>
    <r>
      <rPr>
        <sz val="10"/>
        <color theme="1"/>
        <rFont val="宋体"/>
        <charset val="134"/>
      </rPr>
      <t>上电配置</t>
    </r>
  </si>
  <si>
    <t>u16OpenLoopEn</t>
  </si>
  <si>
    <r>
      <rPr>
        <sz val="10"/>
        <color theme="1"/>
        <rFont val="宋体"/>
        <charset val="134"/>
      </rPr>
      <t>应用层</t>
    </r>
    <r>
      <rPr>
        <sz val="10"/>
        <color theme="1"/>
        <rFont val="Consolas"/>
        <charset val="134"/>
      </rPr>
      <t>.</t>
    </r>
    <r>
      <rPr>
        <sz val="10"/>
        <color theme="1"/>
        <rFont val="宋体"/>
        <charset val="134"/>
      </rPr>
      <t>开环测试使能</t>
    </r>
  </si>
  <si>
    <t>u16OpenPeriod</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</si>
  <si>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t>
    </r>
    <r>
      <rPr>
        <sz val="10"/>
        <color theme="1"/>
        <rFont val="宋体"/>
        <charset val="134"/>
      </rPr>
      <t>运行周期</t>
    </r>
  </si>
  <si>
    <t>s16OpenElecAngLock</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</si>
  <si>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t>
    </r>
    <r>
      <rPr>
        <sz val="10"/>
        <color theme="1"/>
        <rFont val="宋体"/>
        <charset val="134"/>
      </rPr>
      <t>电角度锁定位置</t>
    </r>
  </si>
  <si>
    <r>
      <rPr>
        <sz val="10"/>
        <color theme="1"/>
        <rFont val="宋体"/>
        <charset val="134"/>
      </rPr>
      <t>运行周期为</t>
    </r>
    <r>
      <rPr>
        <sz val="10"/>
        <color theme="1"/>
        <rFont val="Consolas"/>
        <charset val="134"/>
      </rPr>
      <t>0</t>
    </r>
    <r>
      <rPr>
        <sz val="10"/>
        <color theme="1"/>
        <rFont val="宋体"/>
        <charset val="134"/>
      </rPr>
      <t>时生效</t>
    </r>
  </si>
  <si>
    <t>s16OpenElecAngInc</t>
  </si>
  <si>
    <t>400</t>
  </si>
  <si>
    <t>-3000</t>
  </si>
  <si>
    <t>3000</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</si>
  <si>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t>
    </r>
    <r>
      <rPr>
        <sz val="10"/>
        <color theme="1"/>
        <rFont val="宋体"/>
        <charset val="134"/>
      </rPr>
      <t>电角度自增量</t>
    </r>
  </si>
  <si>
    <r>
      <rPr>
        <sz val="10"/>
        <color theme="1"/>
        <rFont val="宋体"/>
        <charset val="134"/>
      </rPr>
      <t>运行周期不为</t>
    </r>
    <r>
      <rPr>
        <sz val="10"/>
        <color theme="1"/>
        <rFont val="Consolas"/>
        <charset val="134"/>
      </rPr>
      <t>0</t>
    </r>
    <r>
      <rPr>
        <sz val="10"/>
        <color theme="1"/>
        <rFont val="宋体"/>
        <charset val="134"/>
      </rPr>
      <t>时生效</t>
    </r>
  </si>
  <si>
    <t>s16OpenUqRef</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</si>
  <si>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.Q</t>
    </r>
    <r>
      <rPr>
        <sz val="10"/>
        <color theme="1"/>
        <rFont val="宋体"/>
        <charset val="134"/>
      </rPr>
      <t>轴指令</t>
    </r>
  </si>
  <si>
    <t>s16OpenUdRef</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</si>
  <si>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.D</t>
    </r>
    <r>
      <rPr>
        <sz val="10"/>
        <color theme="1"/>
        <rFont val="宋体"/>
        <charset val="134"/>
      </rPr>
      <t>轴指令</t>
    </r>
  </si>
  <si>
    <t>u16MotEncIdentEn</t>
  </si>
  <si>
    <r>
      <rPr>
        <sz val="10"/>
        <color theme="1"/>
        <rFont val="宋体"/>
        <charset val="134"/>
      </rPr>
      <t>应用层</t>
    </r>
    <r>
      <rPr>
        <sz val="10"/>
        <color theme="1"/>
        <rFont val="Consolas"/>
        <charset val="134"/>
      </rPr>
      <t>.</t>
    </r>
    <r>
      <rPr>
        <sz val="10"/>
        <color theme="1"/>
        <rFont val="宋体"/>
        <charset val="134"/>
      </rPr>
      <t>电机编码器辨识使能</t>
    </r>
  </si>
  <si>
    <r>
      <rPr>
        <sz val="10"/>
        <color theme="1"/>
        <rFont val="Consolas"/>
        <charset val="134"/>
      </rPr>
      <t>bit0:</t>
    </r>
    <r>
      <rPr>
        <sz val="10"/>
        <color theme="1"/>
        <rFont val="宋体"/>
        <charset val="134"/>
      </rPr>
      <t>辨识使能</t>
    </r>
  </si>
  <si>
    <t>u16MotEncIdentDirMatched</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</si>
  <si>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方向匹配状态</t>
    </r>
  </si>
  <si>
    <r>
      <rPr>
        <sz val="10"/>
        <color theme="1"/>
        <rFont val="Consolas"/>
        <charset val="134"/>
      </rPr>
      <t>0-</t>
    </r>
    <r>
      <rPr>
        <sz val="10"/>
        <color theme="1"/>
        <rFont val="宋体"/>
        <charset val="134"/>
      </rPr>
      <t>待测定</t>
    </r>
    <r>
      <rPr>
        <sz val="10"/>
        <color theme="1"/>
        <rFont val="Consolas"/>
        <charset val="134"/>
      </rPr>
      <t xml:space="preserve">
1-</t>
    </r>
    <r>
      <rPr>
        <sz val="10"/>
        <color theme="1"/>
        <rFont val="宋体"/>
        <charset val="134"/>
      </rPr>
      <t>电机旋转方向与电角度递增方向相同</t>
    </r>
    <r>
      <rPr>
        <sz val="10"/>
        <color theme="1"/>
        <rFont val="Consolas"/>
        <charset val="134"/>
      </rPr>
      <t>(</t>
    </r>
    <r>
      <rPr>
        <sz val="10"/>
        <color theme="1"/>
        <rFont val="宋体"/>
        <charset val="134"/>
      </rPr>
      <t>电机相序正常</t>
    </r>
    <r>
      <rPr>
        <sz val="10"/>
        <color theme="1"/>
        <rFont val="Consolas"/>
        <charset val="134"/>
      </rPr>
      <t>)
2-</t>
    </r>
    <r>
      <rPr>
        <sz val="10"/>
        <color theme="1"/>
        <rFont val="宋体"/>
        <charset val="134"/>
      </rPr>
      <t>电机旋转方向与电角度递增方向相反</t>
    </r>
    <r>
      <rPr>
        <sz val="10"/>
        <color theme="1"/>
        <rFont val="Consolas"/>
        <charset val="134"/>
      </rPr>
      <t>(</t>
    </r>
    <r>
      <rPr>
        <sz val="10"/>
        <color theme="1"/>
        <rFont val="宋体"/>
        <charset val="134"/>
      </rPr>
      <t>电机相序异常</t>
    </r>
    <r>
      <rPr>
        <sz val="10"/>
        <color theme="1"/>
        <rFont val="Consolas"/>
        <charset val="134"/>
      </rPr>
      <t>)</t>
    </r>
  </si>
  <si>
    <t>u16MotEncIdentPolePairs</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</si>
  <si>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电机极对数</t>
    </r>
  </si>
  <si>
    <t>u32MotEncIdentOffset</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</si>
  <si>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编码器安装偏置角</t>
    </r>
  </si>
  <si>
    <t>u32MotEncIdentRes</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</si>
  <si>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编码器分辨率</t>
    </r>
  </si>
  <si>
    <t>u16MotEncIdentState</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</si>
  <si>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运行状态</t>
    </r>
  </si>
  <si>
    <r>
      <rPr>
        <sz val="10"/>
        <color theme="1"/>
        <rFont val="Consolas"/>
        <charset val="134"/>
      </rPr>
      <t>0-</t>
    </r>
    <r>
      <rPr>
        <sz val="10"/>
        <color theme="1"/>
        <rFont val="宋体"/>
        <charset val="134"/>
      </rPr>
      <t>初始化阶段；</t>
    </r>
    <r>
      <rPr>
        <sz val="10"/>
        <color theme="1"/>
        <rFont val="Consolas"/>
        <charset val="134"/>
      </rPr>
      <t xml:space="preserve">
1-</t>
    </r>
    <r>
      <rPr>
        <sz val="10"/>
        <color theme="1"/>
        <rFont val="宋体"/>
        <charset val="134"/>
      </rPr>
      <t>电压自适应阶段；</t>
    </r>
    <r>
      <rPr>
        <sz val="10"/>
        <color theme="1"/>
        <rFont val="Consolas"/>
        <charset val="134"/>
      </rPr>
      <t xml:space="preserve">
2-</t>
    </r>
    <r>
      <rPr>
        <sz val="10"/>
        <color theme="1"/>
        <rFont val="宋体"/>
        <charset val="134"/>
      </rPr>
      <t>电机正方向辨识；</t>
    </r>
    <r>
      <rPr>
        <sz val="10"/>
        <color theme="1"/>
        <rFont val="Consolas"/>
        <charset val="134"/>
      </rPr>
      <t xml:space="preserve">
3-</t>
    </r>
    <r>
      <rPr>
        <sz val="10"/>
        <color theme="1"/>
        <rFont val="宋体"/>
        <charset val="134"/>
      </rPr>
      <t>编码器分辨率辨识阶段；</t>
    </r>
    <r>
      <rPr>
        <sz val="10"/>
        <color theme="1"/>
        <rFont val="Consolas"/>
        <charset val="134"/>
      </rPr>
      <t xml:space="preserve">
4-</t>
    </r>
    <r>
      <rPr>
        <sz val="10"/>
        <color theme="1"/>
        <rFont val="宋体"/>
        <charset val="134"/>
      </rPr>
      <t>电机电角度回初阶段；</t>
    </r>
    <r>
      <rPr>
        <sz val="10"/>
        <color theme="1"/>
        <rFont val="Consolas"/>
        <charset val="134"/>
      </rPr>
      <t xml:space="preserve">
5-</t>
    </r>
    <r>
      <rPr>
        <sz val="10"/>
        <color theme="1"/>
        <rFont val="宋体"/>
        <charset val="134"/>
      </rPr>
      <t>电机正向旋转（给定电角度自增）；</t>
    </r>
    <r>
      <rPr>
        <sz val="10"/>
        <color theme="1"/>
        <rFont val="Consolas"/>
        <charset val="134"/>
      </rPr>
      <t xml:space="preserve">
6-</t>
    </r>
    <r>
      <rPr>
        <sz val="10"/>
        <color theme="1"/>
        <rFont val="宋体"/>
        <charset val="134"/>
      </rPr>
      <t>电机反向旋转（给定电角度自减）；</t>
    </r>
    <r>
      <rPr>
        <sz val="10"/>
        <color theme="1"/>
        <rFont val="Consolas"/>
        <charset val="134"/>
      </rPr>
      <t xml:space="preserve">
7-</t>
    </r>
    <r>
      <rPr>
        <sz val="10"/>
        <color theme="1"/>
        <rFont val="宋体"/>
        <charset val="134"/>
      </rPr>
      <t>计算编码器安装偏置；</t>
    </r>
    <r>
      <rPr>
        <sz val="10"/>
        <color theme="1"/>
        <rFont val="Consolas"/>
        <charset val="134"/>
      </rPr>
      <t xml:space="preserve">
8-</t>
    </r>
    <r>
      <rPr>
        <sz val="10"/>
        <color theme="1"/>
        <rFont val="宋体"/>
        <charset val="134"/>
      </rPr>
      <t>错误处理；</t>
    </r>
    <r>
      <rPr>
        <sz val="10"/>
        <color theme="1"/>
        <rFont val="Consolas"/>
        <charset val="134"/>
      </rPr>
      <t xml:space="preserve">
9-</t>
    </r>
    <r>
      <rPr>
        <sz val="10"/>
        <color theme="1"/>
        <rFont val="宋体"/>
        <charset val="134"/>
      </rPr>
      <t>辨识完成；</t>
    </r>
  </si>
  <si>
    <t>u16MotEncIdentErr</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</si>
  <si>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错误类型</t>
    </r>
  </si>
  <si>
    <t>u16MotParaIdentEn</t>
  </si>
  <si>
    <r>
      <rPr>
        <sz val="10"/>
        <color theme="1"/>
        <rFont val="宋体"/>
        <charset val="134"/>
      </rPr>
      <t>应用层</t>
    </r>
    <r>
      <rPr>
        <sz val="10"/>
        <color theme="1"/>
        <rFont val="Consolas"/>
        <charset val="134"/>
      </rPr>
      <t>.</t>
    </r>
    <r>
      <rPr>
        <sz val="10"/>
        <color theme="1"/>
        <rFont val="宋体"/>
        <charset val="134"/>
      </rPr>
      <t>电机参数辨识使能</t>
    </r>
  </si>
  <si>
    <t>u16MotParaIdentRs</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</si>
  <si>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电机相电阻</t>
    </r>
  </si>
  <si>
    <t>u16MotParaIdentLd</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</si>
  <si>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t>
    </r>
    <r>
      <rPr>
        <sz val="10"/>
        <color theme="1"/>
        <rFont val="Consolas"/>
        <charset val="134"/>
      </rPr>
      <t>D</t>
    </r>
    <r>
      <rPr>
        <sz val="10"/>
        <color theme="1"/>
        <rFont val="宋体"/>
        <charset val="134"/>
      </rPr>
      <t>轴电感</t>
    </r>
  </si>
  <si>
    <t>u16MotParaIdentLq</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</si>
  <si>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t>
    </r>
    <r>
      <rPr>
        <sz val="10"/>
        <color theme="1"/>
        <rFont val="Consolas"/>
        <charset val="134"/>
      </rPr>
      <t>Q</t>
    </r>
    <r>
      <rPr>
        <sz val="10"/>
        <color theme="1"/>
        <rFont val="宋体"/>
        <charset val="134"/>
      </rPr>
      <t>轴电感</t>
    </r>
  </si>
  <si>
    <t>u16MotParaIdentFluxLk</t>
  </si>
  <si>
    <t>0.1V*ms/rad</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</si>
  <si>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电机磁链</t>
    </r>
  </si>
  <si>
    <t>u16MainDcCapEn</t>
  </si>
  <si>
    <r>
      <rPr>
        <sz val="10"/>
        <color theme="1"/>
        <rFont val="宋体"/>
        <charset val="134"/>
      </rPr>
      <t>应用层</t>
    </r>
    <r>
      <rPr>
        <sz val="10"/>
        <color theme="1"/>
        <rFont val="Consolas"/>
        <charset val="134"/>
      </rPr>
      <t>.</t>
    </r>
    <r>
      <rPr>
        <sz val="10"/>
        <color theme="1"/>
        <rFont val="宋体"/>
        <charset val="134"/>
      </rPr>
      <t>主回路母线电容辨识使能</t>
    </r>
  </si>
  <si>
    <t>u32MainDcCapValue</t>
  </si>
  <si>
    <t>uf</t>
  </si>
  <si>
    <r>
      <rPr>
        <sz val="10"/>
        <color theme="1"/>
        <rFont val="宋体"/>
        <charset val="134"/>
      </rPr>
      <t>应用层</t>
    </r>
    <r>
      <rPr>
        <sz val="10"/>
        <color theme="1"/>
        <rFont val="Consolas"/>
        <charset val="134"/>
      </rPr>
      <t>.</t>
    </r>
    <r>
      <rPr>
        <sz val="10"/>
        <color theme="1"/>
        <rFont val="宋体"/>
        <charset val="134"/>
      </rPr>
      <t>主回路母线电容辨识</t>
    </r>
    <r>
      <rPr>
        <sz val="10"/>
        <color theme="1"/>
        <rFont val="Consolas"/>
        <charset val="134"/>
      </rPr>
      <t>.</t>
    </r>
    <r>
      <rPr>
        <sz val="10"/>
        <color theme="1"/>
        <rFont val="宋体"/>
        <charset val="134"/>
      </rPr>
      <t>电容容量</t>
    </r>
  </si>
  <si>
    <t>eLoopRspModeSel</t>
  </si>
  <si>
    <r>
      <rPr>
        <sz val="10"/>
        <color theme="1"/>
        <rFont val="宋体"/>
        <charset val="134"/>
      </rPr>
      <t>应用层</t>
    </r>
    <r>
      <rPr>
        <sz val="10"/>
        <color theme="1"/>
        <rFont val="Consolas"/>
        <charset val="134"/>
      </rPr>
      <t>.</t>
    </r>
    <r>
      <rPr>
        <sz val="10"/>
        <color theme="1"/>
        <rFont val="宋体"/>
        <charset val="134"/>
      </rPr>
      <t>响应测试</t>
    </r>
    <r>
      <rPr>
        <sz val="10"/>
        <color theme="1"/>
        <rFont val="Consolas"/>
        <charset val="134"/>
      </rPr>
      <t>.</t>
    </r>
    <r>
      <rPr>
        <sz val="10"/>
        <color theme="1"/>
        <rFont val="宋体"/>
        <charset val="134"/>
      </rPr>
      <t>环路选择</t>
    </r>
  </si>
  <si>
    <r>
      <rPr>
        <sz val="10"/>
        <color theme="1"/>
        <rFont val="Consolas"/>
        <charset val="134"/>
      </rPr>
      <t>0-</t>
    </r>
    <r>
      <rPr>
        <sz val="10"/>
        <color theme="1"/>
        <rFont val="宋体"/>
        <charset val="134"/>
      </rPr>
      <t>转矩模式</t>
    </r>
    <r>
      <rPr>
        <sz val="10"/>
        <color theme="1"/>
        <rFont val="Consolas"/>
        <charset val="134"/>
      </rPr>
      <t xml:space="preserve">
1-</t>
    </r>
    <r>
      <rPr>
        <sz val="10"/>
        <color theme="1"/>
        <rFont val="宋体"/>
        <charset val="134"/>
      </rPr>
      <t>速度模式</t>
    </r>
    <r>
      <rPr>
        <sz val="10"/>
        <color theme="1"/>
        <rFont val="Consolas"/>
        <charset val="134"/>
      </rPr>
      <t xml:space="preserve">
2-</t>
    </r>
    <r>
      <rPr>
        <sz val="10"/>
        <color theme="1"/>
        <rFont val="宋体"/>
        <charset val="134"/>
      </rPr>
      <t>位置模式</t>
    </r>
  </si>
  <si>
    <t>s64LoopRspStep</t>
  </si>
  <si>
    <t>500</t>
  </si>
  <si>
    <r>
      <rPr>
        <sz val="10"/>
        <color theme="1"/>
        <rFont val="宋体"/>
        <charset val="134"/>
      </rPr>
      <t>应用层</t>
    </r>
    <r>
      <rPr>
        <sz val="10"/>
        <color theme="1"/>
        <rFont val="Consolas"/>
        <charset val="134"/>
      </rPr>
      <t>.</t>
    </r>
    <r>
      <rPr>
        <sz val="10"/>
        <color theme="1"/>
        <rFont val="宋体"/>
        <charset val="134"/>
      </rPr>
      <t>响应测试</t>
    </r>
    <r>
      <rPr>
        <sz val="10"/>
        <color theme="1"/>
        <rFont val="Consolas"/>
        <charset val="134"/>
      </rPr>
      <t>.</t>
    </r>
    <r>
      <rPr>
        <sz val="10"/>
        <color theme="1"/>
        <rFont val="宋体"/>
        <charset val="134"/>
      </rPr>
      <t>环路给定值</t>
    </r>
  </si>
  <si>
    <t>u16EncCmd</t>
  </si>
  <si>
    <r>
      <rPr>
        <sz val="10"/>
        <color theme="1"/>
        <rFont val="宋体"/>
        <charset val="134"/>
      </rPr>
      <t>编码器指令</t>
    </r>
  </si>
  <si>
    <t>u16EncErrCode</t>
  </si>
  <si>
    <r>
      <rPr>
        <sz val="10"/>
        <color theme="1"/>
        <rFont val="宋体"/>
        <charset val="134"/>
      </rPr>
      <t>编码器错误代码</t>
    </r>
  </si>
  <si>
    <t>u16EncComErrSum</t>
  </si>
  <si>
    <r>
      <rPr>
        <sz val="10"/>
        <color theme="1"/>
        <rFont val="宋体"/>
        <charset val="134"/>
      </rPr>
      <t>编码器通信错误次数</t>
    </r>
  </si>
  <si>
    <t>eAxisFSM</t>
  </si>
  <si>
    <r>
      <rPr>
        <sz val="10"/>
        <color theme="1"/>
        <rFont val="宋体"/>
        <charset val="134"/>
      </rPr>
      <t>轴状态机</t>
    </r>
  </si>
  <si>
    <r>
      <t xml:space="preserve">0: </t>
    </r>
    <r>
      <rPr>
        <sz val="10"/>
        <color theme="1"/>
        <rFont val="宋体"/>
        <charset val="134"/>
      </rPr>
      <t>初始化</t>
    </r>
    <r>
      <rPr>
        <sz val="10"/>
        <color theme="1"/>
        <rFont val="Consolas"/>
        <charset val="134"/>
      </rPr>
      <t xml:space="preserve">
1</t>
    </r>
    <r>
      <rPr>
        <sz val="10"/>
        <color theme="1"/>
        <rFont val="宋体"/>
        <charset val="134"/>
      </rPr>
      <t>：就绪</t>
    </r>
    <r>
      <rPr>
        <sz val="10"/>
        <color theme="1"/>
        <rFont val="Consolas"/>
        <charset val="134"/>
      </rPr>
      <t xml:space="preserve">
2</t>
    </r>
    <r>
      <rPr>
        <sz val="10"/>
        <color theme="1"/>
        <rFont val="宋体"/>
        <charset val="134"/>
      </rPr>
      <t>：使能</t>
    </r>
    <r>
      <rPr>
        <sz val="10"/>
        <color theme="1"/>
        <rFont val="Consolas"/>
        <charset val="134"/>
      </rPr>
      <t xml:space="preserve">
3</t>
    </r>
    <r>
      <rPr>
        <sz val="10"/>
        <color theme="1"/>
        <rFont val="宋体"/>
        <charset val="134"/>
      </rPr>
      <t>：错误</t>
    </r>
  </si>
  <si>
    <t>bPwmSwSts</t>
  </si>
  <si>
    <r>
      <rPr>
        <sz val="10"/>
        <color theme="1"/>
        <rFont val="Consolas"/>
        <charset val="134"/>
      </rPr>
      <t>PWM</t>
    </r>
    <r>
      <rPr>
        <sz val="10"/>
        <color theme="1"/>
        <rFont val="宋体"/>
        <charset val="134"/>
      </rPr>
      <t>状态</t>
    </r>
  </si>
  <si>
    <t>s64UserPosRef</t>
  </si>
  <si>
    <r>
      <rPr>
        <sz val="10"/>
        <color theme="1"/>
        <rFont val="宋体"/>
        <charset val="134"/>
      </rPr>
      <t>用户层</t>
    </r>
    <r>
      <rPr>
        <sz val="10"/>
        <color theme="1"/>
        <rFont val="Consolas"/>
        <charset val="134"/>
      </rPr>
      <t>.</t>
    </r>
    <r>
      <rPr>
        <sz val="10"/>
        <color theme="1"/>
        <rFont val="宋体"/>
        <charset val="134"/>
      </rPr>
      <t>用户位置指令</t>
    </r>
  </si>
  <si>
    <t>s64UserPosFb</t>
  </si>
  <si>
    <r>
      <rPr>
        <sz val="10"/>
        <color theme="1"/>
        <rFont val="宋体"/>
        <charset val="134"/>
      </rPr>
      <t>用户层</t>
    </r>
    <r>
      <rPr>
        <sz val="10"/>
        <color theme="1"/>
        <rFont val="Consolas"/>
        <charset val="134"/>
      </rPr>
      <t>.</t>
    </r>
    <r>
      <rPr>
        <sz val="10"/>
        <color theme="1"/>
        <rFont val="宋体"/>
        <charset val="134"/>
      </rPr>
      <t>用户位置反馈</t>
    </r>
  </si>
  <si>
    <t>s32UserPosErr</t>
  </si>
  <si>
    <r>
      <rPr>
        <sz val="10"/>
        <color theme="1"/>
        <rFont val="宋体"/>
        <charset val="134"/>
      </rPr>
      <t>用户层</t>
    </r>
    <r>
      <rPr>
        <sz val="10"/>
        <color theme="1"/>
        <rFont val="Consolas"/>
        <charset val="134"/>
      </rPr>
      <t>.</t>
    </r>
    <r>
      <rPr>
        <sz val="10"/>
        <color theme="1"/>
        <rFont val="宋体"/>
        <charset val="134"/>
      </rPr>
      <t>用户速度误差</t>
    </r>
  </si>
  <si>
    <t>s32UserSpdRef</t>
  </si>
  <si>
    <t>0.1rpm</t>
  </si>
  <si>
    <r>
      <rPr>
        <sz val="10"/>
        <color theme="1"/>
        <rFont val="宋体"/>
        <charset val="134"/>
      </rPr>
      <t>用户层</t>
    </r>
    <r>
      <rPr>
        <sz val="10"/>
        <color theme="1"/>
        <rFont val="Consolas"/>
        <charset val="134"/>
      </rPr>
      <t>.</t>
    </r>
    <r>
      <rPr>
        <sz val="10"/>
        <color theme="1"/>
        <rFont val="宋体"/>
        <charset val="134"/>
      </rPr>
      <t>用户速度指令</t>
    </r>
  </si>
  <si>
    <t>s32UserSpdFb</t>
  </si>
  <si>
    <r>
      <rPr>
        <sz val="10"/>
        <color theme="1"/>
        <rFont val="宋体"/>
        <charset val="134"/>
      </rPr>
      <t>用户层</t>
    </r>
    <r>
      <rPr>
        <sz val="10"/>
        <color theme="1"/>
        <rFont val="Consolas"/>
        <charset val="134"/>
      </rPr>
      <t>.</t>
    </r>
    <r>
      <rPr>
        <sz val="10"/>
        <color theme="1"/>
        <rFont val="宋体"/>
        <charset val="134"/>
      </rPr>
      <t>用户速度反馈</t>
    </r>
  </si>
  <si>
    <t>s16UserTrqRef</t>
  </si>
  <si>
    <r>
      <rPr>
        <sz val="10"/>
        <color theme="1"/>
        <rFont val="宋体"/>
        <charset val="134"/>
      </rPr>
      <t>用户层</t>
    </r>
    <r>
      <rPr>
        <sz val="10"/>
        <color theme="1"/>
        <rFont val="Consolas"/>
        <charset val="134"/>
      </rPr>
      <t>.</t>
    </r>
    <r>
      <rPr>
        <sz val="10"/>
        <color theme="1"/>
        <rFont val="宋体"/>
        <charset val="134"/>
      </rPr>
      <t>用户转矩指令千分比</t>
    </r>
  </si>
  <si>
    <t>s16UserTrqFb</t>
  </si>
  <si>
    <r>
      <rPr>
        <sz val="10"/>
        <color theme="1"/>
        <rFont val="宋体"/>
        <charset val="134"/>
      </rPr>
      <t>用户层</t>
    </r>
    <r>
      <rPr>
        <sz val="10"/>
        <color theme="1"/>
        <rFont val="Consolas"/>
        <charset val="134"/>
      </rPr>
      <t>.</t>
    </r>
    <r>
      <rPr>
        <sz val="10"/>
        <color theme="1"/>
        <rFont val="宋体"/>
        <charset val="134"/>
      </rPr>
      <t>用户转矩反馈千分比</t>
    </r>
  </si>
  <si>
    <t>s16IaFbSi</t>
  </si>
  <si>
    <r>
      <rPr>
        <sz val="10"/>
        <color theme="1"/>
        <rFont val="Consolas"/>
        <charset val="134"/>
      </rPr>
      <t>A</t>
    </r>
    <r>
      <rPr>
        <sz val="10"/>
        <color theme="1"/>
        <rFont val="宋体"/>
        <charset val="134"/>
      </rPr>
      <t>相反馈电流物理值</t>
    </r>
  </si>
  <si>
    <t>s16IbFbSi</t>
  </si>
  <si>
    <r>
      <rPr>
        <sz val="10"/>
        <color theme="1"/>
        <rFont val="Consolas"/>
        <charset val="134"/>
      </rPr>
      <t>B</t>
    </r>
    <r>
      <rPr>
        <sz val="10"/>
        <color theme="1"/>
        <rFont val="宋体"/>
        <charset val="134"/>
      </rPr>
      <t>相反馈电流物理值</t>
    </r>
  </si>
  <si>
    <t>s16IcFbSi</t>
  </si>
  <si>
    <r>
      <rPr>
        <sz val="10"/>
        <color theme="1"/>
        <rFont val="Consolas"/>
        <charset val="134"/>
      </rPr>
      <t>C</t>
    </r>
    <r>
      <rPr>
        <sz val="10"/>
        <color theme="1"/>
        <rFont val="宋体"/>
        <charset val="134"/>
      </rPr>
      <t>相反馈电流物理值</t>
    </r>
  </si>
  <si>
    <t>eLogicCtrlMethod</t>
  </si>
  <si>
    <r>
      <rPr>
        <sz val="10"/>
        <color theme="1"/>
        <rFont val="宋体"/>
        <charset val="134"/>
      </rPr>
      <t>逻辑层</t>
    </r>
    <r>
      <rPr>
        <sz val="10"/>
        <color theme="1"/>
        <rFont val="Consolas"/>
        <charset val="134"/>
      </rPr>
      <t>.</t>
    </r>
    <r>
      <rPr>
        <sz val="10"/>
        <color theme="1"/>
        <rFont val="宋体"/>
        <charset val="134"/>
      </rPr>
      <t>控制方式</t>
    </r>
  </si>
  <si>
    <t>eLogicCtrlMode</t>
  </si>
  <si>
    <r>
      <rPr>
        <sz val="10"/>
        <color theme="1"/>
        <rFont val="宋体"/>
        <charset val="134"/>
      </rPr>
      <t>逻辑层</t>
    </r>
    <r>
      <rPr>
        <sz val="10"/>
        <color theme="1"/>
        <rFont val="Consolas"/>
        <charset val="134"/>
      </rPr>
      <t>.</t>
    </r>
    <r>
      <rPr>
        <sz val="10"/>
        <color theme="1"/>
        <rFont val="宋体"/>
        <charset val="134"/>
      </rPr>
      <t>控制模式</t>
    </r>
  </si>
  <si>
    <t>bLogicDrvEnCmd</t>
  </si>
  <si>
    <r>
      <rPr>
        <sz val="10"/>
        <color theme="1"/>
        <rFont val="宋体"/>
        <charset val="134"/>
      </rPr>
      <t>逻辑层</t>
    </r>
    <r>
      <rPr>
        <sz val="10"/>
        <color theme="1"/>
        <rFont val="Consolas"/>
        <charset val="134"/>
      </rPr>
      <t>.</t>
    </r>
    <r>
      <rPr>
        <sz val="10"/>
        <color theme="1"/>
        <rFont val="宋体"/>
        <charset val="134"/>
      </rPr>
      <t>伺服使能</t>
    </r>
  </si>
  <si>
    <r>
      <rPr>
        <sz val="10"/>
        <color theme="1"/>
        <rFont val="宋体"/>
        <charset val="134"/>
      </rPr>
      <t>控制字分解</t>
    </r>
  </si>
  <si>
    <t>bLogicJogFwdCmd</t>
  </si>
  <si>
    <r>
      <rPr>
        <sz val="10"/>
        <color theme="1"/>
        <rFont val="宋体"/>
        <charset val="134"/>
      </rPr>
      <t>逻辑层</t>
    </r>
    <r>
      <rPr>
        <sz val="10"/>
        <color theme="1"/>
        <rFont val="Consolas"/>
        <charset val="134"/>
      </rPr>
      <t>.</t>
    </r>
    <r>
      <rPr>
        <sz val="10"/>
        <color theme="1"/>
        <rFont val="宋体"/>
        <charset val="134"/>
      </rPr>
      <t>正向点动</t>
    </r>
  </si>
  <si>
    <t>bLogicJogRevCmd</t>
  </si>
  <si>
    <r>
      <rPr>
        <sz val="10"/>
        <color theme="1"/>
        <rFont val="宋体"/>
        <charset val="134"/>
      </rPr>
      <t>逻辑层</t>
    </r>
    <r>
      <rPr>
        <sz val="10"/>
        <color theme="1"/>
        <rFont val="Consolas"/>
        <charset val="134"/>
      </rPr>
      <t>.</t>
    </r>
    <r>
      <rPr>
        <sz val="10"/>
        <color theme="1"/>
        <rFont val="宋体"/>
        <charset val="134"/>
      </rPr>
      <t>反向点动</t>
    </r>
  </si>
  <si>
    <t>bLogicStopCmd</t>
  </si>
  <si>
    <r>
      <rPr>
        <sz val="10"/>
        <color theme="1"/>
        <rFont val="宋体"/>
        <charset val="134"/>
      </rPr>
      <t>逻辑层</t>
    </r>
    <r>
      <rPr>
        <sz val="10"/>
        <color theme="1"/>
        <rFont val="Consolas"/>
        <charset val="134"/>
      </rPr>
      <t>.</t>
    </r>
    <r>
      <rPr>
        <sz val="10"/>
        <color theme="1"/>
        <rFont val="宋体"/>
        <charset val="134"/>
      </rPr>
      <t>停机指令</t>
    </r>
  </si>
  <si>
    <t>bLogicHomingCmd</t>
  </si>
  <si>
    <r>
      <rPr>
        <sz val="10"/>
        <color theme="1"/>
        <rFont val="宋体"/>
        <charset val="134"/>
      </rPr>
      <t>逻辑层</t>
    </r>
    <r>
      <rPr>
        <sz val="10"/>
        <color theme="1"/>
        <rFont val="Consolas"/>
        <charset val="134"/>
      </rPr>
      <t>.</t>
    </r>
    <r>
      <rPr>
        <sz val="10"/>
        <color theme="1"/>
        <rFont val="宋体"/>
        <charset val="134"/>
      </rPr>
      <t>回原使能</t>
    </r>
  </si>
  <si>
    <t>bLogicPosRevokeCmd</t>
  </si>
  <si>
    <r>
      <rPr>
        <sz val="10"/>
        <color theme="1"/>
        <rFont val="宋体"/>
        <charset val="134"/>
      </rPr>
      <t>逻辑层</t>
    </r>
    <r>
      <rPr>
        <sz val="10"/>
        <color theme="1"/>
        <rFont val="Consolas"/>
        <charset val="134"/>
      </rPr>
      <t>.</t>
    </r>
    <r>
      <rPr>
        <sz val="10"/>
        <color theme="1"/>
        <rFont val="宋体"/>
        <charset val="134"/>
      </rPr>
      <t>位置指令中断</t>
    </r>
  </si>
  <si>
    <t>bLogicMultMotionEn</t>
  </si>
  <si>
    <r>
      <rPr>
        <sz val="10"/>
        <color theme="1"/>
        <rFont val="宋体"/>
        <charset val="134"/>
      </rPr>
      <t>逻辑层</t>
    </r>
    <r>
      <rPr>
        <sz val="10"/>
        <color theme="1"/>
        <rFont val="Consolas"/>
        <charset val="134"/>
      </rPr>
      <t>.</t>
    </r>
    <r>
      <rPr>
        <sz val="10"/>
        <color theme="1"/>
        <rFont val="宋体"/>
        <charset val="134"/>
      </rPr>
      <t>多段启动使能</t>
    </r>
  </si>
  <si>
    <t>bLogicPosLimFwd</t>
  </si>
  <si>
    <r>
      <rPr>
        <sz val="10"/>
        <color theme="1"/>
        <rFont val="宋体"/>
        <charset val="134"/>
      </rPr>
      <t>逻辑层</t>
    </r>
    <r>
      <rPr>
        <sz val="10"/>
        <color theme="1"/>
        <rFont val="Consolas"/>
        <charset val="134"/>
      </rPr>
      <t>.</t>
    </r>
    <r>
      <rPr>
        <sz val="10"/>
        <color theme="1"/>
        <rFont val="宋体"/>
        <charset val="134"/>
      </rPr>
      <t>正向限位使能</t>
    </r>
  </si>
  <si>
    <t>bLogicPosLimRev</t>
  </si>
  <si>
    <r>
      <rPr>
        <sz val="10"/>
        <color theme="1"/>
        <rFont val="宋体"/>
        <charset val="134"/>
      </rPr>
      <t>逻辑层</t>
    </r>
    <r>
      <rPr>
        <sz val="10"/>
        <color theme="1"/>
        <rFont val="Consolas"/>
        <charset val="134"/>
      </rPr>
      <t>.</t>
    </r>
    <r>
      <rPr>
        <sz val="10"/>
        <color theme="1"/>
        <rFont val="宋体"/>
        <charset val="134"/>
      </rPr>
      <t>反向限位使能</t>
    </r>
  </si>
  <si>
    <t>bLogicAlmRst</t>
  </si>
  <si>
    <r>
      <rPr>
        <sz val="10"/>
        <color theme="1"/>
        <rFont val="宋体"/>
        <charset val="134"/>
      </rPr>
      <t>逻辑层</t>
    </r>
    <r>
      <rPr>
        <sz val="10"/>
        <color theme="1"/>
        <rFont val="Consolas"/>
        <charset val="134"/>
      </rPr>
      <t>.</t>
    </r>
    <r>
      <rPr>
        <sz val="10"/>
        <color theme="1"/>
        <rFont val="宋体"/>
        <charset val="134"/>
      </rPr>
      <t>报警复位</t>
    </r>
  </si>
  <si>
    <t>bLogicEncTurnClr</t>
  </si>
  <si>
    <r>
      <rPr>
        <sz val="10"/>
        <color theme="1"/>
        <rFont val="宋体"/>
        <charset val="134"/>
      </rPr>
      <t>逻辑层</t>
    </r>
    <r>
      <rPr>
        <sz val="10"/>
        <color theme="1"/>
        <rFont val="Consolas"/>
        <charset val="134"/>
      </rPr>
      <t>.</t>
    </r>
    <r>
      <rPr>
        <sz val="10"/>
        <color theme="1"/>
        <rFont val="宋体"/>
        <charset val="134"/>
      </rPr>
      <t>多圈复位</t>
    </r>
  </si>
  <si>
    <t>bLogicHomeSig</t>
  </si>
  <si>
    <r>
      <rPr>
        <sz val="10"/>
        <color theme="1"/>
        <rFont val="宋体"/>
        <charset val="134"/>
      </rPr>
      <t>逻辑层</t>
    </r>
    <r>
      <rPr>
        <sz val="10"/>
        <color theme="1"/>
        <rFont val="Consolas"/>
        <charset val="134"/>
      </rPr>
      <t>.</t>
    </r>
    <r>
      <rPr>
        <sz val="10"/>
        <color theme="1"/>
        <rFont val="宋体"/>
        <charset val="134"/>
      </rPr>
      <t>原点信号</t>
    </r>
  </si>
  <si>
    <t>bLogicRotDirSel</t>
  </si>
  <si>
    <r>
      <rPr>
        <sz val="10"/>
        <color theme="1"/>
        <rFont val="宋体"/>
        <charset val="134"/>
      </rPr>
      <t>逻辑层</t>
    </r>
    <r>
      <rPr>
        <sz val="10"/>
        <color theme="1"/>
        <rFont val="Consolas"/>
        <charset val="134"/>
      </rPr>
      <t>.</t>
    </r>
    <r>
      <rPr>
        <sz val="10"/>
        <color theme="1"/>
        <rFont val="宋体"/>
        <charset val="134"/>
      </rPr>
      <t>旋转方向</t>
    </r>
  </si>
  <si>
    <t>s64LogicPosRef</t>
  </si>
  <si>
    <r>
      <rPr>
        <sz val="10"/>
        <color theme="1"/>
        <rFont val="宋体"/>
        <charset val="134"/>
      </rPr>
      <t>逻辑层</t>
    </r>
    <r>
      <rPr>
        <sz val="10"/>
        <color theme="1"/>
        <rFont val="Consolas"/>
        <charset val="134"/>
      </rPr>
      <t>.</t>
    </r>
    <r>
      <rPr>
        <sz val="10"/>
        <color theme="1"/>
        <rFont val="宋体"/>
        <charset val="134"/>
      </rPr>
      <t>位置指令</t>
    </r>
  </si>
  <si>
    <t>s64LogicPosRefGear</t>
  </si>
  <si>
    <r>
      <rPr>
        <sz val="10"/>
        <color theme="1"/>
        <rFont val="宋体"/>
        <charset val="134"/>
      </rPr>
      <t>逻辑层</t>
    </r>
    <r>
      <rPr>
        <sz val="10"/>
        <color theme="1"/>
        <rFont val="Consolas"/>
        <charset val="134"/>
      </rPr>
      <t>.</t>
    </r>
    <r>
      <rPr>
        <sz val="10"/>
        <color theme="1"/>
        <rFont val="宋体"/>
        <charset val="134"/>
      </rPr>
      <t>位置指令</t>
    </r>
    <r>
      <rPr>
        <sz val="10"/>
        <color theme="1"/>
        <rFont val="Consolas"/>
        <charset val="134"/>
      </rPr>
      <t>(</t>
    </r>
    <r>
      <rPr>
        <sz val="10"/>
        <color theme="1"/>
        <rFont val="宋体"/>
        <charset val="134"/>
      </rPr>
      <t>齿轮比缩放后</t>
    </r>
    <r>
      <rPr>
        <sz val="10"/>
        <color theme="1"/>
        <rFont val="Consolas"/>
        <charset val="134"/>
      </rPr>
      <t>)</t>
    </r>
  </si>
  <si>
    <t>s64LogicPosDigLimFwdGear</t>
  </si>
  <si>
    <r>
      <rPr>
        <sz val="10"/>
        <color theme="1"/>
        <rFont val="宋体"/>
        <charset val="134"/>
      </rPr>
      <t>逻辑层</t>
    </r>
    <r>
      <rPr>
        <sz val="10"/>
        <color theme="1"/>
        <rFont val="Consolas"/>
        <charset val="134"/>
      </rPr>
      <t>.</t>
    </r>
    <r>
      <rPr>
        <sz val="10"/>
        <color theme="1"/>
        <rFont val="宋体"/>
        <charset val="134"/>
      </rPr>
      <t>正向数字限位</t>
    </r>
    <r>
      <rPr>
        <sz val="10"/>
        <color theme="1"/>
        <rFont val="Consolas"/>
        <charset val="134"/>
      </rPr>
      <t>(</t>
    </r>
    <r>
      <rPr>
        <sz val="10"/>
        <color theme="1"/>
        <rFont val="宋体"/>
        <charset val="134"/>
      </rPr>
      <t>齿轮比缩放后</t>
    </r>
    <r>
      <rPr>
        <sz val="10"/>
        <color theme="1"/>
        <rFont val="Consolas"/>
        <charset val="134"/>
      </rPr>
      <t>)</t>
    </r>
  </si>
  <si>
    <t>s64LogicPosDigLimRevGear</t>
  </si>
  <si>
    <r>
      <rPr>
        <sz val="10"/>
        <color theme="1"/>
        <rFont val="宋体"/>
        <charset val="134"/>
      </rPr>
      <t>逻辑层</t>
    </r>
    <r>
      <rPr>
        <sz val="10"/>
        <color theme="1"/>
        <rFont val="Consolas"/>
        <charset val="134"/>
      </rPr>
      <t>.</t>
    </r>
    <r>
      <rPr>
        <sz val="10"/>
        <color theme="1"/>
        <rFont val="宋体"/>
        <charset val="134"/>
      </rPr>
      <t>反向数字限位</t>
    </r>
    <r>
      <rPr>
        <sz val="10"/>
        <color theme="1"/>
        <rFont val="Consolas"/>
        <charset val="134"/>
      </rPr>
      <t>(</t>
    </r>
    <r>
      <rPr>
        <sz val="10"/>
        <color theme="1"/>
        <rFont val="宋体"/>
        <charset val="134"/>
      </rPr>
      <t>齿轮比缩放后</t>
    </r>
    <r>
      <rPr>
        <sz val="10"/>
        <color theme="1"/>
        <rFont val="Consolas"/>
        <charset val="134"/>
      </rPr>
      <t>)</t>
    </r>
  </si>
  <si>
    <t>eLogicPosPlanMode</t>
  </si>
  <si>
    <r>
      <rPr>
        <sz val="10"/>
        <color theme="1"/>
        <rFont val="宋体"/>
        <charset val="134"/>
      </rPr>
      <t>逻辑层</t>
    </r>
    <r>
      <rPr>
        <sz val="10"/>
        <color theme="1"/>
        <rFont val="Consolas"/>
        <charset val="134"/>
      </rPr>
      <t>.</t>
    </r>
    <r>
      <rPr>
        <sz val="10"/>
        <color theme="1"/>
        <rFont val="宋体"/>
        <charset val="134"/>
      </rPr>
      <t>位置规划模式</t>
    </r>
  </si>
  <si>
    <t>s32LogicSpdRef</t>
  </si>
  <si>
    <r>
      <rPr>
        <sz val="10"/>
        <color theme="1"/>
        <rFont val="宋体"/>
        <charset val="134"/>
      </rPr>
      <t>逻辑层</t>
    </r>
    <r>
      <rPr>
        <sz val="10"/>
        <color theme="1"/>
        <rFont val="Consolas"/>
        <charset val="134"/>
      </rPr>
      <t>.</t>
    </r>
    <r>
      <rPr>
        <sz val="10"/>
        <color theme="1"/>
        <rFont val="宋体"/>
        <charset val="134"/>
      </rPr>
      <t>速度指令</t>
    </r>
  </si>
  <si>
    <t>u16LogicSpdAccTime</t>
  </si>
  <si>
    <r>
      <rPr>
        <sz val="10"/>
        <color theme="1"/>
        <rFont val="宋体"/>
        <charset val="134"/>
      </rPr>
      <t>逻辑层</t>
    </r>
    <r>
      <rPr>
        <sz val="10"/>
        <color theme="1"/>
        <rFont val="Consolas"/>
        <charset val="134"/>
      </rPr>
      <t>.</t>
    </r>
    <r>
      <rPr>
        <sz val="10"/>
        <color theme="1"/>
        <rFont val="宋体"/>
        <charset val="134"/>
      </rPr>
      <t>加速度时间</t>
    </r>
  </si>
  <si>
    <t>u16LogicSpdDecTime</t>
  </si>
  <si>
    <r>
      <rPr>
        <sz val="10"/>
        <color theme="1"/>
        <rFont val="宋体"/>
        <charset val="134"/>
      </rPr>
      <t>逻辑层</t>
    </r>
    <r>
      <rPr>
        <sz val="10"/>
        <color theme="1"/>
        <rFont val="Consolas"/>
        <charset val="134"/>
      </rPr>
      <t>.</t>
    </r>
    <r>
      <rPr>
        <sz val="10"/>
        <color theme="1"/>
        <rFont val="宋体"/>
        <charset val="134"/>
      </rPr>
      <t>减速度时间</t>
    </r>
  </si>
  <si>
    <t>eLogicSpdPlanMode</t>
  </si>
  <si>
    <r>
      <rPr>
        <sz val="10"/>
        <color theme="1"/>
        <rFont val="宋体"/>
        <charset val="134"/>
      </rPr>
      <t>逻辑层</t>
    </r>
    <r>
      <rPr>
        <sz val="10"/>
        <color theme="1"/>
        <rFont val="Consolas"/>
        <charset val="134"/>
      </rPr>
      <t>.</t>
    </r>
    <r>
      <rPr>
        <sz val="10"/>
        <color theme="1"/>
        <rFont val="宋体"/>
        <charset val="134"/>
      </rPr>
      <t>速度规划模式</t>
    </r>
  </si>
  <si>
    <t>s32LogicSpdLimFwd</t>
  </si>
  <si>
    <r>
      <rPr>
        <sz val="10"/>
        <color theme="1"/>
        <rFont val="宋体"/>
        <charset val="134"/>
      </rPr>
      <t>逻辑层</t>
    </r>
    <r>
      <rPr>
        <sz val="10"/>
        <color theme="1"/>
        <rFont val="Consolas"/>
        <charset val="134"/>
      </rPr>
      <t>.</t>
    </r>
    <r>
      <rPr>
        <sz val="10"/>
        <color theme="1"/>
        <rFont val="宋体"/>
        <charset val="134"/>
      </rPr>
      <t>正向速度限制</t>
    </r>
  </si>
  <si>
    <t>s32LogicSpdLimRev</t>
  </si>
  <si>
    <r>
      <rPr>
        <sz val="10"/>
        <color theme="1"/>
        <rFont val="宋体"/>
        <charset val="134"/>
      </rPr>
      <t>逻辑层</t>
    </r>
    <r>
      <rPr>
        <sz val="10"/>
        <color theme="1"/>
        <rFont val="Consolas"/>
        <charset val="134"/>
      </rPr>
      <t>.</t>
    </r>
    <r>
      <rPr>
        <sz val="10"/>
        <color theme="1"/>
        <rFont val="宋体"/>
        <charset val="134"/>
      </rPr>
      <t>反向速度限制</t>
    </r>
  </si>
  <si>
    <t>s16LogicFluxRef</t>
  </si>
  <si>
    <r>
      <rPr>
        <sz val="10"/>
        <color theme="1"/>
        <rFont val="宋体"/>
        <charset val="134"/>
      </rPr>
      <t>逻辑层</t>
    </r>
    <r>
      <rPr>
        <sz val="10"/>
        <color theme="1"/>
        <rFont val="Consolas"/>
        <charset val="134"/>
      </rPr>
      <t>.</t>
    </r>
    <r>
      <rPr>
        <sz val="10"/>
        <color theme="1"/>
        <rFont val="宋体"/>
        <charset val="134"/>
      </rPr>
      <t>磁通指令</t>
    </r>
  </si>
  <si>
    <t>s16LogicTrqRef</t>
  </si>
  <si>
    <r>
      <rPr>
        <sz val="10"/>
        <color theme="1"/>
        <rFont val="宋体"/>
        <charset val="134"/>
      </rPr>
      <t>逻辑层</t>
    </r>
    <r>
      <rPr>
        <sz val="10"/>
        <color theme="1"/>
        <rFont val="Consolas"/>
        <charset val="134"/>
      </rPr>
      <t>.</t>
    </r>
    <r>
      <rPr>
        <sz val="10"/>
        <color theme="1"/>
        <rFont val="宋体"/>
        <charset val="134"/>
      </rPr>
      <t>转矩指令</t>
    </r>
  </si>
  <si>
    <t>s16LogicTrqLimFwd</t>
  </si>
  <si>
    <r>
      <rPr>
        <sz val="10"/>
        <color theme="1"/>
        <rFont val="宋体"/>
        <charset val="134"/>
      </rPr>
      <t>逻辑层</t>
    </r>
    <r>
      <rPr>
        <sz val="10"/>
        <color theme="1"/>
        <rFont val="Consolas"/>
        <charset val="134"/>
      </rPr>
      <t>.</t>
    </r>
    <r>
      <rPr>
        <sz val="10"/>
        <color theme="1"/>
        <rFont val="宋体"/>
        <charset val="134"/>
      </rPr>
      <t>正向转矩限制</t>
    </r>
  </si>
  <si>
    <t>s16LogicTrqLimRev</t>
  </si>
  <si>
    <r>
      <rPr>
        <sz val="10"/>
        <color theme="1"/>
        <rFont val="宋体"/>
        <charset val="134"/>
      </rPr>
      <t>逻辑层</t>
    </r>
    <r>
      <rPr>
        <sz val="10"/>
        <color theme="1"/>
        <rFont val="Consolas"/>
        <charset val="134"/>
      </rPr>
      <t>.</t>
    </r>
    <r>
      <rPr>
        <sz val="10"/>
        <color theme="1"/>
        <rFont val="宋体"/>
        <charset val="134"/>
      </rPr>
      <t>反向转矩限制</t>
    </r>
  </si>
  <si>
    <t>s64PlanPosRef</t>
  </si>
  <si>
    <r>
      <rPr>
        <sz val="10"/>
        <color theme="1"/>
        <rFont val="宋体"/>
        <charset val="134"/>
      </rPr>
      <t>规划层</t>
    </r>
    <r>
      <rPr>
        <sz val="10"/>
        <color theme="1"/>
        <rFont val="Consolas"/>
        <charset val="134"/>
      </rPr>
      <t>.</t>
    </r>
    <r>
      <rPr>
        <sz val="10"/>
        <color theme="1"/>
        <rFont val="宋体"/>
        <charset val="134"/>
      </rPr>
      <t>位置指令</t>
    </r>
  </si>
  <si>
    <t>s32PlanSpdRef</t>
  </si>
  <si>
    <r>
      <rPr>
        <sz val="10"/>
        <color theme="1"/>
        <rFont val="宋体"/>
        <charset val="134"/>
      </rPr>
      <t>规划层</t>
    </r>
    <r>
      <rPr>
        <sz val="10"/>
        <color theme="1"/>
        <rFont val="Consolas"/>
        <charset val="134"/>
      </rPr>
      <t>.</t>
    </r>
    <r>
      <rPr>
        <sz val="10"/>
        <color theme="1"/>
        <rFont val="宋体"/>
        <charset val="134"/>
      </rPr>
      <t>速度指令</t>
    </r>
  </si>
  <si>
    <t>s16PlanIqRef</t>
  </si>
  <si>
    <r>
      <rPr>
        <sz val="10"/>
        <color theme="1"/>
        <rFont val="宋体"/>
        <charset val="134"/>
      </rPr>
      <t>规划层</t>
    </r>
    <r>
      <rPr>
        <sz val="10"/>
        <color theme="1"/>
        <rFont val="Consolas"/>
        <charset val="134"/>
      </rPr>
      <t>.</t>
    </r>
    <r>
      <rPr>
        <sz val="10"/>
        <color theme="1"/>
        <rFont val="宋体"/>
        <charset val="134"/>
      </rPr>
      <t>转矩指令</t>
    </r>
  </si>
  <si>
    <t>s16PlanIdRef</t>
  </si>
  <si>
    <r>
      <rPr>
        <sz val="10"/>
        <color theme="1"/>
        <rFont val="宋体"/>
        <charset val="134"/>
      </rPr>
      <t>规划层</t>
    </r>
    <r>
      <rPr>
        <sz val="10"/>
        <color theme="1"/>
        <rFont val="Consolas"/>
        <charset val="134"/>
      </rPr>
      <t>.</t>
    </r>
    <r>
      <rPr>
        <sz val="10"/>
        <color theme="1"/>
        <rFont val="宋体"/>
        <charset val="134"/>
      </rPr>
      <t>磁通指令</t>
    </r>
  </si>
  <si>
    <t>s32PosPlanSpdRef</t>
  </si>
  <si>
    <r>
      <rPr>
        <sz val="10"/>
        <color theme="1"/>
        <rFont val="宋体"/>
        <charset val="134"/>
      </rPr>
      <t>规划层</t>
    </r>
    <r>
      <rPr>
        <sz val="10"/>
        <color theme="1"/>
        <rFont val="Consolas"/>
        <charset val="134"/>
      </rPr>
      <t>.</t>
    </r>
    <r>
      <rPr>
        <sz val="10"/>
        <color theme="1"/>
        <rFont val="宋体"/>
        <charset val="134"/>
      </rPr>
      <t>位置规划速度指令</t>
    </r>
  </si>
  <si>
    <t>s32DrvPosErr</t>
  </si>
  <si>
    <r>
      <rPr>
        <sz val="10"/>
        <color theme="1"/>
        <rFont val="宋体"/>
        <charset val="134"/>
      </rPr>
      <t>驱动层</t>
    </r>
    <r>
      <rPr>
        <sz val="10"/>
        <color theme="1"/>
        <rFont val="Consolas"/>
        <charset val="134"/>
      </rPr>
      <t>.</t>
    </r>
    <r>
      <rPr>
        <sz val="10"/>
        <color theme="1"/>
        <rFont val="宋体"/>
        <charset val="134"/>
      </rPr>
      <t>位置误差</t>
    </r>
  </si>
  <si>
    <t>s32DrvPosPropGain</t>
  </si>
  <si>
    <r>
      <rPr>
        <sz val="10"/>
        <color theme="1"/>
        <rFont val="宋体"/>
        <charset val="134"/>
      </rPr>
      <t>驱动层</t>
    </r>
    <r>
      <rPr>
        <sz val="10"/>
        <color theme="1"/>
        <rFont val="Consolas"/>
        <charset val="134"/>
      </rPr>
      <t>.</t>
    </r>
    <r>
      <rPr>
        <sz val="10"/>
        <color theme="1"/>
        <rFont val="宋体"/>
        <charset val="134"/>
      </rPr>
      <t>位置环</t>
    </r>
    <r>
      <rPr>
        <sz val="10"/>
        <color theme="1"/>
        <rFont val="Consolas"/>
        <charset val="134"/>
      </rPr>
      <t>PI</t>
    </r>
    <r>
      <rPr>
        <sz val="10"/>
        <color theme="1"/>
        <rFont val="宋体"/>
        <charset val="134"/>
      </rPr>
      <t>比例增益</t>
    </r>
  </si>
  <si>
    <t>s32DrvPosInteGain</t>
  </si>
  <si>
    <r>
      <rPr>
        <sz val="10"/>
        <color theme="1"/>
        <rFont val="宋体"/>
        <charset val="134"/>
      </rPr>
      <t>驱动层</t>
    </r>
    <r>
      <rPr>
        <sz val="10"/>
        <color theme="1"/>
        <rFont val="Consolas"/>
        <charset val="134"/>
      </rPr>
      <t>.</t>
    </r>
    <r>
      <rPr>
        <sz val="10"/>
        <color theme="1"/>
        <rFont val="宋体"/>
        <charset val="134"/>
      </rPr>
      <t>位置环</t>
    </r>
    <r>
      <rPr>
        <sz val="10"/>
        <color theme="1"/>
        <rFont val="Consolas"/>
        <charset val="134"/>
      </rPr>
      <t>PI</t>
    </r>
    <r>
      <rPr>
        <sz val="10"/>
        <color theme="1"/>
        <rFont val="宋体"/>
        <charset val="134"/>
      </rPr>
      <t>积分增益</t>
    </r>
  </si>
  <si>
    <t>s32DrvSpdErr</t>
  </si>
  <si>
    <t>0.001rpm</t>
  </si>
  <si>
    <r>
      <rPr>
        <sz val="10"/>
        <color theme="1"/>
        <rFont val="宋体"/>
        <charset val="134"/>
      </rPr>
      <t>驱动层</t>
    </r>
    <r>
      <rPr>
        <sz val="10"/>
        <color theme="1"/>
        <rFont val="Consolas"/>
        <charset val="134"/>
      </rPr>
      <t>.</t>
    </r>
    <r>
      <rPr>
        <sz val="10"/>
        <color theme="1"/>
        <rFont val="宋体"/>
        <charset val="134"/>
      </rPr>
      <t>速度偏差</t>
    </r>
  </si>
  <si>
    <t>s32DrvSpdPropGain</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</si>
  <si>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比例增益</t>
    </r>
  </si>
  <si>
    <t>s32DrvSpdInteGain</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</si>
  <si>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积分增益</t>
    </r>
  </si>
  <si>
    <t>s32SpdLoopProp</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</si>
  <si>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比例项</t>
    </r>
  </si>
  <si>
    <t>s32SpdLoopInte</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</si>
  <si>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积分项</t>
    </r>
  </si>
  <si>
    <t>s32SpdLoopOut</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</si>
  <si>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输出</t>
    </r>
  </si>
  <si>
    <t>s16DrvIqErr</t>
  </si>
  <si>
    <r>
      <rPr>
        <sz val="10"/>
        <color theme="1"/>
        <rFont val="宋体"/>
        <charset val="134"/>
      </rPr>
      <t>驱动层</t>
    </r>
    <r>
      <rPr>
        <sz val="10"/>
        <color theme="1"/>
        <rFont val="Consolas"/>
        <charset val="134"/>
      </rPr>
      <t>.</t>
    </r>
    <r>
      <rPr>
        <sz val="10"/>
        <color theme="1"/>
        <rFont val="宋体"/>
        <charset val="134"/>
      </rPr>
      <t>转矩误差数字量</t>
    </r>
  </si>
  <si>
    <t>s16DrvIqPropGain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</si>
  <si>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比例增益</t>
    </r>
  </si>
  <si>
    <t>s16DrvIqInteGain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</si>
  <si>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积分增益</t>
    </r>
  </si>
  <si>
    <t>s32CurLoopIqProp</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</si>
  <si>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比例项</t>
    </r>
  </si>
  <si>
    <t>s32CurLoopIqInte</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</si>
  <si>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积分项</t>
    </r>
  </si>
  <si>
    <t>s16CurLoopIqOut</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</si>
  <si>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输出</t>
    </r>
  </si>
  <si>
    <t>s16DrvIdErr</t>
  </si>
  <si>
    <r>
      <rPr>
        <sz val="10"/>
        <color theme="1"/>
        <rFont val="宋体"/>
        <charset val="134"/>
      </rPr>
      <t>驱动层</t>
    </r>
    <r>
      <rPr>
        <sz val="10"/>
        <color theme="1"/>
        <rFont val="Consolas"/>
        <charset val="134"/>
      </rPr>
      <t>.</t>
    </r>
    <r>
      <rPr>
        <sz val="10"/>
        <color theme="1"/>
        <rFont val="宋体"/>
        <charset val="134"/>
      </rPr>
      <t>磁通误差数字量</t>
    </r>
  </si>
  <si>
    <t>s16DrvIdPropGain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</si>
  <si>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比例增益</t>
    </r>
  </si>
  <si>
    <t>s16DrvIdInteGain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</si>
  <si>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积分增益</t>
    </r>
  </si>
  <si>
    <t>s32CurLoopIdProp</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</si>
  <si>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比例项</t>
    </r>
  </si>
  <si>
    <t>s32CurLoopIdInte</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</si>
  <si>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积分项</t>
    </r>
  </si>
  <si>
    <t>s16CurLoopIdOut</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</si>
  <si>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输出</t>
    </r>
  </si>
  <si>
    <t>s16IaZeroPu</t>
  </si>
  <si>
    <r>
      <rPr>
        <sz val="10"/>
        <color theme="1"/>
        <rFont val="宋体"/>
        <charset val="134"/>
      </rPr>
      <t>驱动层</t>
    </r>
    <r>
      <rPr>
        <sz val="10"/>
        <color theme="1"/>
        <rFont val="Consolas"/>
        <charset val="134"/>
      </rPr>
      <t>.U</t>
    </r>
    <r>
      <rPr>
        <sz val="10"/>
        <color theme="1"/>
        <rFont val="宋体"/>
        <charset val="134"/>
      </rPr>
      <t>相电流零漂标幺值</t>
    </r>
  </si>
  <si>
    <t>s16IbZeroPu</t>
  </si>
  <si>
    <r>
      <rPr>
        <sz val="10"/>
        <color theme="1"/>
        <rFont val="宋体"/>
        <charset val="134"/>
      </rPr>
      <t>驱动层</t>
    </r>
    <r>
      <rPr>
        <sz val="10"/>
        <color theme="1"/>
        <rFont val="Consolas"/>
        <charset val="134"/>
      </rPr>
      <t>.V</t>
    </r>
    <r>
      <rPr>
        <sz val="10"/>
        <color theme="1"/>
        <rFont val="宋体"/>
        <charset val="134"/>
      </rPr>
      <t>相电流零漂标幺值</t>
    </r>
  </si>
  <si>
    <t>s16IcZeroPu</t>
  </si>
  <si>
    <r>
      <rPr>
        <sz val="10"/>
        <color theme="1"/>
        <rFont val="宋体"/>
        <charset val="134"/>
      </rPr>
      <t>驱动层</t>
    </r>
    <r>
      <rPr>
        <sz val="10"/>
        <color theme="1"/>
        <rFont val="Consolas"/>
        <charset val="134"/>
      </rPr>
      <t>.W</t>
    </r>
    <r>
      <rPr>
        <sz val="10"/>
        <color theme="1"/>
        <rFont val="宋体"/>
        <charset val="134"/>
      </rPr>
      <t>相电流零漂标幺值</t>
    </r>
  </si>
  <si>
    <t>s16IaFbPu</t>
  </si>
  <si>
    <r>
      <rPr>
        <sz val="10"/>
        <color theme="1"/>
        <rFont val="宋体"/>
        <charset val="134"/>
      </rPr>
      <t>驱动层</t>
    </r>
    <r>
      <rPr>
        <sz val="10"/>
        <color theme="1"/>
        <rFont val="Consolas"/>
        <charset val="134"/>
      </rPr>
      <t>.U</t>
    </r>
    <r>
      <rPr>
        <sz val="10"/>
        <color theme="1"/>
        <rFont val="宋体"/>
        <charset val="134"/>
      </rPr>
      <t>相电流反馈标幺值</t>
    </r>
  </si>
  <si>
    <t>s16IbFbPu</t>
  </si>
  <si>
    <r>
      <rPr>
        <sz val="10"/>
        <color theme="1"/>
        <rFont val="宋体"/>
        <charset val="134"/>
      </rPr>
      <t>驱动层</t>
    </r>
    <r>
      <rPr>
        <sz val="10"/>
        <color theme="1"/>
        <rFont val="Consolas"/>
        <charset val="134"/>
      </rPr>
      <t>.V</t>
    </r>
    <r>
      <rPr>
        <sz val="10"/>
        <color theme="1"/>
        <rFont val="宋体"/>
        <charset val="134"/>
      </rPr>
      <t>相电流反馈标幺值</t>
    </r>
  </si>
  <si>
    <t>s16IcFbPu</t>
  </si>
  <si>
    <r>
      <rPr>
        <sz val="10"/>
        <color theme="1"/>
        <rFont val="宋体"/>
        <charset val="134"/>
      </rPr>
      <t>驱动层</t>
    </r>
    <r>
      <rPr>
        <sz val="10"/>
        <color theme="1"/>
        <rFont val="Consolas"/>
        <charset val="134"/>
      </rPr>
      <t>.W</t>
    </r>
    <r>
      <rPr>
        <sz val="10"/>
        <color theme="1"/>
        <rFont val="宋体"/>
        <charset val="134"/>
      </rPr>
      <t>相电流反馈标幺值</t>
    </r>
  </si>
  <si>
    <t>s16IalphaFb</t>
  </si>
  <si>
    <r>
      <rPr>
        <sz val="10"/>
        <color theme="1"/>
        <rFont val="宋体"/>
        <charset val="134"/>
      </rPr>
      <t>驱动层</t>
    </r>
    <r>
      <rPr>
        <sz val="10"/>
        <color theme="1"/>
        <rFont val="Consolas"/>
        <charset val="134"/>
      </rPr>
      <t>.Alpha</t>
    </r>
    <r>
      <rPr>
        <sz val="10"/>
        <color theme="1"/>
        <rFont val="宋体"/>
        <charset val="134"/>
      </rPr>
      <t>轴反馈</t>
    </r>
  </si>
  <si>
    <t>s16IbetaFb</t>
  </si>
  <si>
    <r>
      <rPr>
        <sz val="10"/>
        <color theme="1"/>
        <rFont val="宋体"/>
        <charset val="134"/>
      </rPr>
      <t>驱动层</t>
    </r>
    <r>
      <rPr>
        <sz val="10"/>
        <color theme="1"/>
        <rFont val="Consolas"/>
        <charset val="134"/>
      </rPr>
      <t>.Beta</t>
    </r>
    <r>
      <rPr>
        <sz val="10"/>
        <color theme="1"/>
        <rFont val="宋体"/>
        <charset val="134"/>
      </rPr>
      <t>轴反馈</t>
    </r>
  </si>
  <si>
    <t>s16IqFb</t>
  </si>
  <si>
    <r>
      <rPr>
        <sz val="10"/>
        <color theme="1"/>
        <rFont val="宋体"/>
        <charset val="134"/>
      </rPr>
      <t>驱动层</t>
    </r>
    <r>
      <rPr>
        <sz val="10"/>
        <color theme="1"/>
        <rFont val="Consolas"/>
        <charset val="134"/>
      </rPr>
      <t>.Q</t>
    </r>
    <r>
      <rPr>
        <sz val="10"/>
        <color theme="1"/>
        <rFont val="宋体"/>
        <charset val="134"/>
      </rPr>
      <t>轴反馈</t>
    </r>
    <r>
      <rPr>
        <sz val="10"/>
        <color theme="1"/>
        <rFont val="Consolas"/>
        <charset val="134"/>
      </rPr>
      <t>(</t>
    </r>
    <r>
      <rPr>
        <sz val="10"/>
        <color theme="1"/>
        <rFont val="宋体"/>
        <charset val="134"/>
      </rPr>
      <t>滤波前</t>
    </r>
    <r>
      <rPr>
        <sz val="10"/>
        <color theme="1"/>
        <rFont val="Consolas"/>
        <charset val="134"/>
      </rPr>
      <t>)</t>
    </r>
  </si>
  <si>
    <t>s16IdFb</t>
  </si>
  <si>
    <r>
      <rPr>
        <sz val="10"/>
        <color theme="1"/>
        <rFont val="宋体"/>
        <charset val="134"/>
      </rPr>
      <t>驱动层</t>
    </r>
    <r>
      <rPr>
        <sz val="10"/>
        <color theme="1"/>
        <rFont val="Consolas"/>
        <charset val="134"/>
      </rPr>
      <t>.D</t>
    </r>
    <r>
      <rPr>
        <sz val="10"/>
        <color theme="1"/>
        <rFont val="宋体"/>
        <charset val="134"/>
      </rPr>
      <t>轴反馈</t>
    </r>
    <r>
      <rPr>
        <sz val="10"/>
        <color theme="1"/>
        <rFont val="Consolas"/>
        <charset val="134"/>
      </rPr>
      <t>(</t>
    </r>
    <r>
      <rPr>
        <sz val="10"/>
        <color theme="1"/>
        <rFont val="宋体"/>
        <charset val="134"/>
      </rPr>
      <t>滤波前</t>
    </r>
    <r>
      <rPr>
        <sz val="10"/>
        <color theme="1"/>
        <rFont val="Consolas"/>
        <charset val="134"/>
      </rPr>
      <t>)</t>
    </r>
  </si>
  <si>
    <t>u16ElecAngFb</t>
  </si>
  <si>
    <r>
      <rPr>
        <sz val="10"/>
        <color theme="1"/>
        <rFont val="宋体"/>
        <charset val="134"/>
      </rPr>
      <t>驱动层</t>
    </r>
    <r>
      <rPr>
        <sz val="10"/>
        <color theme="1"/>
        <rFont val="Consolas"/>
        <charset val="134"/>
      </rPr>
      <t>.</t>
    </r>
    <r>
      <rPr>
        <sz val="10"/>
        <color theme="1"/>
        <rFont val="宋体"/>
        <charset val="134"/>
      </rPr>
      <t>电角度反馈</t>
    </r>
  </si>
  <si>
    <t>u16ElecAngRef</t>
  </si>
  <si>
    <r>
      <rPr>
        <sz val="10"/>
        <color theme="1"/>
        <rFont val="宋体"/>
        <charset val="134"/>
      </rPr>
      <t>驱动层</t>
    </r>
    <r>
      <rPr>
        <sz val="10"/>
        <color theme="1"/>
        <rFont val="Consolas"/>
        <charset val="134"/>
      </rPr>
      <t>.</t>
    </r>
    <r>
      <rPr>
        <sz val="10"/>
        <color theme="1"/>
        <rFont val="宋体"/>
        <charset val="134"/>
      </rPr>
      <t>电角度指令</t>
    </r>
  </si>
  <si>
    <t>s16IdRef</t>
  </si>
  <si>
    <r>
      <rPr>
        <sz val="10"/>
        <color theme="1"/>
        <rFont val="宋体"/>
        <charset val="134"/>
      </rPr>
      <t>驱动层</t>
    </r>
    <r>
      <rPr>
        <sz val="10"/>
        <color theme="1"/>
        <rFont val="Consolas"/>
        <charset val="134"/>
      </rPr>
      <t>.D</t>
    </r>
    <r>
      <rPr>
        <sz val="10"/>
        <color theme="1"/>
        <rFont val="宋体"/>
        <charset val="134"/>
      </rPr>
      <t>轴电压输出</t>
    </r>
    <r>
      <rPr>
        <sz val="10"/>
        <color theme="1"/>
        <rFont val="Consolas"/>
        <charset val="134"/>
      </rPr>
      <t>(</t>
    </r>
    <r>
      <rPr>
        <sz val="10"/>
        <color theme="1"/>
        <rFont val="宋体"/>
        <charset val="134"/>
      </rPr>
      <t>限幅后</t>
    </r>
    <r>
      <rPr>
        <sz val="10"/>
        <color theme="1"/>
        <rFont val="Consolas"/>
        <charset val="134"/>
      </rPr>
      <t>)</t>
    </r>
  </si>
  <si>
    <t>s16IqRef</t>
  </si>
  <si>
    <r>
      <rPr>
        <sz val="10"/>
        <color theme="1"/>
        <rFont val="宋体"/>
        <charset val="134"/>
      </rPr>
      <t>驱动层</t>
    </r>
    <r>
      <rPr>
        <sz val="10"/>
        <color theme="1"/>
        <rFont val="Consolas"/>
        <charset val="134"/>
      </rPr>
      <t>.Q</t>
    </r>
    <r>
      <rPr>
        <sz val="10"/>
        <color theme="1"/>
        <rFont val="宋体"/>
        <charset val="134"/>
      </rPr>
      <t>轴电压输出</t>
    </r>
    <r>
      <rPr>
        <sz val="10"/>
        <color theme="1"/>
        <rFont val="Consolas"/>
        <charset val="134"/>
      </rPr>
      <t>(</t>
    </r>
    <r>
      <rPr>
        <sz val="10"/>
        <color theme="1"/>
        <rFont val="宋体"/>
        <charset val="134"/>
      </rPr>
      <t>限幅后</t>
    </r>
    <r>
      <rPr>
        <sz val="10"/>
        <color theme="1"/>
        <rFont val="Consolas"/>
        <charset val="134"/>
      </rPr>
      <t>)</t>
    </r>
  </si>
  <si>
    <t>s16IalphaRef</t>
  </si>
  <si>
    <r>
      <rPr>
        <sz val="10"/>
        <color theme="1"/>
        <rFont val="宋体"/>
        <charset val="134"/>
      </rPr>
      <t>驱动层</t>
    </r>
    <r>
      <rPr>
        <sz val="10"/>
        <color theme="1"/>
        <rFont val="Consolas"/>
        <charset val="134"/>
      </rPr>
      <t>.Alpha</t>
    </r>
    <r>
      <rPr>
        <sz val="10"/>
        <color theme="1"/>
        <rFont val="宋体"/>
        <charset val="134"/>
      </rPr>
      <t>轴电压输出</t>
    </r>
  </si>
  <si>
    <t>s16IbetaRef</t>
  </si>
  <si>
    <r>
      <rPr>
        <sz val="10"/>
        <color theme="1"/>
        <rFont val="宋体"/>
        <charset val="134"/>
      </rPr>
      <t>驱动层</t>
    </r>
    <r>
      <rPr>
        <sz val="10"/>
        <color theme="1"/>
        <rFont val="Consolas"/>
        <charset val="134"/>
      </rPr>
      <t>.Beta</t>
    </r>
    <r>
      <rPr>
        <sz val="10"/>
        <color theme="1"/>
        <rFont val="宋体"/>
        <charset val="134"/>
      </rPr>
      <t>轴电压输出</t>
    </r>
  </si>
  <si>
    <t>eSvpwmSector</t>
  </si>
  <si>
    <r>
      <rPr>
        <sz val="10"/>
        <color theme="1"/>
        <rFont val="宋体"/>
        <charset val="134"/>
      </rPr>
      <t>驱动层</t>
    </r>
    <r>
      <rPr>
        <sz val="10"/>
        <color theme="1"/>
        <rFont val="Consolas"/>
        <charset val="134"/>
      </rPr>
      <t>.SVPWM</t>
    </r>
    <r>
      <rPr>
        <sz val="10"/>
        <color theme="1"/>
        <rFont val="宋体"/>
        <charset val="134"/>
      </rPr>
      <t>矢量扇区</t>
    </r>
  </si>
  <si>
    <t>u16PwmaComp</t>
  </si>
  <si>
    <r>
      <rPr>
        <sz val="10"/>
        <color theme="1"/>
        <rFont val="宋体"/>
        <charset val="134"/>
      </rPr>
      <t>驱动层</t>
    </r>
    <r>
      <rPr>
        <sz val="10"/>
        <color theme="1"/>
        <rFont val="Consolas"/>
        <charset val="134"/>
      </rPr>
      <t>.A</t>
    </r>
    <r>
      <rPr>
        <sz val="10"/>
        <color theme="1"/>
        <rFont val="宋体"/>
        <charset val="134"/>
      </rPr>
      <t>相</t>
    </r>
    <r>
      <rPr>
        <sz val="10"/>
        <color theme="1"/>
        <rFont val="Consolas"/>
        <charset val="134"/>
      </rPr>
      <t>PWM</t>
    </r>
    <r>
      <rPr>
        <sz val="10"/>
        <color theme="1"/>
        <rFont val="宋体"/>
        <charset val="134"/>
      </rPr>
      <t>比较值</t>
    </r>
  </si>
  <si>
    <t>u16PwmbComp</t>
  </si>
  <si>
    <r>
      <rPr>
        <sz val="10"/>
        <color theme="1"/>
        <rFont val="宋体"/>
        <charset val="134"/>
      </rPr>
      <t>驱动层</t>
    </r>
    <r>
      <rPr>
        <sz val="10"/>
        <color theme="1"/>
        <rFont val="Consolas"/>
        <charset val="134"/>
      </rPr>
      <t>.B</t>
    </r>
    <r>
      <rPr>
        <sz val="10"/>
        <color theme="1"/>
        <rFont val="宋体"/>
        <charset val="134"/>
      </rPr>
      <t>相</t>
    </r>
    <r>
      <rPr>
        <sz val="10"/>
        <color theme="1"/>
        <rFont val="Consolas"/>
        <charset val="134"/>
      </rPr>
      <t>PWM</t>
    </r>
    <r>
      <rPr>
        <sz val="10"/>
        <color theme="1"/>
        <rFont val="宋体"/>
        <charset val="134"/>
      </rPr>
      <t>比较值</t>
    </r>
  </si>
  <si>
    <t>u16PwmcComp</t>
  </si>
  <si>
    <r>
      <rPr>
        <sz val="10"/>
        <color theme="1"/>
        <rFont val="宋体"/>
        <charset val="134"/>
      </rPr>
      <t>驱动层</t>
    </r>
    <r>
      <rPr>
        <sz val="10"/>
        <color theme="1"/>
        <rFont val="Consolas"/>
        <charset val="134"/>
      </rPr>
      <t>.C</t>
    </r>
    <r>
      <rPr>
        <sz val="10"/>
        <color theme="1"/>
        <rFont val="宋体"/>
        <charset val="134"/>
      </rPr>
      <t>相</t>
    </r>
    <r>
      <rPr>
        <sz val="10"/>
        <color theme="1"/>
        <rFont val="Consolas"/>
        <charset val="134"/>
      </rPr>
      <t>PWM</t>
    </r>
    <r>
      <rPr>
        <sz val="10"/>
        <color theme="1"/>
        <rFont val="宋体"/>
        <charset val="134"/>
      </rPr>
      <t>比较值</t>
    </r>
  </si>
  <si>
    <t>s32DrvSpdRef</t>
  </si>
  <si>
    <r>
      <rPr>
        <sz val="10"/>
        <color theme="1"/>
        <rFont val="宋体"/>
        <charset val="134"/>
      </rPr>
      <t>驱动层</t>
    </r>
    <r>
      <rPr>
        <sz val="10"/>
        <color theme="1"/>
        <rFont val="Consolas"/>
        <charset val="134"/>
      </rPr>
      <t>.</t>
    </r>
    <r>
      <rPr>
        <sz val="10"/>
        <color theme="1"/>
        <rFont val="宋体"/>
        <charset val="134"/>
      </rPr>
      <t>速度指令</t>
    </r>
    <r>
      <rPr>
        <sz val="10"/>
        <color theme="1"/>
        <rFont val="Consolas"/>
        <charset val="134"/>
      </rPr>
      <t>(</t>
    </r>
    <r>
      <rPr>
        <sz val="10"/>
        <color theme="1"/>
        <rFont val="宋体"/>
        <charset val="134"/>
      </rPr>
      <t>限幅后</t>
    </r>
    <r>
      <rPr>
        <sz val="10"/>
        <color theme="1"/>
        <rFont val="Consolas"/>
        <charset val="134"/>
      </rPr>
      <t>)</t>
    </r>
  </si>
  <si>
    <t>s32DrvSpdFb</t>
  </si>
  <si>
    <r>
      <rPr>
        <sz val="10"/>
        <color theme="1"/>
        <rFont val="宋体"/>
        <charset val="134"/>
      </rPr>
      <t>驱动层</t>
    </r>
    <r>
      <rPr>
        <sz val="10"/>
        <color theme="1"/>
        <rFont val="Consolas"/>
        <charset val="134"/>
      </rPr>
      <t>.</t>
    </r>
    <r>
      <rPr>
        <sz val="10"/>
        <color theme="1"/>
        <rFont val="宋体"/>
        <charset val="134"/>
      </rPr>
      <t>速度反馈</t>
    </r>
    <r>
      <rPr>
        <sz val="10"/>
        <color theme="1"/>
        <rFont val="Consolas"/>
        <charset val="134"/>
      </rPr>
      <t>(</t>
    </r>
    <r>
      <rPr>
        <sz val="10"/>
        <color theme="1"/>
        <rFont val="宋体"/>
        <charset val="134"/>
      </rPr>
      <t>滤波后</t>
    </r>
    <r>
      <rPr>
        <sz val="10"/>
        <color theme="1"/>
        <rFont val="Consolas"/>
        <charset val="134"/>
      </rPr>
      <t>)</t>
    </r>
  </si>
  <si>
    <t>s64DrvPosRef</t>
  </si>
  <si>
    <r>
      <rPr>
        <sz val="10"/>
        <color theme="1"/>
        <rFont val="宋体"/>
        <charset val="134"/>
      </rPr>
      <t>驱动层</t>
    </r>
    <r>
      <rPr>
        <sz val="10"/>
        <color theme="1"/>
        <rFont val="Consolas"/>
        <charset val="134"/>
      </rPr>
      <t>.</t>
    </r>
    <r>
      <rPr>
        <sz val="10"/>
        <color theme="1"/>
        <rFont val="宋体"/>
        <charset val="134"/>
      </rPr>
      <t>位置指令</t>
    </r>
  </si>
  <si>
    <t>s64DrvPosFb</t>
  </si>
  <si>
    <r>
      <rPr>
        <sz val="10"/>
        <color theme="1"/>
        <rFont val="宋体"/>
        <charset val="134"/>
      </rPr>
      <t>驱动层</t>
    </r>
    <r>
      <rPr>
        <sz val="10"/>
        <color theme="1"/>
        <rFont val="Consolas"/>
        <charset val="134"/>
      </rPr>
      <t>.</t>
    </r>
    <r>
      <rPr>
        <sz val="10"/>
        <color theme="1"/>
        <rFont val="宋体"/>
        <charset val="134"/>
      </rPr>
      <t>位置反馈</t>
    </r>
  </si>
  <si>
    <t>s16DrvIqFb</t>
  </si>
  <si>
    <r>
      <rPr>
        <sz val="10"/>
        <color theme="1"/>
        <rFont val="宋体"/>
        <charset val="134"/>
      </rPr>
      <t>驱动层</t>
    </r>
    <r>
      <rPr>
        <sz val="10"/>
        <color theme="1"/>
        <rFont val="Consolas"/>
        <charset val="134"/>
      </rPr>
      <t>.Q</t>
    </r>
    <r>
      <rPr>
        <sz val="10"/>
        <color theme="1"/>
        <rFont val="宋体"/>
        <charset val="134"/>
      </rPr>
      <t>轴反馈</t>
    </r>
    <r>
      <rPr>
        <sz val="10"/>
        <color theme="1"/>
        <rFont val="Consolas"/>
        <charset val="134"/>
      </rPr>
      <t>(</t>
    </r>
    <r>
      <rPr>
        <sz val="10"/>
        <color theme="1"/>
        <rFont val="宋体"/>
        <charset val="134"/>
      </rPr>
      <t>滤波后</t>
    </r>
    <r>
      <rPr>
        <sz val="10"/>
        <color theme="1"/>
        <rFont val="Consolas"/>
        <charset val="134"/>
      </rPr>
      <t>)</t>
    </r>
  </si>
  <si>
    <t>s16DrvIdFb</t>
  </si>
  <si>
    <r>
      <rPr>
        <sz val="10"/>
        <color theme="1"/>
        <rFont val="宋体"/>
        <charset val="134"/>
      </rPr>
      <t>驱动层</t>
    </r>
    <r>
      <rPr>
        <sz val="10"/>
        <color theme="1"/>
        <rFont val="Consolas"/>
        <charset val="134"/>
      </rPr>
      <t>.D</t>
    </r>
    <r>
      <rPr>
        <sz val="10"/>
        <color theme="1"/>
        <rFont val="宋体"/>
        <charset val="134"/>
      </rPr>
      <t>轴反馈</t>
    </r>
    <r>
      <rPr>
        <sz val="10"/>
        <color theme="1"/>
        <rFont val="Consolas"/>
        <charset val="134"/>
      </rPr>
      <t>(</t>
    </r>
    <r>
      <rPr>
        <sz val="10"/>
        <color theme="1"/>
        <rFont val="宋体"/>
        <charset val="134"/>
      </rPr>
      <t>滤波后</t>
    </r>
    <r>
      <rPr>
        <sz val="10"/>
        <color theme="1"/>
        <rFont val="Consolas"/>
        <charset val="134"/>
      </rPr>
      <t>)</t>
    </r>
  </si>
  <si>
    <t>eStopMode</t>
  </si>
  <si>
    <r>
      <rPr>
        <sz val="10"/>
        <color theme="1"/>
        <rFont val="宋体"/>
        <charset val="134"/>
      </rPr>
      <t>用户层</t>
    </r>
    <r>
      <rPr>
        <sz val="10"/>
        <color theme="1"/>
        <rFont val="Consolas"/>
        <charset val="134"/>
      </rPr>
      <t>.</t>
    </r>
    <r>
      <rPr>
        <sz val="10"/>
        <color theme="1"/>
        <rFont val="宋体"/>
        <charset val="134"/>
      </rPr>
      <t>停机模式</t>
    </r>
  </si>
  <si>
    <t>eStopPlanMode</t>
  </si>
  <si>
    <r>
      <rPr>
        <sz val="10"/>
        <color theme="1"/>
        <rFont val="宋体"/>
        <charset val="134"/>
      </rPr>
      <t>用户层</t>
    </r>
    <r>
      <rPr>
        <sz val="10"/>
        <color theme="1"/>
        <rFont val="Consolas"/>
        <charset val="134"/>
      </rPr>
      <t>.</t>
    </r>
    <r>
      <rPr>
        <sz val="10"/>
        <color theme="1"/>
        <rFont val="宋体"/>
        <charset val="134"/>
      </rPr>
      <t>停机规划模式</t>
    </r>
  </si>
  <si>
    <t>s32StopPosRef</t>
  </si>
  <si>
    <t>PosCtrl</t>
  </si>
  <si>
    <r>
      <rPr>
        <sz val="10"/>
        <color theme="1"/>
        <rFont val="宋体"/>
        <charset val="134"/>
      </rPr>
      <t>位置控制</t>
    </r>
  </si>
  <si>
    <t>ePosRefSrc</t>
  </si>
  <si>
    <r>
      <rPr>
        <sz val="10"/>
        <color theme="1"/>
        <rFont val="宋体"/>
        <charset val="134"/>
      </rPr>
      <t>用户层</t>
    </r>
    <r>
      <rPr>
        <sz val="10"/>
        <color theme="1"/>
        <rFont val="Consolas"/>
        <charset val="134"/>
      </rPr>
      <t>.</t>
    </r>
    <r>
      <rPr>
        <sz val="10"/>
        <color theme="1"/>
        <rFont val="宋体"/>
        <charset val="134"/>
      </rPr>
      <t>位置指令来源</t>
    </r>
  </si>
  <si>
    <r>
      <rPr>
        <sz val="10"/>
        <color theme="1"/>
        <rFont val="Consolas"/>
        <charset val="134"/>
      </rPr>
      <t>0-</t>
    </r>
    <r>
      <rPr>
        <sz val="10"/>
        <color theme="1"/>
        <rFont val="宋体"/>
        <charset val="134"/>
      </rPr>
      <t>数字位置指令</t>
    </r>
    <r>
      <rPr>
        <sz val="10"/>
        <color theme="1"/>
        <rFont val="Consolas"/>
        <charset val="134"/>
      </rPr>
      <t xml:space="preserve">
1-</t>
    </r>
    <r>
      <rPr>
        <sz val="10"/>
        <color theme="1"/>
        <rFont val="宋体"/>
        <charset val="134"/>
      </rPr>
      <t>多段数字位置指令</t>
    </r>
    <r>
      <rPr>
        <sz val="10"/>
        <color theme="1"/>
        <rFont val="Consolas"/>
        <charset val="134"/>
      </rPr>
      <t xml:space="preserve">
2-</t>
    </r>
    <r>
      <rPr>
        <sz val="10"/>
        <color theme="1"/>
        <rFont val="宋体"/>
        <charset val="134"/>
      </rPr>
      <t>外部脉冲</t>
    </r>
  </si>
  <si>
    <t>s64PosDigRef</t>
  </si>
  <si>
    <r>
      <rPr>
        <sz val="10"/>
        <color theme="1"/>
        <rFont val="宋体"/>
        <charset val="134"/>
      </rPr>
      <t>用户层</t>
    </r>
    <r>
      <rPr>
        <sz val="10"/>
        <color theme="1"/>
        <rFont val="Consolas"/>
        <charset val="134"/>
      </rPr>
      <t>.</t>
    </r>
    <r>
      <rPr>
        <sz val="10"/>
        <color theme="1"/>
        <rFont val="宋体"/>
        <charset val="134"/>
      </rPr>
      <t>数字位置指令</t>
    </r>
  </si>
  <si>
    <t>u16PosPlanSpdMax</t>
  </si>
  <si>
    <r>
      <rPr>
        <sz val="10"/>
        <color theme="1"/>
        <rFont val="宋体"/>
        <charset val="134"/>
      </rPr>
      <t>用户层</t>
    </r>
    <r>
      <rPr>
        <sz val="10"/>
        <color theme="1"/>
        <rFont val="Consolas"/>
        <charset val="134"/>
      </rPr>
      <t>.</t>
    </r>
    <r>
      <rPr>
        <sz val="10"/>
        <color theme="1"/>
        <rFont val="宋体"/>
        <charset val="134"/>
      </rPr>
      <t>位置规划速度上限</t>
    </r>
  </si>
  <si>
    <t>ePosDigRefType</t>
  </si>
  <si>
    <t>ePosRefSet</t>
  </si>
  <si>
    <t>u16PosMulRefSel</t>
  </si>
  <si>
    <t>15</t>
  </si>
  <si>
    <t>ePosPlanMode</t>
  </si>
  <si>
    <r>
      <rPr>
        <sz val="10"/>
        <color theme="1"/>
        <rFont val="宋体"/>
        <charset val="134"/>
      </rPr>
      <t>用户层</t>
    </r>
    <r>
      <rPr>
        <sz val="10"/>
        <color theme="1"/>
        <rFont val="Consolas"/>
        <charset val="134"/>
      </rPr>
      <t>.</t>
    </r>
    <r>
      <rPr>
        <sz val="10"/>
        <color theme="1"/>
        <rFont val="宋体"/>
        <charset val="134"/>
      </rPr>
      <t>位置规划模式</t>
    </r>
  </si>
  <si>
    <t>ePosLimSrc</t>
  </si>
  <si>
    <r>
      <rPr>
        <sz val="10"/>
        <color theme="1"/>
        <rFont val="Consolas"/>
        <charset val="134"/>
      </rPr>
      <t>0-</t>
    </r>
    <r>
      <rPr>
        <sz val="10"/>
        <color theme="1"/>
        <rFont val="宋体"/>
        <charset val="134"/>
      </rPr>
      <t>无限位；</t>
    </r>
    <r>
      <rPr>
        <sz val="10"/>
        <color theme="1"/>
        <rFont val="Consolas"/>
        <charset val="134"/>
      </rPr>
      <t xml:space="preserve">
1-</t>
    </r>
    <r>
      <rPr>
        <sz val="10"/>
        <color theme="1"/>
        <rFont val="宋体"/>
        <charset val="134"/>
      </rPr>
      <t>数字正向和反向位置限制；</t>
    </r>
    <r>
      <rPr>
        <sz val="10"/>
        <color theme="1"/>
        <rFont val="Consolas"/>
        <charset val="134"/>
      </rPr>
      <t xml:space="preserve">
2-DI</t>
    </r>
    <r>
      <rPr>
        <sz val="10"/>
        <color theme="1"/>
        <rFont val="宋体"/>
        <charset val="134"/>
      </rPr>
      <t>或通信位置限制信号；</t>
    </r>
  </si>
  <si>
    <t>s64PosLimFwd</t>
  </si>
  <si>
    <t>s64PosLimRev</t>
  </si>
  <si>
    <t>ePosLimSts</t>
  </si>
  <si>
    <r>
      <rPr>
        <sz val="10"/>
        <color theme="1"/>
        <rFont val="宋体"/>
        <charset val="134"/>
      </rPr>
      <t>位置限制状态</t>
    </r>
  </si>
  <si>
    <t>u32ElecGearNum</t>
  </si>
  <si>
    <r>
      <rPr>
        <sz val="10"/>
        <color theme="1"/>
        <rFont val="宋体"/>
        <charset val="134"/>
      </rPr>
      <t>用户层</t>
    </r>
    <r>
      <rPr>
        <sz val="10"/>
        <color theme="1"/>
        <rFont val="Consolas"/>
        <charset val="134"/>
      </rPr>
      <t>.</t>
    </r>
    <r>
      <rPr>
        <sz val="10"/>
        <color theme="1"/>
        <rFont val="宋体"/>
        <charset val="134"/>
      </rPr>
      <t>电子齿轮比分子</t>
    </r>
  </si>
  <si>
    <t>u32ElecGearDeno</t>
  </si>
  <si>
    <r>
      <rPr>
        <sz val="10"/>
        <color theme="1"/>
        <rFont val="宋体"/>
        <charset val="134"/>
      </rPr>
      <t>用户层</t>
    </r>
    <r>
      <rPr>
        <sz val="10"/>
        <color theme="1"/>
        <rFont val="Consolas"/>
        <charset val="134"/>
      </rPr>
      <t>.</t>
    </r>
    <r>
      <rPr>
        <sz val="10"/>
        <color theme="1"/>
        <rFont val="宋体"/>
        <charset val="134"/>
      </rPr>
      <t>电子齿轮比分母</t>
    </r>
  </si>
  <si>
    <t>u16EncFreqDivDir</t>
  </si>
  <si>
    <r>
      <rPr>
        <sz val="10"/>
        <color theme="1"/>
        <rFont val="宋体"/>
        <charset val="134"/>
      </rPr>
      <t>用户层</t>
    </r>
    <r>
      <rPr>
        <sz val="10"/>
        <color theme="1"/>
        <rFont val="Consolas"/>
        <charset val="134"/>
      </rPr>
      <t>.</t>
    </r>
    <r>
      <rPr>
        <sz val="10"/>
        <color theme="1"/>
        <rFont val="宋体"/>
        <charset val="134"/>
      </rPr>
      <t>编码器分频输出脉冲方向</t>
    </r>
  </si>
  <si>
    <t>u16EncFreqDivNum</t>
  </si>
  <si>
    <r>
      <rPr>
        <sz val="10"/>
        <color theme="1"/>
        <rFont val="宋体"/>
        <charset val="134"/>
      </rPr>
      <t>用户层</t>
    </r>
    <r>
      <rPr>
        <sz val="10"/>
        <color theme="1"/>
        <rFont val="Consolas"/>
        <charset val="134"/>
      </rPr>
      <t>.</t>
    </r>
    <r>
      <rPr>
        <sz val="10"/>
        <color theme="1"/>
        <rFont val="宋体"/>
        <charset val="134"/>
      </rPr>
      <t>编码器分频输出分子</t>
    </r>
  </si>
  <si>
    <t>u16EncFreqDivDeno</t>
  </si>
  <si>
    <r>
      <rPr>
        <sz val="10"/>
        <color theme="1"/>
        <rFont val="宋体"/>
        <charset val="134"/>
      </rPr>
      <t>用户层</t>
    </r>
    <r>
      <rPr>
        <sz val="10"/>
        <color theme="1"/>
        <rFont val="Consolas"/>
        <charset val="134"/>
      </rPr>
      <t>.</t>
    </r>
    <r>
      <rPr>
        <sz val="10"/>
        <color theme="1"/>
        <rFont val="宋体"/>
        <charset val="134"/>
      </rPr>
      <t>编码器分频输出分母</t>
    </r>
  </si>
  <si>
    <t>s64PosDigRef01</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</si>
  <si>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01</t>
    </r>
  </si>
  <si>
    <t>s64PosDigRef02</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</si>
  <si>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02</t>
    </r>
  </si>
  <si>
    <t>s64PosDigRef03</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</si>
  <si>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03</t>
    </r>
  </si>
  <si>
    <t>s64PosDigRef04</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</si>
  <si>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04</t>
    </r>
  </si>
  <si>
    <t>s64PosDigRef05</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</si>
  <si>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05</t>
    </r>
  </si>
  <si>
    <t>s64PosDigRef06</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</si>
  <si>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06</t>
    </r>
  </si>
  <si>
    <t>s64PosDigRef07</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</si>
  <si>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07</t>
    </r>
  </si>
  <si>
    <t>s64PosDigRef08</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</si>
  <si>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08</t>
    </r>
  </si>
  <si>
    <t>s64PosDigRef09</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</si>
  <si>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09</t>
    </r>
  </si>
  <si>
    <t>s64PosDigRef10</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</si>
  <si>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10</t>
    </r>
  </si>
  <si>
    <t>s64PosDigRef11</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</si>
  <si>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11</t>
    </r>
  </si>
  <si>
    <t>s64PosDigRef12</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</si>
  <si>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12</t>
    </r>
  </si>
  <si>
    <t>s64PosDigRef13</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</si>
  <si>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13</t>
    </r>
  </si>
  <si>
    <t>s64PosDigRef14</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</si>
  <si>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14</t>
    </r>
  </si>
  <si>
    <t>s64PosDigRef15</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</si>
  <si>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15</t>
    </r>
  </si>
  <si>
    <t>s64PosDigRef16</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</si>
  <si>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16</t>
    </r>
  </si>
  <si>
    <t>SpdCtrl</t>
  </si>
  <si>
    <r>
      <rPr>
        <sz val="10"/>
        <color theme="1"/>
        <rFont val="宋体"/>
        <charset val="134"/>
      </rPr>
      <t>速度控制</t>
    </r>
  </si>
  <si>
    <t>eSpdRefSrc</t>
  </si>
  <si>
    <r>
      <rPr>
        <sz val="10"/>
        <color theme="1"/>
        <rFont val="宋体"/>
        <charset val="134"/>
      </rPr>
      <t>用户层</t>
    </r>
    <r>
      <rPr>
        <sz val="10"/>
        <color theme="1"/>
        <rFont val="Consolas"/>
        <charset val="134"/>
      </rPr>
      <t>.</t>
    </r>
    <r>
      <rPr>
        <sz val="10"/>
        <color theme="1"/>
        <rFont val="宋体"/>
        <charset val="134"/>
      </rPr>
      <t>速度指令来源</t>
    </r>
  </si>
  <si>
    <t>s16SpdDigRef</t>
  </si>
  <si>
    <t>-6000</t>
  </si>
  <si>
    <t>6000</t>
  </si>
  <si>
    <r>
      <rPr>
        <sz val="10"/>
        <color theme="1"/>
        <rFont val="宋体"/>
        <charset val="134"/>
      </rPr>
      <t>用户层</t>
    </r>
    <r>
      <rPr>
        <sz val="10"/>
        <color theme="1"/>
        <rFont val="Consolas"/>
        <charset val="134"/>
      </rPr>
      <t>.</t>
    </r>
    <r>
      <rPr>
        <sz val="10"/>
        <color theme="1"/>
        <rFont val="宋体"/>
        <charset val="134"/>
      </rPr>
      <t>数字速度指令</t>
    </r>
  </si>
  <si>
    <t>eSpdPlanMode</t>
  </si>
  <si>
    <r>
      <rPr>
        <sz val="10"/>
        <color theme="1"/>
        <rFont val="宋体"/>
        <charset val="134"/>
      </rPr>
      <t>用户层</t>
    </r>
    <r>
      <rPr>
        <sz val="10"/>
        <color theme="1"/>
        <rFont val="Consolas"/>
        <charset val="134"/>
      </rPr>
      <t>.</t>
    </r>
    <r>
      <rPr>
        <sz val="10"/>
        <color theme="1"/>
        <rFont val="宋体"/>
        <charset val="134"/>
      </rPr>
      <t>速度规划模式</t>
    </r>
  </si>
  <si>
    <t>u16JogSpdDigRef</t>
  </si>
  <si>
    <r>
      <rPr>
        <sz val="10"/>
        <color theme="1"/>
        <rFont val="宋体"/>
        <charset val="134"/>
      </rPr>
      <t>用户层</t>
    </r>
    <r>
      <rPr>
        <sz val="10"/>
        <color theme="1"/>
        <rFont val="Consolas"/>
        <charset val="134"/>
      </rPr>
      <t>.</t>
    </r>
    <r>
      <rPr>
        <sz val="10"/>
        <color theme="1"/>
        <rFont val="宋体"/>
        <charset val="134"/>
      </rPr>
      <t>点动速度指令</t>
    </r>
  </si>
  <si>
    <t>u16JogAccDecTime</t>
  </si>
  <si>
    <r>
      <rPr>
        <sz val="10"/>
        <color theme="1"/>
        <rFont val="宋体"/>
        <charset val="134"/>
      </rPr>
      <t>用户层</t>
    </r>
    <r>
      <rPr>
        <sz val="10"/>
        <color theme="1"/>
        <rFont val="Consolas"/>
        <charset val="134"/>
      </rPr>
      <t>.</t>
    </r>
    <r>
      <rPr>
        <sz val="10"/>
        <color theme="1"/>
        <rFont val="宋体"/>
        <charset val="134"/>
      </rPr>
      <t>点动加减速时间</t>
    </r>
  </si>
  <si>
    <t>eSpdLimSrc</t>
  </si>
  <si>
    <r>
      <rPr>
        <sz val="10"/>
        <color theme="1"/>
        <rFont val="宋体"/>
        <charset val="134"/>
      </rPr>
      <t>用户层</t>
    </r>
    <r>
      <rPr>
        <sz val="10"/>
        <color theme="1"/>
        <rFont val="Consolas"/>
        <charset val="134"/>
      </rPr>
      <t>.</t>
    </r>
    <r>
      <rPr>
        <sz val="10"/>
        <color theme="1"/>
        <rFont val="宋体"/>
        <charset val="134"/>
      </rPr>
      <t>速度限制来源</t>
    </r>
  </si>
  <si>
    <r>
      <rPr>
        <sz val="10"/>
        <color theme="1"/>
        <rFont val="Consolas"/>
        <charset val="134"/>
      </rPr>
      <t>0-</t>
    </r>
    <r>
      <rPr>
        <sz val="10"/>
        <color theme="1"/>
        <rFont val="宋体"/>
        <charset val="134"/>
      </rPr>
      <t>正反方向均为速度限制</t>
    </r>
    <r>
      <rPr>
        <sz val="10"/>
        <color theme="1"/>
        <rFont val="Consolas"/>
        <charset val="134"/>
      </rPr>
      <t>0</t>
    </r>
    <r>
      <rPr>
        <sz val="10"/>
        <color theme="1"/>
        <rFont val="宋体"/>
        <charset val="134"/>
      </rPr>
      <t>；</t>
    </r>
    <r>
      <rPr>
        <sz val="10"/>
        <color theme="1"/>
        <rFont val="Consolas"/>
        <charset val="134"/>
      </rPr>
      <t xml:space="preserve">
1-</t>
    </r>
    <r>
      <rPr>
        <sz val="10"/>
        <color theme="1"/>
        <rFont val="宋体"/>
        <charset val="134"/>
      </rPr>
      <t>正向为速度限制</t>
    </r>
    <r>
      <rPr>
        <sz val="10"/>
        <color theme="1"/>
        <rFont val="Consolas"/>
        <charset val="134"/>
      </rPr>
      <t>0</t>
    </r>
    <r>
      <rPr>
        <sz val="10"/>
        <color theme="1"/>
        <rFont val="宋体"/>
        <charset val="134"/>
      </rPr>
      <t>，反向为速度限制</t>
    </r>
    <r>
      <rPr>
        <sz val="10"/>
        <color theme="1"/>
        <rFont val="Consolas"/>
        <charset val="134"/>
      </rPr>
      <t>1</t>
    </r>
    <r>
      <rPr>
        <sz val="10"/>
        <color theme="1"/>
        <rFont val="宋体"/>
        <charset val="134"/>
      </rPr>
      <t>；</t>
    </r>
    <r>
      <rPr>
        <sz val="10"/>
        <color theme="1"/>
        <rFont val="Consolas"/>
        <charset val="134"/>
      </rPr>
      <t xml:space="preserve">
2-</t>
    </r>
    <r>
      <rPr>
        <sz val="10"/>
        <color theme="1"/>
        <rFont val="宋体"/>
        <charset val="134"/>
      </rPr>
      <t>模拟量</t>
    </r>
    <r>
      <rPr>
        <sz val="10"/>
        <color theme="1"/>
        <rFont val="Consolas"/>
        <charset val="134"/>
      </rPr>
      <t>AI0</t>
    </r>
    <r>
      <rPr>
        <sz val="10"/>
        <color theme="1"/>
        <rFont val="宋体"/>
        <charset val="134"/>
      </rPr>
      <t>绝对值作为正反方向速度限制；</t>
    </r>
  </si>
  <si>
    <t>u16SpdLimFwd</t>
  </si>
  <si>
    <r>
      <rPr>
        <sz val="10"/>
        <color theme="1"/>
        <rFont val="宋体"/>
        <charset val="134"/>
      </rPr>
      <t>用户层</t>
    </r>
    <r>
      <rPr>
        <sz val="10"/>
        <color theme="1"/>
        <rFont val="Consolas"/>
        <charset val="134"/>
      </rPr>
      <t>.</t>
    </r>
    <r>
      <rPr>
        <sz val="10"/>
        <color theme="1"/>
        <rFont val="宋体"/>
        <charset val="134"/>
      </rPr>
      <t>速度限制</t>
    </r>
    <r>
      <rPr>
        <sz val="10"/>
        <color theme="1"/>
        <rFont val="Consolas"/>
        <charset val="134"/>
      </rPr>
      <t>0</t>
    </r>
  </si>
  <si>
    <t>u16SpdLimRev</t>
  </si>
  <si>
    <r>
      <rPr>
        <sz val="10"/>
        <color theme="1"/>
        <rFont val="宋体"/>
        <charset val="134"/>
      </rPr>
      <t>用户层</t>
    </r>
    <r>
      <rPr>
        <sz val="10"/>
        <color theme="1"/>
        <rFont val="Consolas"/>
        <charset val="134"/>
      </rPr>
      <t>.</t>
    </r>
    <r>
      <rPr>
        <sz val="10"/>
        <color theme="1"/>
        <rFont val="宋体"/>
        <charset val="134"/>
      </rPr>
      <t>速度限制</t>
    </r>
    <r>
      <rPr>
        <sz val="10"/>
        <color theme="1"/>
        <rFont val="Consolas"/>
        <charset val="134"/>
      </rPr>
      <t>1</t>
    </r>
  </si>
  <si>
    <t>eSpdLimSts</t>
  </si>
  <si>
    <r>
      <rPr>
        <sz val="10"/>
        <color theme="1"/>
        <rFont val="宋体"/>
        <charset val="134"/>
      </rPr>
      <t>速度限制状态</t>
    </r>
  </si>
  <si>
    <r>
      <rPr>
        <sz val="10"/>
        <color theme="1"/>
        <rFont val="Consolas"/>
        <charset val="134"/>
      </rPr>
      <t>0-</t>
    </r>
    <r>
      <rPr>
        <sz val="10"/>
        <color theme="1"/>
        <rFont val="宋体"/>
        <charset val="134"/>
      </rPr>
      <t>未触发速度限制；</t>
    </r>
    <r>
      <rPr>
        <sz val="10"/>
        <color theme="1"/>
        <rFont val="Consolas"/>
        <charset val="134"/>
      </rPr>
      <t xml:space="preserve">
1-</t>
    </r>
    <r>
      <rPr>
        <sz val="10"/>
        <color theme="1"/>
        <rFont val="宋体"/>
        <charset val="134"/>
      </rPr>
      <t>触发正向速度限制；</t>
    </r>
    <r>
      <rPr>
        <sz val="10"/>
        <color theme="1"/>
        <rFont val="Consolas"/>
        <charset val="134"/>
      </rPr>
      <t xml:space="preserve">
2-</t>
    </r>
    <r>
      <rPr>
        <sz val="10"/>
        <color theme="1"/>
        <rFont val="宋体"/>
        <charset val="134"/>
      </rPr>
      <t>触发反向速度限制；</t>
    </r>
  </si>
  <si>
    <t>u16AiSpdCoeff0</t>
  </si>
  <si>
    <t>u16AiSpdCoeff1</t>
  </si>
  <si>
    <t>u16AiSpdCoeff2</t>
  </si>
  <si>
    <t>u16AccTime0</t>
  </si>
  <si>
    <r>
      <rPr>
        <sz val="10"/>
        <color theme="1"/>
        <rFont val="宋体"/>
        <charset val="134"/>
      </rPr>
      <t>用户层</t>
    </r>
    <r>
      <rPr>
        <sz val="10"/>
        <color theme="1"/>
        <rFont val="Consolas"/>
        <charset val="134"/>
      </rPr>
      <t>.</t>
    </r>
    <r>
      <rPr>
        <sz val="10"/>
        <color theme="1"/>
        <rFont val="宋体"/>
        <charset val="134"/>
      </rPr>
      <t>加速时间</t>
    </r>
    <r>
      <rPr>
        <sz val="10"/>
        <color theme="1"/>
        <rFont val="Consolas"/>
        <charset val="134"/>
      </rPr>
      <t>0</t>
    </r>
  </si>
  <si>
    <r>
      <rPr>
        <sz val="10"/>
        <color theme="1"/>
        <rFont val="宋体"/>
        <charset val="134"/>
      </rPr>
      <t>加速至</t>
    </r>
    <r>
      <rPr>
        <sz val="10"/>
        <color theme="1"/>
        <rFont val="Consolas"/>
        <charset val="134"/>
      </rPr>
      <t>1000rpm</t>
    </r>
    <r>
      <rPr>
        <sz val="10"/>
        <color theme="1"/>
        <rFont val="宋体"/>
        <charset val="134"/>
      </rPr>
      <t>所需时间</t>
    </r>
  </si>
  <si>
    <t>u16DecTime0</t>
  </si>
  <si>
    <r>
      <rPr>
        <sz val="10"/>
        <color theme="1"/>
        <rFont val="宋体"/>
        <charset val="134"/>
      </rPr>
      <t>用户层</t>
    </r>
    <r>
      <rPr>
        <sz val="10"/>
        <color theme="1"/>
        <rFont val="Consolas"/>
        <charset val="134"/>
      </rPr>
      <t>.</t>
    </r>
    <r>
      <rPr>
        <sz val="10"/>
        <color theme="1"/>
        <rFont val="宋体"/>
        <charset val="134"/>
      </rPr>
      <t>减速时间</t>
    </r>
    <r>
      <rPr>
        <sz val="10"/>
        <color theme="1"/>
        <rFont val="Consolas"/>
        <charset val="134"/>
      </rPr>
      <t>0</t>
    </r>
  </si>
  <si>
    <r>
      <rPr>
        <sz val="10"/>
        <color theme="1"/>
        <rFont val="宋体"/>
        <charset val="134"/>
      </rPr>
      <t>减速至</t>
    </r>
    <r>
      <rPr>
        <sz val="10"/>
        <color theme="1"/>
        <rFont val="Consolas"/>
        <charset val="134"/>
      </rPr>
      <t>1000rpm</t>
    </r>
    <r>
      <rPr>
        <sz val="10"/>
        <color theme="1"/>
        <rFont val="宋体"/>
        <charset val="134"/>
      </rPr>
      <t>所需时间</t>
    </r>
  </si>
  <si>
    <t>u16AccTime1</t>
  </si>
  <si>
    <r>
      <rPr>
        <sz val="10"/>
        <color theme="1"/>
        <rFont val="宋体"/>
        <charset val="134"/>
      </rPr>
      <t>用户层</t>
    </r>
    <r>
      <rPr>
        <sz val="10"/>
        <color theme="1"/>
        <rFont val="Consolas"/>
        <charset val="134"/>
      </rPr>
      <t>.</t>
    </r>
    <r>
      <rPr>
        <sz val="10"/>
        <color theme="1"/>
        <rFont val="宋体"/>
        <charset val="134"/>
      </rPr>
      <t>加速时间</t>
    </r>
    <r>
      <rPr>
        <sz val="10"/>
        <color theme="1"/>
        <rFont val="Consolas"/>
        <charset val="134"/>
      </rPr>
      <t>1</t>
    </r>
  </si>
  <si>
    <t>u16DecTime1</t>
  </si>
  <si>
    <r>
      <rPr>
        <sz val="10"/>
        <color theme="1"/>
        <rFont val="宋体"/>
        <charset val="134"/>
      </rPr>
      <t>用户层</t>
    </r>
    <r>
      <rPr>
        <sz val="10"/>
        <color theme="1"/>
        <rFont val="Consolas"/>
        <charset val="134"/>
      </rPr>
      <t>.</t>
    </r>
    <r>
      <rPr>
        <sz val="10"/>
        <color theme="1"/>
        <rFont val="宋体"/>
        <charset val="134"/>
      </rPr>
      <t>减速时间</t>
    </r>
    <r>
      <rPr>
        <sz val="10"/>
        <color theme="1"/>
        <rFont val="Consolas"/>
        <charset val="134"/>
      </rPr>
      <t>1</t>
    </r>
  </si>
  <si>
    <t>u16SpdMulRefSel</t>
  </si>
  <si>
    <r>
      <rPr>
        <sz val="10"/>
        <color theme="1"/>
        <rFont val="宋体"/>
        <charset val="134"/>
      </rPr>
      <t>用户层</t>
    </r>
    <r>
      <rPr>
        <sz val="10"/>
        <color theme="1"/>
        <rFont val="Consolas"/>
        <charset val="134"/>
      </rPr>
      <t>.</t>
    </r>
    <r>
      <rPr>
        <sz val="10"/>
        <color theme="1"/>
        <rFont val="宋体"/>
        <charset val="134"/>
      </rPr>
      <t>多段速度选择</t>
    </r>
  </si>
  <si>
    <t>s16SpdDigRef01</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</si>
  <si>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01</t>
    </r>
  </si>
  <si>
    <t>s16SpdDigRef02</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</si>
  <si>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02</t>
    </r>
  </si>
  <si>
    <t>s16SpdDigRef03</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</si>
  <si>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03</t>
    </r>
  </si>
  <si>
    <t>s16SpdDigRef04</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</si>
  <si>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04</t>
    </r>
  </si>
  <si>
    <t>s16SpdDigRef05</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</si>
  <si>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05</t>
    </r>
  </si>
  <si>
    <t>s16SpdDigRef06</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</si>
  <si>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06</t>
    </r>
  </si>
  <si>
    <t>s16SpdDigRef07</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</si>
  <si>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07</t>
    </r>
  </si>
  <si>
    <t>s16SpdDigRef08</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</si>
  <si>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08</t>
    </r>
  </si>
  <si>
    <t>s16SpdDigRef09</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</si>
  <si>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09</t>
    </r>
  </si>
  <si>
    <t>s16SpdDigRef10</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</si>
  <si>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10</t>
    </r>
  </si>
  <si>
    <t>s16SpdDigRef11</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</si>
  <si>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11</t>
    </r>
  </si>
  <si>
    <t>s16SpdDigRef12</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</si>
  <si>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12</t>
    </r>
  </si>
  <si>
    <t>s16SpdDigRef13</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</si>
  <si>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13</t>
    </r>
  </si>
  <si>
    <t>s16SpdDigRef14</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</si>
  <si>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14</t>
    </r>
  </si>
  <si>
    <t>s16SpdDigRef15</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</si>
  <si>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15</t>
    </r>
  </si>
  <si>
    <t>s16SpdDigRef16</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</si>
  <si>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16</t>
    </r>
  </si>
  <si>
    <t>u16HomingSpd</t>
  </si>
  <si>
    <r>
      <rPr>
        <sz val="10"/>
        <color theme="1"/>
        <rFont val="宋体"/>
        <charset val="134"/>
      </rPr>
      <t>用户层</t>
    </r>
    <r>
      <rPr>
        <sz val="10"/>
        <color theme="1"/>
        <rFont val="Consolas"/>
        <charset val="134"/>
      </rPr>
      <t>.</t>
    </r>
    <r>
      <rPr>
        <sz val="10"/>
        <color theme="1"/>
        <rFont val="宋体"/>
        <charset val="134"/>
      </rPr>
      <t>回原速度</t>
    </r>
  </si>
  <si>
    <t>TrqCtrl</t>
  </si>
  <si>
    <r>
      <rPr>
        <sz val="10"/>
        <color theme="1"/>
        <rFont val="宋体"/>
        <charset val="134"/>
      </rPr>
      <t>转矩控制</t>
    </r>
  </si>
  <si>
    <t>eTrqRefSrc</t>
  </si>
  <si>
    <r>
      <rPr>
        <sz val="10"/>
        <color theme="1"/>
        <rFont val="宋体"/>
        <charset val="134"/>
      </rPr>
      <t>用户层</t>
    </r>
    <r>
      <rPr>
        <sz val="10"/>
        <color theme="1"/>
        <rFont val="Consolas"/>
        <charset val="134"/>
      </rPr>
      <t>.</t>
    </r>
    <r>
      <rPr>
        <sz val="10"/>
        <color theme="1"/>
        <rFont val="宋体"/>
        <charset val="134"/>
      </rPr>
      <t>转矩指令来源</t>
    </r>
  </si>
  <si>
    <r>
      <rPr>
        <sz val="10"/>
        <color theme="1"/>
        <rFont val="Consolas"/>
        <charset val="134"/>
      </rPr>
      <t>0-</t>
    </r>
    <r>
      <rPr>
        <sz val="10"/>
        <color theme="1"/>
        <rFont val="宋体"/>
        <charset val="134"/>
      </rPr>
      <t>数字指令</t>
    </r>
    <r>
      <rPr>
        <sz val="10"/>
        <color theme="1"/>
        <rFont val="Consolas"/>
        <charset val="134"/>
      </rPr>
      <t xml:space="preserve">
1-</t>
    </r>
    <r>
      <rPr>
        <sz val="10"/>
        <color theme="1"/>
        <rFont val="宋体"/>
        <charset val="134"/>
      </rPr>
      <t>多段数字指令</t>
    </r>
    <r>
      <rPr>
        <sz val="10"/>
        <color theme="1"/>
        <rFont val="Consolas"/>
        <charset val="134"/>
      </rPr>
      <t xml:space="preserve">
2-</t>
    </r>
    <r>
      <rPr>
        <sz val="10"/>
        <color theme="1"/>
        <rFont val="宋体"/>
        <charset val="134"/>
      </rPr>
      <t>模拟量输入</t>
    </r>
    <r>
      <rPr>
        <sz val="10"/>
        <color theme="1"/>
        <rFont val="Consolas"/>
        <charset val="134"/>
      </rPr>
      <t>AI0
3-</t>
    </r>
    <r>
      <rPr>
        <sz val="10"/>
        <color theme="1"/>
        <rFont val="宋体"/>
        <charset val="134"/>
      </rPr>
      <t>模拟量输入</t>
    </r>
    <r>
      <rPr>
        <sz val="10"/>
        <color theme="1"/>
        <rFont val="Consolas"/>
        <charset val="134"/>
      </rPr>
      <t>AI1</t>
    </r>
  </si>
  <si>
    <t>s16TrqDigRef</t>
  </si>
  <si>
    <r>
      <rPr>
        <sz val="10"/>
        <color theme="1"/>
        <rFont val="宋体"/>
        <charset val="134"/>
      </rPr>
      <t>用户层</t>
    </r>
    <r>
      <rPr>
        <sz val="10"/>
        <color theme="1"/>
        <rFont val="Consolas"/>
        <charset val="134"/>
      </rPr>
      <t>.</t>
    </r>
    <r>
      <rPr>
        <sz val="10"/>
        <color theme="1"/>
        <rFont val="宋体"/>
        <charset val="134"/>
      </rPr>
      <t>数字转矩指令千分比</t>
    </r>
  </si>
  <si>
    <t>s16FluxDigRef</t>
  </si>
  <si>
    <r>
      <rPr>
        <sz val="10"/>
        <color theme="1"/>
        <rFont val="宋体"/>
        <charset val="134"/>
      </rPr>
      <t>用户层</t>
    </r>
    <r>
      <rPr>
        <sz val="10"/>
        <color theme="1"/>
        <rFont val="Consolas"/>
        <charset val="134"/>
      </rPr>
      <t>.</t>
    </r>
    <r>
      <rPr>
        <sz val="10"/>
        <color theme="1"/>
        <rFont val="宋体"/>
        <charset val="134"/>
      </rPr>
      <t>数字磁链指令千分比</t>
    </r>
  </si>
  <si>
    <t>u16EmStopTrqDigRef</t>
  </si>
  <si>
    <r>
      <rPr>
        <sz val="10"/>
        <color theme="1"/>
        <rFont val="宋体"/>
        <charset val="134"/>
      </rPr>
      <t>用户层</t>
    </r>
    <r>
      <rPr>
        <sz val="10"/>
        <color theme="1"/>
        <rFont val="Consolas"/>
        <charset val="134"/>
      </rPr>
      <t>.</t>
    </r>
    <r>
      <rPr>
        <sz val="10"/>
        <color theme="1"/>
        <rFont val="宋体"/>
        <charset val="134"/>
      </rPr>
      <t>紧急停机转矩</t>
    </r>
  </si>
  <si>
    <t>u16TrqSlopeLim</t>
  </si>
  <si>
    <r>
      <rPr>
        <sz val="10"/>
        <color theme="1"/>
        <rFont val="宋体"/>
        <charset val="134"/>
      </rPr>
      <t>用户层</t>
    </r>
    <r>
      <rPr>
        <sz val="10"/>
        <color theme="1"/>
        <rFont val="Consolas"/>
        <charset val="134"/>
      </rPr>
      <t>.</t>
    </r>
    <r>
      <rPr>
        <sz val="10"/>
        <color theme="1"/>
        <rFont val="宋体"/>
        <charset val="134"/>
      </rPr>
      <t>转矩斜率限制</t>
    </r>
  </si>
  <si>
    <t>eTrqLimSrc</t>
  </si>
  <si>
    <r>
      <rPr>
        <sz val="10"/>
        <color theme="1"/>
        <rFont val="宋体"/>
        <charset val="134"/>
      </rPr>
      <t>用户层</t>
    </r>
    <r>
      <rPr>
        <sz val="10"/>
        <color theme="1"/>
        <rFont val="Consolas"/>
        <charset val="134"/>
      </rPr>
      <t>.</t>
    </r>
    <r>
      <rPr>
        <sz val="10"/>
        <color theme="1"/>
        <rFont val="宋体"/>
        <charset val="134"/>
      </rPr>
      <t>转矩限制来源</t>
    </r>
  </si>
  <si>
    <r>
      <rPr>
        <sz val="10"/>
        <color theme="1"/>
        <rFont val="Consolas"/>
        <charset val="134"/>
      </rPr>
      <t>0-</t>
    </r>
    <r>
      <rPr>
        <sz val="10"/>
        <color theme="1"/>
        <rFont val="宋体"/>
        <charset val="134"/>
      </rPr>
      <t>正反方向均为转矩限制</t>
    </r>
    <r>
      <rPr>
        <sz val="10"/>
        <color theme="1"/>
        <rFont val="Consolas"/>
        <charset val="134"/>
      </rPr>
      <t>0</t>
    </r>
    <r>
      <rPr>
        <sz val="10"/>
        <color theme="1"/>
        <rFont val="宋体"/>
        <charset val="134"/>
      </rPr>
      <t>；</t>
    </r>
    <r>
      <rPr>
        <sz val="10"/>
        <color theme="1"/>
        <rFont val="Consolas"/>
        <charset val="134"/>
      </rPr>
      <t xml:space="preserve">
1-</t>
    </r>
    <r>
      <rPr>
        <sz val="10"/>
        <color theme="1"/>
        <rFont val="宋体"/>
        <charset val="134"/>
      </rPr>
      <t>正向为转矩限制</t>
    </r>
    <r>
      <rPr>
        <sz val="10"/>
        <color theme="1"/>
        <rFont val="Consolas"/>
        <charset val="134"/>
      </rPr>
      <t>0</t>
    </r>
    <r>
      <rPr>
        <sz val="10"/>
        <color theme="1"/>
        <rFont val="宋体"/>
        <charset val="134"/>
      </rPr>
      <t>，反向为转矩限制</t>
    </r>
    <r>
      <rPr>
        <sz val="10"/>
        <color theme="1"/>
        <rFont val="Consolas"/>
        <charset val="134"/>
      </rPr>
      <t>1</t>
    </r>
    <r>
      <rPr>
        <sz val="10"/>
        <color theme="1"/>
        <rFont val="宋体"/>
        <charset val="134"/>
      </rPr>
      <t>；</t>
    </r>
    <r>
      <rPr>
        <sz val="10"/>
        <color theme="1"/>
        <rFont val="Consolas"/>
        <charset val="134"/>
      </rPr>
      <t xml:space="preserve">
2-</t>
    </r>
    <r>
      <rPr>
        <sz val="10"/>
        <color theme="1"/>
        <rFont val="宋体"/>
        <charset val="134"/>
      </rPr>
      <t>模拟量</t>
    </r>
    <r>
      <rPr>
        <sz val="10"/>
        <color theme="1"/>
        <rFont val="Consolas"/>
        <charset val="134"/>
      </rPr>
      <t>AI0</t>
    </r>
    <r>
      <rPr>
        <sz val="10"/>
        <color theme="1"/>
        <rFont val="宋体"/>
        <charset val="134"/>
      </rPr>
      <t>绝对值作为正反方向转矩限制；</t>
    </r>
    <r>
      <rPr>
        <sz val="10"/>
        <color theme="1"/>
        <rFont val="Consolas"/>
        <charset val="134"/>
      </rPr>
      <t xml:space="preserve">
3-</t>
    </r>
    <r>
      <rPr>
        <sz val="10"/>
        <color theme="1"/>
        <rFont val="宋体"/>
        <charset val="134"/>
      </rPr>
      <t>正向为模拟量</t>
    </r>
    <r>
      <rPr>
        <sz val="10"/>
        <color theme="1"/>
        <rFont val="Consolas"/>
        <charset val="134"/>
      </rPr>
      <t>AI0</t>
    </r>
    <r>
      <rPr>
        <sz val="10"/>
        <color theme="1"/>
        <rFont val="宋体"/>
        <charset val="134"/>
      </rPr>
      <t>，反向为模拟量</t>
    </r>
    <r>
      <rPr>
        <sz val="10"/>
        <color theme="1"/>
        <rFont val="Consolas"/>
        <charset val="134"/>
      </rPr>
      <t>AI1</t>
    </r>
    <r>
      <rPr>
        <sz val="10"/>
        <color theme="1"/>
        <rFont val="宋体"/>
        <charset val="134"/>
      </rPr>
      <t>；</t>
    </r>
  </si>
  <si>
    <t>u16TrqLimFwd</t>
  </si>
  <si>
    <r>
      <rPr>
        <sz val="10"/>
        <color theme="1"/>
        <rFont val="宋体"/>
        <charset val="134"/>
      </rPr>
      <t>用户层</t>
    </r>
    <r>
      <rPr>
        <sz val="10"/>
        <color theme="1"/>
        <rFont val="Consolas"/>
        <charset val="134"/>
      </rPr>
      <t>.</t>
    </r>
    <r>
      <rPr>
        <sz val="10"/>
        <color theme="1"/>
        <rFont val="宋体"/>
        <charset val="134"/>
      </rPr>
      <t>转矩限制</t>
    </r>
    <r>
      <rPr>
        <sz val="10"/>
        <color theme="1"/>
        <rFont val="Consolas"/>
        <charset val="134"/>
      </rPr>
      <t>0</t>
    </r>
  </si>
  <si>
    <t>u16TrqLimRev</t>
  </si>
  <si>
    <r>
      <rPr>
        <sz val="10"/>
        <color theme="1"/>
        <rFont val="宋体"/>
        <charset val="134"/>
      </rPr>
      <t>用户层</t>
    </r>
    <r>
      <rPr>
        <sz val="10"/>
        <color theme="1"/>
        <rFont val="Consolas"/>
        <charset val="134"/>
      </rPr>
      <t>.</t>
    </r>
    <r>
      <rPr>
        <sz val="10"/>
        <color theme="1"/>
        <rFont val="宋体"/>
        <charset val="134"/>
      </rPr>
      <t>转矩限制</t>
    </r>
    <r>
      <rPr>
        <sz val="10"/>
        <color theme="1"/>
        <rFont val="Consolas"/>
        <charset val="134"/>
      </rPr>
      <t>1</t>
    </r>
  </si>
  <si>
    <t>eTrqLimSts</t>
  </si>
  <si>
    <r>
      <rPr>
        <sz val="10"/>
        <color theme="1"/>
        <rFont val="宋体"/>
        <charset val="134"/>
      </rPr>
      <t>转矩限制状态</t>
    </r>
  </si>
  <si>
    <r>
      <rPr>
        <sz val="10"/>
        <color theme="1"/>
        <rFont val="Consolas"/>
        <charset val="134"/>
      </rPr>
      <t>0-</t>
    </r>
    <r>
      <rPr>
        <sz val="10"/>
        <color theme="1"/>
        <rFont val="宋体"/>
        <charset val="134"/>
      </rPr>
      <t>未触发转矩限制</t>
    </r>
    <r>
      <rPr>
        <sz val="10"/>
        <color theme="1"/>
        <rFont val="Consolas"/>
        <charset val="134"/>
      </rPr>
      <t xml:space="preserve">
1-</t>
    </r>
    <r>
      <rPr>
        <sz val="10"/>
        <color theme="1"/>
        <rFont val="宋体"/>
        <charset val="134"/>
      </rPr>
      <t>触发正向转矩限制</t>
    </r>
    <r>
      <rPr>
        <sz val="10"/>
        <color theme="1"/>
        <rFont val="Consolas"/>
        <charset val="134"/>
      </rPr>
      <t xml:space="preserve">
2-</t>
    </r>
    <r>
      <rPr>
        <sz val="10"/>
        <color theme="1"/>
        <rFont val="宋体"/>
        <charset val="134"/>
      </rPr>
      <t>触发反向转矩限制</t>
    </r>
  </si>
  <si>
    <t>eTrqSpdLimSts</t>
  </si>
  <si>
    <r>
      <rPr>
        <sz val="10"/>
        <color theme="1"/>
        <rFont val="宋体"/>
        <charset val="134"/>
      </rPr>
      <t>转矩模式速度限制状态</t>
    </r>
  </si>
  <si>
    <r>
      <rPr>
        <sz val="10"/>
        <color theme="1"/>
        <rFont val="Consolas"/>
        <charset val="134"/>
      </rPr>
      <t>0-</t>
    </r>
    <r>
      <rPr>
        <sz val="10"/>
        <color theme="1"/>
        <rFont val="宋体"/>
        <charset val="134"/>
      </rPr>
      <t>未触发速度限制</t>
    </r>
    <r>
      <rPr>
        <sz val="10"/>
        <color theme="1"/>
        <rFont val="Consolas"/>
        <charset val="134"/>
      </rPr>
      <t xml:space="preserve">
1-</t>
    </r>
    <r>
      <rPr>
        <sz val="10"/>
        <color theme="1"/>
        <rFont val="宋体"/>
        <charset val="134"/>
      </rPr>
      <t>已触发速度限制</t>
    </r>
  </si>
  <si>
    <t>eTrqPosLimSts</t>
  </si>
  <si>
    <r>
      <rPr>
        <sz val="10"/>
        <color theme="1"/>
        <rFont val="宋体"/>
        <charset val="134"/>
      </rPr>
      <t>转矩模式位置限制状态</t>
    </r>
  </si>
  <si>
    <r>
      <rPr>
        <sz val="10"/>
        <color theme="1"/>
        <rFont val="Consolas"/>
        <charset val="134"/>
      </rPr>
      <t>0-</t>
    </r>
    <r>
      <rPr>
        <sz val="10"/>
        <color theme="1"/>
        <rFont val="宋体"/>
        <charset val="134"/>
      </rPr>
      <t>未触发位置限制</t>
    </r>
    <r>
      <rPr>
        <sz val="10"/>
        <color theme="1"/>
        <rFont val="Consolas"/>
        <charset val="134"/>
      </rPr>
      <t xml:space="preserve">
1-</t>
    </r>
    <r>
      <rPr>
        <sz val="10"/>
        <color theme="1"/>
        <rFont val="宋体"/>
        <charset val="134"/>
      </rPr>
      <t>已触发位置限制</t>
    </r>
  </si>
  <si>
    <t>u16TrqArriveTh</t>
  </si>
  <si>
    <r>
      <rPr>
        <sz val="10"/>
        <color theme="1"/>
        <rFont val="宋体"/>
        <charset val="134"/>
      </rPr>
      <t>用户层</t>
    </r>
    <r>
      <rPr>
        <sz val="10"/>
        <color theme="1"/>
        <rFont val="Consolas"/>
        <charset val="134"/>
      </rPr>
      <t>.</t>
    </r>
    <r>
      <rPr>
        <sz val="10"/>
        <color theme="1"/>
        <rFont val="宋体"/>
        <charset val="134"/>
      </rPr>
      <t>转矩到达阈值</t>
    </r>
  </si>
  <si>
    <r>
      <rPr>
        <sz val="10"/>
        <color theme="1"/>
        <rFont val="宋体"/>
        <charset val="134"/>
      </rPr>
      <t>转矩偏差小于该阈值时，输出转矩到达信号</t>
    </r>
  </si>
  <si>
    <t>u16AiTrqCoeff0</t>
  </si>
  <si>
    <r>
      <rPr>
        <sz val="10"/>
        <color theme="1"/>
        <rFont val="宋体"/>
        <charset val="134"/>
      </rPr>
      <t>用户层</t>
    </r>
    <r>
      <rPr>
        <sz val="10"/>
        <color theme="1"/>
        <rFont val="Consolas"/>
        <charset val="134"/>
      </rPr>
      <t>.</t>
    </r>
    <r>
      <rPr>
        <sz val="10"/>
        <color theme="1"/>
        <rFont val="宋体"/>
        <charset val="134"/>
      </rPr>
      <t>模拟量</t>
    </r>
    <r>
      <rPr>
        <sz val="10"/>
        <color theme="1"/>
        <rFont val="Consolas"/>
        <charset val="134"/>
      </rPr>
      <t>AI0</t>
    </r>
    <r>
      <rPr>
        <sz val="10"/>
        <color theme="1"/>
        <rFont val="宋体"/>
        <charset val="134"/>
      </rPr>
      <t>转矩系数</t>
    </r>
  </si>
  <si>
    <t>u16AiTrqCoeff1</t>
  </si>
  <si>
    <r>
      <rPr>
        <sz val="10"/>
        <color theme="1"/>
        <rFont val="宋体"/>
        <charset val="134"/>
      </rPr>
      <t>用户层</t>
    </r>
    <r>
      <rPr>
        <sz val="10"/>
        <color theme="1"/>
        <rFont val="Consolas"/>
        <charset val="134"/>
      </rPr>
      <t>.</t>
    </r>
    <r>
      <rPr>
        <sz val="10"/>
        <color theme="1"/>
        <rFont val="宋体"/>
        <charset val="134"/>
      </rPr>
      <t>模拟量</t>
    </r>
    <r>
      <rPr>
        <sz val="10"/>
        <color theme="1"/>
        <rFont val="Consolas"/>
        <charset val="134"/>
      </rPr>
      <t>AI1</t>
    </r>
    <r>
      <rPr>
        <sz val="10"/>
        <color theme="1"/>
        <rFont val="宋体"/>
        <charset val="134"/>
      </rPr>
      <t>转矩系数</t>
    </r>
  </si>
  <si>
    <t>u16TrqMulRefSel</t>
  </si>
  <si>
    <r>
      <rPr>
        <sz val="10"/>
        <color theme="1"/>
        <rFont val="宋体"/>
        <charset val="134"/>
      </rPr>
      <t>用户层</t>
    </r>
    <r>
      <rPr>
        <sz val="10"/>
        <color theme="1"/>
        <rFont val="Consolas"/>
        <charset val="134"/>
      </rPr>
      <t>.</t>
    </r>
    <r>
      <rPr>
        <sz val="10"/>
        <color theme="1"/>
        <rFont val="宋体"/>
        <charset val="134"/>
      </rPr>
      <t>多段转矩指令选择</t>
    </r>
  </si>
  <si>
    <t>s16TrqDigRef01</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</si>
  <si>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01</t>
    </r>
  </si>
  <si>
    <t>s16TrqDigRef02</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</si>
  <si>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02</t>
    </r>
  </si>
  <si>
    <t>s16TrqDigRef03</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</si>
  <si>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03</t>
    </r>
  </si>
  <si>
    <t>s16TrqDigRef04</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</si>
  <si>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04</t>
    </r>
  </si>
  <si>
    <t>s16TrqDigRef05</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</si>
  <si>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05</t>
    </r>
  </si>
  <si>
    <t>s16TrqDigRef06</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</si>
  <si>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06</t>
    </r>
  </si>
  <si>
    <t>s16TrqDigRef07</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</si>
  <si>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07</t>
    </r>
  </si>
  <si>
    <t>s16TrqDigRef08</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</si>
  <si>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08</t>
    </r>
  </si>
  <si>
    <t>s16TrqDigRef09</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</si>
  <si>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09</t>
    </r>
  </si>
  <si>
    <t>s16TrqDigRef10</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</si>
  <si>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10</t>
    </r>
  </si>
  <si>
    <t>s16TrqDigRef11</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</si>
  <si>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11</t>
    </r>
  </si>
  <si>
    <t>s16TrqDigRef12</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</si>
  <si>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12</t>
    </r>
  </si>
  <si>
    <t>s16TrqDigRef13</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</si>
  <si>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13</t>
    </r>
  </si>
  <si>
    <t>s16TrqDigRef14</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</si>
  <si>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14</t>
    </r>
  </si>
  <si>
    <t>s16TrqDigRef15</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</si>
  <si>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15</t>
    </r>
  </si>
  <si>
    <t>s16TrqDigRef16</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</si>
  <si>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16</t>
    </r>
  </si>
  <si>
    <t>DS402</t>
  </si>
  <si>
    <t>uwErrorCode_603F</t>
  </si>
  <si>
    <t>ds402 - error code</t>
  </si>
  <si>
    <t>uwControlword_6040</t>
  </si>
  <si>
    <t>ds402 - controlword</t>
  </si>
  <si>
    <t>uwStatusWord_6041</t>
  </si>
  <si>
    <t>ds402 - statusword</t>
  </si>
  <si>
    <t>swQuickStopOptionCode_605A</t>
  </si>
  <si>
    <t>ds402 - quick stop option code</t>
  </si>
  <si>
    <t>swShutdownOptionCode_605B</t>
  </si>
  <si>
    <t>ds402 - shutdown option code</t>
  </si>
  <si>
    <t>swDisableOperaOptionCode_605C</t>
  </si>
  <si>
    <t>ds402 - disable operation option code</t>
  </si>
  <si>
    <t>swHaltOptionCode_605D</t>
  </si>
  <si>
    <t>ds402 - halt option code</t>
  </si>
  <si>
    <t>swFaultReactionCode_605E</t>
  </si>
  <si>
    <t>ds402 - fault reaction option code</t>
  </si>
  <si>
    <t>sbModesOpera_6060</t>
  </si>
  <si>
    <t>ds402 - modes of operation</t>
  </si>
  <si>
    <t>sbModesOperaDisp_6061</t>
  </si>
  <si>
    <t>ds402 - modes of operation display</t>
  </si>
  <si>
    <t>slPosDemandValue_6062</t>
  </si>
  <si>
    <t>ds402 - position demannd value</t>
  </si>
  <si>
    <t>slPosActualInternalValue_6063</t>
  </si>
  <si>
    <t>ds402 - position actual internal value</t>
  </si>
  <si>
    <t>slUserPosActualValue_6064</t>
  </si>
  <si>
    <t>ds402 - position actual value</t>
  </si>
  <si>
    <t>ulFollowErrorWindow_6065</t>
  </si>
  <si>
    <t>ds402 - maximal following error</t>
  </si>
  <si>
    <t>ulFollowErrorTimeOut_6066</t>
  </si>
  <si>
    <t>ds402 - following errror time out</t>
  </si>
  <si>
    <t>ulPositionWindow_6067</t>
  </si>
  <si>
    <t>ds402 - position window</t>
  </si>
  <si>
    <t>uwPositionWindowTime_6068</t>
  </si>
  <si>
    <t>ds402 - position window time</t>
  </si>
  <si>
    <t>ulVelocityDemandValue_606B</t>
  </si>
  <si>
    <t>ds402 - velocity demand value</t>
  </si>
  <si>
    <t>ulVelocityActualValue_606C</t>
  </si>
  <si>
    <t>ds402 - velocity actual value</t>
  </si>
  <si>
    <t>uwVelocityWindow_606D</t>
  </si>
  <si>
    <t>ds402 - velocity window</t>
  </si>
  <si>
    <t>uwVelocityWindowTime_606E</t>
  </si>
  <si>
    <t>ds402 - velocity window time</t>
  </si>
  <si>
    <t>uwVelocityThreshold_606F</t>
  </si>
  <si>
    <t>ds402 - velocity threshold time</t>
  </si>
  <si>
    <t>uwVelocityThresholdTime_6070</t>
  </si>
  <si>
    <t>ds402 - velocity threshold</t>
  </si>
  <si>
    <t>swTargetTorque_6071</t>
  </si>
  <si>
    <t>ds402 - target torque</t>
  </si>
  <si>
    <t>uwMaxTorque_6072</t>
  </si>
  <si>
    <t>ds402 - max torque</t>
  </si>
  <si>
    <t>uwMaxCurrent_6073</t>
  </si>
  <si>
    <t>ds402 - max current</t>
  </si>
  <si>
    <t>swTorqueDemand_6074</t>
  </si>
  <si>
    <t>ds402 - torque demand</t>
  </si>
  <si>
    <t>ulMotorRatedCurrent_6075</t>
  </si>
  <si>
    <t>ds402 - motor rated current</t>
  </si>
  <si>
    <t>ulMotorRatedTorque_6076</t>
  </si>
  <si>
    <t>ds402 - motor rated torque</t>
  </si>
  <si>
    <t>swTorqueActualValue_6077</t>
  </si>
  <si>
    <t>ds402 - torque actual value</t>
  </si>
  <si>
    <t>swCurrentActualValue_6078</t>
  </si>
  <si>
    <t>ds402 - current actual value</t>
  </si>
  <si>
    <t>ulDCLinkCircuitVoltage_6079</t>
  </si>
  <si>
    <t>ds402 - dc link circuit voltage</t>
  </si>
  <si>
    <t>slTargetPosition_607A</t>
  </si>
  <si>
    <t>ds402 - target position</t>
  </si>
  <si>
    <t>slHomeOffset_607C</t>
  </si>
  <si>
    <t>ds402 - home offset</t>
  </si>
  <si>
    <t>slSoftPositionLimit_607D_0</t>
  </si>
  <si>
    <t>ds402 - software position limit minimal position limit</t>
  </si>
  <si>
    <t>slSoftPositionLimit_607D_1</t>
  </si>
  <si>
    <t>ds402 - software position limit maximal position limit</t>
  </si>
  <si>
    <t>ubPolarity_607E</t>
  </si>
  <si>
    <t>ds402 - polarit</t>
  </si>
  <si>
    <t>ulMaxProfileVelocity_607F</t>
  </si>
  <si>
    <t>ds402 - maximal profile velocity</t>
  </si>
  <si>
    <t>ulMaxMotorSpeed_6080</t>
  </si>
  <si>
    <t>ds402 - max motor speed</t>
  </si>
  <si>
    <t>ulProfileVelocity_6081</t>
  </si>
  <si>
    <t>ds402 - profile velocity</t>
  </si>
  <si>
    <t>ulProfileAcceleration_6083</t>
  </si>
  <si>
    <t>ds402 - profile acceleration</t>
  </si>
  <si>
    <t>ulProfileDeceleration_6084</t>
  </si>
  <si>
    <t>ds402 - profile deceleration</t>
  </si>
  <si>
    <t>ulQuickStopDeceleration_6085</t>
  </si>
  <si>
    <t>ds402 - quick stop deceleration</t>
  </si>
  <si>
    <t>swMotionProfileType_6086</t>
  </si>
  <si>
    <t>ds402 - motion profile type</t>
  </si>
  <si>
    <t>swTargetSlope_6087</t>
  </si>
  <si>
    <t>ds402 - torque slope</t>
  </si>
  <si>
    <t>swTorqueProfileType_6088</t>
  </si>
  <si>
    <t>ds402 - torque profile type</t>
  </si>
  <si>
    <t>sbHomingMethod_6098</t>
  </si>
  <si>
    <t>ds402 - homing method</t>
  </si>
  <si>
    <t>uwHomingSpeeds_6099_0</t>
  </si>
  <si>
    <t>ds402 - homing speeds speed for switch search</t>
  </si>
  <si>
    <t>uwHomingSpeeds_6099_1</t>
  </si>
  <si>
    <t>ds402 - homing speeds speed for zero search</t>
  </si>
  <si>
    <t>ulHomingAcceleration_609A</t>
  </si>
  <si>
    <t>ds402 - homing acceleration</t>
  </si>
  <si>
    <t>slPostionOffset_60B0</t>
  </si>
  <si>
    <t>ds402 - position offset</t>
  </si>
  <si>
    <t>slVelocityOffset_60B1</t>
  </si>
  <si>
    <t>ds402 - velocity offset</t>
  </si>
  <si>
    <t>slTorqueOffset_60B2</t>
  </si>
  <si>
    <t>ds402 - torque offset</t>
  </si>
  <si>
    <t>uwTouchProbeFunction_60B8</t>
  </si>
  <si>
    <t>ds402 - touch probe function</t>
  </si>
  <si>
    <t>uwTouchProbeStatus_60B9</t>
  </si>
  <si>
    <t>ds402 - ouch probe status</t>
  </si>
  <si>
    <t>slTouchProbe1Pos1PosValue_60BA</t>
  </si>
  <si>
    <t>ds402 - touch probe pos1 pos value</t>
  </si>
  <si>
    <t>slTouchProbe1Neg1PosValue_60BB</t>
  </si>
  <si>
    <t>ds402 - touch probe pos1 neg value</t>
  </si>
  <si>
    <t>slTouchProbe2Pos1PosValue_60BC</t>
  </si>
  <si>
    <t>ds402 - touch probe 2 positive edge</t>
  </si>
  <si>
    <t>slTouchProbe2Neg1PosValue_60BD</t>
  </si>
  <si>
    <t>ds402 - touch probe 2 negative edge</t>
  </si>
  <si>
    <t>ubInterpTimePeriod_60C2_0</t>
  </si>
  <si>
    <t>ds402 - interpolation time period interpolation time period value</t>
  </si>
  <si>
    <t>ubInterpTimePeriod_60C2_1</t>
  </si>
  <si>
    <t>ds402 - interpolation time period interpolation time index</t>
  </si>
  <si>
    <t>ulMaxProfileAcceleration_60C5</t>
  </si>
  <si>
    <t>ds402 - max acceleration</t>
  </si>
  <si>
    <t>ulMaxProfileDeceleration_60C6</t>
  </si>
  <si>
    <t>ds402 - max deceleration</t>
  </si>
  <si>
    <t>slFollowErrorActualValue_60F4</t>
  </si>
  <si>
    <t>ds402 - following errror actual value</t>
  </si>
  <si>
    <t>slPositionDemandValue_60FC</t>
  </si>
  <si>
    <t>ds402 - position demand internal value</t>
  </si>
  <si>
    <t>ulDigitalInput_60FD</t>
  </si>
  <si>
    <t>ds402 - digital input</t>
  </si>
  <si>
    <t>uwDigitalOutput_60FE_0</t>
  </si>
  <si>
    <t>ds402 - digital output physical outputs</t>
  </si>
  <si>
    <t>uwDigitalOutput_60FE_1</t>
  </si>
  <si>
    <t>ds402 - digital output bit mask</t>
  </si>
  <si>
    <t>slTargetVelocity_60FF</t>
  </si>
  <si>
    <t>ds402 - target velocity</t>
  </si>
  <si>
    <t>ulSupportedDriveModes_6502</t>
  </si>
  <si>
    <t>ds402 - supported drive modes</t>
  </si>
  <si>
    <t>物理单位</t>
  </si>
  <si>
    <t>无单位</t>
  </si>
  <si>
    <t>A</t>
  </si>
  <si>
    <t>安培</t>
  </si>
  <si>
    <t>0.1A</t>
  </si>
  <si>
    <t>伏特</t>
  </si>
  <si>
    <t>0.01V</t>
  </si>
  <si>
    <t>0.1Hz</t>
  </si>
  <si>
    <t>rad/s</t>
  </si>
  <si>
    <t>m/min</t>
  </si>
  <si>
    <t>0.1m/min</t>
  </si>
  <si>
    <t>mm/s</t>
  </si>
  <si>
    <t>℃</t>
  </si>
  <si>
    <t>摄氏度</t>
  </si>
  <si>
    <t>0.1℃</t>
  </si>
  <si>
    <t>N·m</t>
  </si>
  <si>
    <t>牛·米</t>
  </si>
  <si>
    <t>kW</t>
  </si>
  <si>
    <t>千瓦</t>
  </si>
  <si>
    <t>W</t>
  </si>
  <si>
    <t>瓦特</t>
  </si>
  <si>
    <t>Ω</t>
  </si>
  <si>
    <t>欧姆</t>
  </si>
  <si>
    <t>0.01Ω</t>
  </si>
  <si>
    <t>10mΩ</t>
  </si>
  <si>
    <t>毫欧</t>
  </si>
  <si>
    <t>mH</t>
  </si>
  <si>
    <t>毫亨</t>
  </si>
  <si>
    <t>h</t>
  </si>
  <si>
    <t>小时</t>
  </si>
  <si>
    <t>0.1h</t>
  </si>
  <si>
    <t>min</t>
  </si>
  <si>
    <t>分</t>
  </si>
  <si>
    <t>s</t>
  </si>
  <si>
    <t>秒</t>
  </si>
  <si>
    <t>0.1s</t>
  </si>
  <si>
    <t>毫秒</t>
  </si>
  <si>
    <t>0.1ms</t>
  </si>
  <si>
    <t>us</t>
  </si>
  <si>
    <t>微秒</t>
  </si>
  <si>
    <t>ns</t>
  </si>
  <si>
    <t>纳秒</t>
  </si>
  <si>
    <t>百分比</t>
  </si>
  <si>
    <t>千分比</t>
  </si>
  <si>
    <t>rpm/s</t>
  </si>
  <si>
    <t>米/平方秒</t>
  </si>
  <si>
    <t>0.1°</t>
  </si>
  <si>
    <t>角度</t>
  </si>
  <si>
    <t>rad</t>
  </si>
  <si>
    <t>弧度</t>
  </si>
  <si>
    <t>r</t>
  </si>
  <si>
    <t>转</t>
  </si>
  <si>
    <t>0.01r</t>
  </si>
  <si>
    <t>m</t>
  </si>
  <si>
    <t>米</t>
  </si>
  <si>
    <t>0.1m</t>
  </si>
  <si>
    <t>cm</t>
  </si>
  <si>
    <t>mm</t>
  </si>
  <si>
    <t>0.1mm</t>
  </si>
  <si>
    <t>0.01mm</t>
  </si>
  <si>
    <t>um</t>
  </si>
  <si>
    <t>微米</t>
  </si>
  <si>
    <t>脉冲</t>
  </si>
  <si>
    <t>微法</t>
  </si>
  <si>
    <t>定点数</t>
  </si>
  <si>
    <t>Q31</t>
  </si>
</sst>
</file>

<file path=xl/styles.xml><?xml version="1.0" encoding="utf-8"?>
<styleSheet xmlns="http://schemas.openxmlformats.org/spreadsheetml/2006/main">
  <numFmts count="4">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s>
  <fonts count="32">
    <font>
      <sz val="11"/>
      <color theme="1"/>
      <name val="宋体"/>
      <charset val="162"/>
      <scheme val="minor"/>
    </font>
    <font>
      <sz val="10"/>
      <color theme="1"/>
      <name val="宋体"/>
      <charset val="134"/>
      <scheme val="major"/>
    </font>
    <font>
      <sz val="11"/>
      <color theme="1"/>
      <name val="宋体"/>
      <charset val="134"/>
      <scheme val="minor"/>
    </font>
    <font>
      <b/>
      <sz val="10"/>
      <color theme="1"/>
      <name val="宋体"/>
      <charset val="134"/>
      <scheme val="major"/>
    </font>
    <font>
      <sz val="10.5"/>
      <color rgb="FF4FC1FF"/>
      <name val="Consolas"/>
      <charset val="134"/>
    </font>
    <font>
      <sz val="11"/>
      <color theme="1"/>
      <name val="等线 Light"/>
      <charset val="134"/>
    </font>
    <font>
      <sz val="10"/>
      <color theme="1"/>
      <name val="Consolas"/>
      <charset val="134"/>
    </font>
    <font>
      <b/>
      <sz val="10"/>
      <color theme="1"/>
      <name val="Consolas"/>
      <charset val="134"/>
    </font>
    <font>
      <b/>
      <sz val="10"/>
      <color theme="1"/>
      <name val="宋体"/>
      <charset val="134"/>
    </font>
    <font>
      <sz val="10"/>
      <color theme="1"/>
      <name val="宋体"/>
      <charset val="134"/>
    </font>
    <font>
      <sz val="11"/>
      <color theme="1"/>
      <name val="Consolas"/>
      <charset val="134"/>
    </font>
    <font>
      <sz val="10"/>
      <name val="Consolas"/>
      <charset val="134"/>
    </font>
    <font>
      <b/>
      <sz val="15"/>
      <color theme="3"/>
      <name val="宋体"/>
      <charset val="134"/>
      <scheme val="minor"/>
    </font>
    <font>
      <sz val="11"/>
      <color rgb="FF3F3F76"/>
      <name val="宋体"/>
      <charset val="0"/>
      <scheme val="minor"/>
    </font>
    <font>
      <sz val="11"/>
      <color theme="0"/>
      <name val="宋体"/>
      <charset val="0"/>
      <scheme val="minor"/>
    </font>
    <font>
      <b/>
      <sz val="13"/>
      <color theme="3"/>
      <name val="宋体"/>
      <charset val="134"/>
      <scheme val="minor"/>
    </font>
    <font>
      <sz val="11"/>
      <color theme="1"/>
      <name val="宋体"/>
      <charset val="0"/>
      <scheme val="minor"/>
    </font>
    <font>
      <u/>
      <sz val="11"/>
      <color rgb="FF0000FF"/>
      <name val="宋体"/>
      <charset val="0"/>
      <scheme val="minor"/>
    </font>
    <font>
      <sz val="11"/>
      <color rgb="FF9C0006"/>
      <name val="宋体"/>
      <charset val="0"/>
      <scheme val="minor"/>
    </font>
    <font>
      <sz val="11"/>
      <color rgb="FF006100"/>
      <name val="宋体"/>
      <charset val="0"/>
      <scheme val="minor"/>
    </font>
    <font>
      <b/>
      <sz val="11"/>
      <color theme="3"/>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1"/>
      <color theme="1"/>
      <name val="宋体"/>
      <charset val="0"/>
      <scheme val="minor"/>
    </font>
    <font>
      <b/>
      <sz val="11"/>
      <color rgb="FF3F3F3F"/>
      <name val="宋体"/>
      <charset val="0"/>
      <scheme val="minor"/>
    </font>
    <font>
      <sz val="11"/>
      <color rgb="FF9C6500"/>
      <name val="宋体"/>
      <charset val="0"/>
      <scheme val="minor"/>
    </font>
    <font>
      <sz val="11"/>
      <color rgb="FFFA7D00"/>
      <name val="宋体"/>
      <charset val="0"/>
      <scheme val="minor"/>
    </font>
    <font>
      <b/>
      <sz val="11"/>
      <color rgb="FFFA7D00"/>
      <name val="宋体"/>
      <charset val="0"/>
      <scheme val="minor"/>
    </font>
    <font>
      <b/>
      <sz val="11"/>
      <color rgb="FFFFFFFF"/>
      <name val="宋体"/>
      <charset val="0"/>
      <scheme val="minor"/>
    </font>
    <font>
      <sz val="11"/>
      <color theme="1"/>
      <name val="宋体"/>
      <charset val="134"/>
    </font>
  </fonts>
  <fills count="34">
    <fill>
      <patternFill patternType="none"/>
    </fill>
    <fill>
      <patternFill patternType="gray125"/>
    </fill>
    <fill>
      <patternFill patternType="solid">
        <fgColor rgb="FFFFFF00"/>
        <bgColor indexed="64"/>
      </patternFill>
    </fill>
    <fill>
      <patternFill patternType="solid">
        <fgColor rgb="FFFFCC99"/>
        <bgColor indexed="64"/>
      </patternFill>
    </fill>
    <fill>
      <patternFill patternType="solid">
        <fgColor theme="4"/>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rgb="FFFFC7CE"/>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C6EFCE"/>
        <bgColor indexed="64"/>
      </patternFill>
    </fill>
    <fill>
      <patternFill patternType="solid">
        <fgColor theme="5" tint="0.399975585192419"/>
        <bgColor indexed="64"/>
      </patternFill>
    </fill>
    <fill>
      <patternFill patternType="solid">
        <fgColor rgb="FFFFFFCC"/>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8"/>
        <bgColor indexed="64"/>
      </patternFill>
    </fill>
    <fill>
      <patternFill patternType="solid">
        <fgColor theme="7" tint="0.399975585192419"/>
        <bgColor indexed="64"/>
      </patternFill>
    </fill>
    <fill>
      <patternFill patternType="solid">
        <fgColor theme="5" tint="0.599993896298105"/>
        <bgColor indexed="64"/>
      </patternFill>
    </fill>
    <fill>
      <patternFill patternType="solid">
        <fgColor theme="5"/>
        <bgColor indexed="64"/>
      </patternFill>
    </fill>
    <fill>
      <patternFill patternType="solid">
        <fgColor rgb="FFF2F2F2"/>
        <bgColor indexed="64"/>
      </patternFill>
    </fill>
    <fill>
      <patternFill patternType="solid">
        <fgColor theme="6"/>
        <bgColor indexed="64"/>
      </patternFill>
    </fill>
    <fill>
      <patternFill patternType="solid">
        <fgColor rgb="FFFFEB9C"/>
        <bgColor indexed="64"/>
      </patternFill>
    </fill>
    <fill>
      <patternFill patternType="solid">
        <fgColor theme="4" tint="0.799981688894314"/>
        <bgColor indexed="64"/>
      </patternFill>
    </fill>
    <fill>
      <patternFill patternType="solid">
        <fgColor rgb="FFA5A5A5"/>
        <bgColor indexed="64"/>
      </patternFill>
    </fill>
    <fill>
      <patternFill patternType="solid">
        <fgColor theme="9" tint="0.799981688894314"/>
        <bgColor indexed="64"/>
      </patternFill>
    </fill>
    <fill>
      <patternFill patternType="solid">
        <fgColor theme="9"/>
        <bgColor indexed="64"/>
      </patternFill>
    </fill>
    <fill>
      <patternFill patternType="solid">
        <fgColor theme="7"/>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42" fontId="2" fillId="0" borderId="0" applyFont="0" applyFill="0" applyBorder="0" applyAlignment="0" applyProtection="0">
      <alignment vertical="center"/>
    </xf>
    <xf numFmtId="0" fontId="16" fillId="5" borderId="0" applyNumberFormat="0" applyBorder="0" applyAlignment="0" applyProtection="0">
      <alignment vertical="center"/>
    </xf>
    <xf numFmtId="0" fontId="13" fillId="3" borderId="9" applyNumberFormat="0" applyAlignment="0" applyProtection="0">
      <alignment vertical="center"/>
    </xf>
    <xf numFmtId="44" fontId="2" fillId="0" borderId="0" applyFont="0" applyFill="0" applyBorder="0" applyAlignment="0" applyProtection="0">
      <alignment vertical="center"/>
    </xf>
    <xf numFmtId="41" fontId="2" fillId="0" borderId="0" applyFont="0" applyFill="0" applyBorder="0" applyAlignment="0" applyProtection="0">
      <alignment vertical="center"/>
    </xf>
    <xf numFmtId="0" fontId="16" fillId="6" borderId="0" applyNumberFormat="0" applyBorder="0" applyAlignment="0" applyProtection="0">
      <alignment vertical="center"/>
    </xf>
    <xf numFmtId="0" fontId="18" fillId="8" borderId="0" applyNumberFormat="0" applyBorder="0" applyAlignment="0" applyProtection="0">
      <alignment vertical="center"/>
    </xf>
    <xf numFmtId="43" fontId="2" fillId="0" borderId="0" applyFont="0" applyFill="0" applyBorder="0" applyAlignment="0" applyProtection="0">
      <alignment vertical="center"/>
    </xf>
    <xf numFmtId="0" fontId="14" fillId="12" borderId="0" applyNumberFormat="0" applyBorder="0" applyAlignment="0" applyProtection="0">
      <alignment vertical="center"/>
    </xf>
    <xf numFmtId="0" fontId="17" fillId="0" borderId="0" applyNumberFormat="0" applyFill="0" applyBorder="0" applyAlignment="0" applyProtection="0">
      <alignment vertical="center"/>
    </xf>
    <xf numFmtId="9" fontId="2" fillId="0" borderId="0" applyFont="0" applyFill="0" applyBorder="0" applyAlignment="0" applyProtection="0">
      <alignment vertical="center"/>
    </xf>
    <xf numFmtId="0" fontId="21" fillId="0" borderId="0" applyNumberFormat="0" applyFill="0" applyBorder="0" applyAlignment="0" applyProtection="0">
      <alignment vertical="center"/>
    </xf>
    <xf numFmtId="0" fontId="2" fillId="15" borderId="11" applyNumberFormat="0" applyFont="0" applyAlignment="0" applyProtection="0">
      <alignment vertical="center"/>
    </xf>
    <xf numFmtId="0" fontId="14" fillId="14" borderId="0" applyNumberFormat="0" applyBorder="0" applyAlignment="0" applyProtection="0">
      <alignment vertical="center"/>
    </xf>
    <xf numFmtId="0" fontId="20"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2" fillId="0" borderId="8" applyNumberFormat="0" applyFill="0" applyAlignment="0" applyProtection="0">
      <alignment vertical="center"/>
    </xf>
    <xf numFmtId="0" fontId="15" fillId="0" borderId="8" applyNumberFormat="0" applyFill="0" applyAlignment="0" applyProtection="0">
      <alignment vertical="center"/>
    </xf>
    <xf numFmtId="0" fontId="14" fillId="17" borderId="0" applyNumberFormat="0" applyBorder="0" applyAlignment="0" applyProtection="0">
      <alignment vertical="center"/>
    </xf>
    <xf numFmtId="0" fontId="20" fillId="0" borderId="10" applyNumberFormat="0" applyFill="0" applyAlignment="0" applyProtection="0">
      <alignment vertical="center"/>
    </xf>
    <xf numFmtId="0" fontId="14" fillId="19" borderId="0" applyNumberFormat="0" applyBorder="0" applyAlignment="0" applyProtection="0">
      <alignment vertical="center"/>
    </xf>
    <xf numFmtId="0" fontId="26" fillId="22" borderId="13" applyNumberFormat="0" applyAlignment="0" applyProtection="0">
      <alignment vertical="center"/>
    </xf>
    <xf numFmtId="0" fontId="29" fillId="22" borderId="9" applyNumberFormat="0" applyAlignment="0" applyProtection="0">
      <alignment vertical="center"/>
    </xf>
    <xf numFmtId="0" fontId="30" fillId="26" borderId="15" applyNumberFormat="0" applyAlignment="0" applyProtection="0">
      <alignment vertical="center"/>
    </xf>
    <xf numFmtId="0" fontId="16" fillId="27" borderId="0" applyNumberFormat="0" applyBorder="0" applyAlignment="0" applyProtection="0">
      <alignment vertical="center"/>
    </xf>
    <xf numFmtId="0" fontId="14" fillId="21" borderId="0" applyNumberFormat="0" applyBorder="0" applyAlignment="0" applyProtection="0">
      <alignment vertical="center"/>
    </xf>
    <xf numFmtId="0" fontId="28" fillId="0" borderId="14" applyNumberFormat="0" applyFill="0" applyAlignment="0" applyProtection="0">
      <alignment vertical="center"/>
    </xf>
    <xf numFmtId="0" fontId="25" fillId="0" borderId="12" applyNumberFormat="0" applyFill="0" applyAlignment="0" applyProtection="0">
      <alignment vertical="center"/>
    </xf>
    <xf numFmtId="0" fontId="19" fillId="13" borderId="0" applyNumberFormat="0" applyBorder="0" applyAlignment="0" applyProtection="0">
      <alignment vertical="center"/>
    </xf>
    <xf numFmtId="0" fontId="27" fillId="24" borderId="0" applyNumberFormat="0" applyBorder="0" applyAlignment="0" applyProtection="0">
      <alignment vertical="center"/>
    </xf>
    <xf numFmtId="0" fontId="16" fillId="11" borderId="0" applyNumberFormat="0" applyBorder="0" applyAlignment="0" applyProtection="0">
      <alignment vertical="center"/>
    </xf>
    <xf numFmtId="0" fontId="14" fillId="4" borderId="0" applyNumberFormat="0" applyBorder="0" applyAlignment="0" applyProtection="0">
      <alignment vertical="center"/>
    </xf>
    <xf numFmtId="0" fontId="16" fillId="25" borderId="0" applyNumberFormat="0" applyBorder="0" applyAlignment="0" applyProtection="0">
      <alignment vertical="center"/>
    </xf>
    <xf numFmtId="0" fontId="16" fillId="16" borderId="0" applyNumberFormat="0" applyBorder="0" applyAlignment="0" applyProtection="0">
      <alignment vertical="center"/>
    </xf>
    <xf numFmtId="0" fontId="16" fillId="7" borderId="0" applyNumberFormat="0" applyBorder="0" applyAlignment="0" applyProtection="0">
      <alignment vertical="center"/>
    </xf>
    <xf numFmtId="0" fontId="16" fillId="20" borderId="0" applyNumberFormat="0" applyBorder="0" applyAlignment="0" applyProtection="0">
      <alignment vertical="center"/>
    </xf>
    <xf numFmtId="0" fontId="14" fillId="23" borderId="0" applyNumberFormat="0" applyBorder="0" applyAlignment="0" applyProtection="0">
      <alignment vertical="center"/>
    </xf>
    <xf numFmtId="0" fontId="14" fillId="29" borderId="0" applyNumberFormat="0" applyBorder="0" applyAlignment="0" applyProtection="0">
      <alignment vertical="center"/>
    </xf>
    <xf numFmtId="0" fontId="16" fillId="31" borderId="0" applyNumberFormat="0" applyBorder="0" applyAlignment="0" applyProtection="0">
      <alignment vertical="center"/>
    </xf>
    <xf numFmtId="0" fontId="16" fillId="10" borderId="0" applyNumberFormat="0" applyBorder="0" applyAlignment="0" applyProtection="0">
      <alignment vertical="center"/>
    </xf>
    <xf numFmtId="0" fontId="14" fillId="18" borderId="0" applyNumberFormat="0" applyBorder="0" applyAlignment="0" applyProtection="0">
      <alignment vertical="center"/>
    </xf>
    <xf numFmtId="0" fontId="16" fillId="30" borderId="0" applyNumberFormat="0" applyBorder="0" applyAlignment="0" applyProtection="0">
      <alignment vertical="center"/>
    </xf>
    <xf numFmtId="0" fontId="14" fillId="9" borderId="0" applyNumberFormat="0" applyBorder="0" applyAlignment="0" applyProtection="0">
      <alignment vertical="center"/>
    </xf>
    <xf numFmtId="0" fontId="14" fillId="28" borderId="0" applyNumberFormat="0" applyBorder="0" applyAlignment="0" applyProtection="0">
      <alignment vertical="center"/>
    </xf>
    <xf numFmtId="0" fontId="16" fillId="32" borderId="0" applyNumberFormat="0" applyBorder="0" applyAlignment="0" applyProtection="0">
      <alignment vertical="center"/>
    </xf>
    <xf numFmtId="0" fontId="14" fillId="33" borderId="0" applyNumberFormat="0" applyBorder="0" applyAlignment="0" applyProtection="0">
      <alignment vertical="center"/>
    </xf>
  </cellStyleXfs>
  <cellXfs count="48">
    <xf numFmtId="0" fontId="0" fillId="0" borderId="0" xfId="0"/>
    <xf numFmtId="0" fontId="0" fillId="0" borderId="0" xfId="0" applyFont="1" applyFill="1" applyAlignment="1"/>
    <xf numFmtId="0" fontId="1" fillId="0" borderId="0" xfId="0" applyFont="1" applyFill="1" applyAlignment="1">
      <alignment vertical="center"/>
    </xf>
    <xf numFmtId="0" fontId="2" fillId="0" borderId="0" xfId="0" applyFont="1" applyFill="1" applyAlignment="1">
      <alignment vertical="center"/>
    </xf>
    <xf numFmtId="0" fontId="3" fillId="0" borderId="1" xfId="0" applyFont="1" applyFill="1" applyBorder="1" applyAlignment="1">
      <alignment vertical="center"/>
    </xf>
    <xf numFmtId="0" fontId="1" fillId="0" borderId="1" xfId="0" applyFont="1" applyFill="1" applyBorder="1" applyAlignment="1">
      <alignment vertical="center"/>
    </xf>
    <xf numFmtId="0" fontId="4" fillId="0" borderId="0" xfId="0" applyFont="1" applyFill="1" applyAlignment="1">
      <alignment vertical="center" wrapText="1"/>
    </xf>
    <xf numFmtId="0" fontId="5" fillId="0" borderId="1" xfId="0" applyFont="1" applyFill="1" applyBorder="1" applyAlignment="1">
      <alignment vertical="center"/>
    </xf>
    <xf numFmtId="0" fontId="5" fillId="0" borderId="1" xfId="0" applyFont="1" applyFill="1" applyBorder="1" applyAlignment="1">
      <alignment horizontal="left" vertical="center"/>
    </xf>
    <xf numFmtId="0" fontId="5" fillId="0" borderId="1" xfId="0" applyFont="1" applyFill="1" applyBorder="1" applyAlignment="1">
      <alignment horizontal="right" vertical="center"/>
    </xf>
    <xf numFmtId="0" fontId="6" fillId="0" borderId="1" xfId="0" applyFont="1" applyFill="1" applyBorder="1" applyAlignment="1">
      <alignment horizontal="center" vertical="center"/>
    </xf>
    <xf numFmtId="0" fontId="7" fillId="0" borderId="1" xfId="0" applyFont="1" applyFill="1" applyBorder="1" applyAlignment="1" applyProtection="1">
      <alignment horizontal="center" vertical="center"/>
    </xf>
    <xf numFmtId="0" fontId="7" fillId="0" borderId="1" xfId="0" applyFont="1" applyFill="1" applyBorder="1" applyAlignment="1" applyProtection="1">
      <alignment horizontal="left" vertical="center"/>
    </xf>
    <xf numFmtId="0" fontId="7" fillId="2" borderId="1" xfId="0" applyFont="1" applyFill="1" applyBorder="1" applyAlignment="1" applyProtection="1">
      <alignment horizontal="center" vertical="center"/>
    </xf>
    <xf numFmtId="49" fontId="7" fillId="0" borderId="1" xfId="0" applyNumberFormat="1" applyFont="1" applyFill="1" applyBorder="1" applyAlignment="1" applyProtection="1">
      <alignment horizontal="center" vertical="center"/>
    </xf>
    <xf numFmtId="49" fontId="7" fillId="0" borderId="1" xfId="0" applyNumberFormat="1" applyFont="1" applyFill="1" applyBorder="1" applyAlignment="1" applyProtection="1">
      <alignment horizontal="left" vertical="center"/>
    </xf>
    <xf numFmtId="49" fontId="8" fillId="0" borderId="1" xfId="0" applyNumberFormat="1" applyFont="1" applyFill="1" applyBorder="1" applyAlignment="1" applyProtection="1">
      <alignment horizontal="center" vertical="center"/>
    </xf>
    <xf numFmtId="0" fontId="6" fillId="0" borderId="2" xfId="0" applyFont="1" applyFill="1" applyBorder="1" applyAlignment="1">
      <alignment horizontal="center" vertical="center"/>
    </xf>
    <xf numFmtId="49" fontId="6" fillId="0" borderId="1" xfId="0" applyNumberFormat="1" applyFont="1" applyFill="1" applyBorder="1" applyAlignment="1">
      <alignment horizontal="center" vertical="center"/>
    </xf>
    <xf numFmtId="0" fontId="6" fillId="0" borderId="1" xfId="0" applyFont="1" applyFill="1" applyBorder="1" applyAlignment="1">
      <alignment horizontal="left" vertical="center"/>
    </xf>
    <xf numFmtId="49" fontId="6" fillId="0" borderId="1" xfId="0" applyNumberFormat="1" applyFont="1" applyFill="1" applyBorder="1" applyAlignment="1">
      <alignment horizontal="right" vertical="center"/>
    </xf>
    <xf numFmtId="49" fontId="6" fillId="0" borderId="1" xfId="0" applyNumberFormat="1" applyFont="1" applyFill="1" applyBorder="1" applyAlignment="1">
      <alignment horizontal="left" vertical="center"/>
    </xf>
    <xf numFmtId="49" fontId="6" fillId="0" borderId="1" xfId="0" applyNumberFormat="1" applyFont="1" applyFill="1" applyBorder="1" applyAlignment="1" applyProtection="1">
      <alignment horizontal="left" vertical="center"/>
      <protection locked="0"/>
    </xf>
    <xf numFmtId="49" fontId="9" fillId="0" borderId="1" xfId="0" applyNumberFormat="1" applyFont="1" applyFill="1" applyBorder="1" applyAlignment="1">
      <alignment horizontal="left" vertical="center"/>
    </xf>
    <xf numFmtId="49" fontId="6" fillId="0" borderId="1" xfId="0" applyNumberFormat="1" applyFont="1" applyFill="1" applyBorder="1" applyAlignment="1">
      <alignment horizontal="left" vertical="center" wrapText="1"/>
    </xf>
    <xf numFmtId="0" fontId="9" fillId="0" borderId="1" xfId="0" applyFont="1" applyFill="1" applyBorder="1" applyAlignment="1">
      <alignment horizontal="left" vertical="center"/>
    </xf>
    <xf numFmtId="0" fontId="10" fillId="0" borderId="1" xfId="0" applyFont="1" applyFill="1" applyBorder="1" applyAlignment="1">
      <alignment vertical="center"/>
    </xf>
    <xf numFmtId="49" fontId="6" fillId="0" borderId="3" xfId="0" applyNumberFormat="1" applyFont="1" applyFill="1" applyBorder="1" applyAlignment="1">
      <alignment horizontal="left" vertical="center"/>
    </xf>
    <xf numFmtId="0" fontId="10" fillId="0" borderId="4" xfId="0" applyFont="1" applyFill="1" applyBorder="1" applyAlignment="1">
      <alignment horizontal="right" vertical="center"/>
    </xf>
    <xf numFmtId="0" fontId="6" fillId="0" borderId="1" xfId="0" applyFont="1" applyFill="1" applyBorder="1" applyAlignment="1">
      <alignment horizontal="right" vertical="center"/>
    </xf>
    <xf numFmtId="49" fontId="6" fillId="0" borderId="1" xfId="0" applyNumberFormat="1" applyFont="1" applyFill="1" applyBorder="1" applyAlignment="1">
      <alignment horizontal="center" vertical="center" wrapText="1"/>
    </xf>
    <xf numFmtId="0" fontId="6" fillId="0" borderId="5"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1" xfId="0" applyFont="1" applyFill="1" applyBorder="1" applyAlignment="1">
      <alignment vertical="center"/>
    </xf>
    <xf numFmtId="0" fontId="6" fillId="0" borderId="0" xfId="0" applyFont="1" applyFill="1" applyAlignment="1">
      <alignment horizontal="center" vertical="center"/>
    </xf>
    <xf numFmtId="0" fontId="6" fillId="2" borderId="1" xfId="0" applyFont="1" applyFill="1" applyBorder="1" applyAlignment="1">
      <alignment horizontal="center" vertical="center"/>
    </xf>
    <xf numFmtId="49" fontId="11" fillId="0" borderId="1" xfId="0" applyNumberFormat="1" applyFont="1" applyFill="1" applyBorder="1" applyAlignment="1">
      <alignment horizontal="left" vertical="center"/>
    </xf>
    <xf numFmtId="0" fontId="11" fillId="0" borderId="1" xfId="0" applyFont="1" applyFill="1" applyBorder="1" applyAlignment="1">
      <alignment horizontal="left" vertical="center"/>
    </xf>
    <xf numFmtId="0" fontId="7" fillId="0" borderId="3" xfId="0" applyFont="1" applyFill="1" applyBorder="1" applyAlignment="1" applyProtection="1">
      <alignment horizontal="center" vertical="center"/>
    </xf>
    <xf numFmtId="0" fontId="7" fillId="0" borderId="7" xfId="0" applyFont="1" applyFill="1" applyBorder="1" applyAlignment="1" applyProtection="1">
      <alignment horizontal="center" vertical="center"/>
    </xf>
    <xf numFmtId="0" fontId="7" fillId="0" borderId="4" xfId="0" applyFont="1" applyFill="1" applyBorder="1" applyAlignment="1" applyProtection="1">
      <alignment horizontal="center" vertical="center"/>
    </xf>
    <xf numFmtId="0" fontId="9" fillId="0" borderId="1" xfId="0" applyFont="1" applyFill="1" applyBorder="1" applyAlignment="1">
      <alignment horizontal="left" vertical="center" wrapText="1"/>
    </xf>
    <xf numFmtId="49" fontId="11" fillId="0" borderId="1" xfId="0" applyNumberFormat="1" applyFont="1" applyFill="1" applyBorder="1" applyAlignment="1">
      <alignment vertical="center"/>
    </xf>
    <xf numFmtId="0" fontId="6" fillId="0" borderId="1" xfId="0" applyFont="1" applyFill="1" applyBorder="1" applyAlignment="1">
      <alignment horizontal="left" vertical="center" wrapText="1"/>
    </xf>
    <xf numFmtId="0" fontId="10" fillId="0" borderId="0" xfId="0" applyFont="1" applyFill="1" applyAlignment="1">
      <alignment vertical="center"/>
    </xf>
    <xf numFmtId="0" fontId="10" fillId="0" borderId="1" xfId="0" applyFont="1" applyFill="1" applyBorder="1" applyAlignment="1">
      <alignment horizontal="center" vertical="center"/>
    </xf>
    <xf numFmtId="0" fontId="10" fillId="0" borderId="1" xfId="0" applyNumberFormat="1" applyFont="1" applyFill="1" applyBorder="1" applyAlignment="1" applyProtection="1">
      <alignment vertical="center"/>
      <protection locked="0"/>
    </xf>
    <xf numFmtId="0" fontId="6" fillId="0" borderId="1" xfId="0" applyNumberFormat="1" applyFont="1" applyFill="1" applyBorder="1" applyAlignment="1" applyProtection="1">
      <alignment horizontal="center" vertical="center"/>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5">
    <dxf>
      <fill>
        <patternFill patternType="solid">
          <bgColor rgb="FFDAED05"/>
        </patternFill>
      </fill>
    </dxf>
    <dxf>
      <fill>
        <patternFill patternType="solid">
          <bgColor rgb="FFF0B928"/>
        </patternFill>
      </fill>
    </dxf>
    <dxf>
      <fill>
        <patternFill patternType="solid">
          <bgColor rgb="FFFF8810"/>
        </patternFill>
      </fill>
    </dxf>
    <dxf>
      <font>
        <color theme="1"/>
      </font>
      <fill>
        <patternFill patternType="solid">
          <bgColor theme="5" tint="0.6"/>
        </patternFill>
      </fill>
    </dxf>
    <dxf>
      <font>
        <color theme="1"/>
      </font>
      <fill>
        <patternFill patternType="solid">
          <bgColor theme="4" tint="0.6"/>
        </patternFill>
      </fill>
    </dxf>
    <dxf>
      <fill>
        <patternFill patternType="solid">
          <bgColor rgb="FF88DB29"/>
        </patternFill>
      </fill>
    </dxf>
    <dxf>
      <fill>
        <patternFill patternType="solid">
          <bgColor rgb="FF17C913"/>
        </patternFill>
      </fill>
    </dxf>
    <dxf>
      <fill>
        <patternFill patternType="solid">
          <bgColor theme="0" tint="-0.15"/>
        </patternFill>
      </fill>
    </dxf>
    <dxf>
      <fill>
        <patternFill patternType="solid">
          <bgColor theme="7" tint="0.6"/>
        </patternFill>
      </fill>
    </dxf>
    <dxf>
      <fill>
        <patternFill patternType="solid">
          <bgColor theme="7" tint="0.4"/>
        </patternFill>
      </fill>
    </dxf>
    <dxf>
      <fill>
        <patternFill patternType="solid">
          <bgColor theme="8" tint="0.6"/>
        </patternFill>
      </fill>
    </dxf>
    <dxf>
      <font>
        <b val="0"/>
        <i val="0"/>
      </font>
      <fill>
        <patternFill patternType="solid">
          <bgColor theme="8" tint="0.4"/>
        </patternFill>
      </fill>
    </dxf>
    <dxf>
      <fill>
        <patternFill patternType="solid">
          <bgColor theme="9" tint="0.6"/>
        </patternFill>
      </fill>
    </dxf>
    <dxf>
      <fill>
        <patternFill patternType="solid">
          <bgColor theme="9" tint="0.4"/>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295"/>
  <sheetViews>
    <sheetView zoomScale="85" zoomScaleNormal="85" topLeftCell="A138" workbookViewId="0">
      <selection activeCell="P171" sqref="P171"/>
    </sheetView>
  </sheetViews>
  <sheetFormatPr defaultColWidth="8.73148148148148" defaultRowHeight="14.4"/>
  <cols>
    <col min="1" max="1" width="5.22222222222222" style="3" customWidth="1"/>
    <col min="2" max="2" width="8.66666666666667" style="3" customWidth="1"/>
    <col min="3" max="3" width="13" style="3" customWidth="1"/>
    <col min="4" max="4" width="5.22222222222222" style="3" customWidth="1"/>
    <col min="5" max="5" width="5.66666666666667" style="3" customWidth="1"/>
    <col min="6" max="6" width="23.1111111111111" style="3" customWidth="1"/>
    <col min="7" max="7" width="12.0185185185185" style="3" customWidth="1"/>
    <col min="8" max="9" width="8.66666666666667" style="3" customWidth="1"/>
    <col min="10" max="10" width="9.22222222222222" style="3" customWidth="1"/>
    <col min="11" max="11" width="27.4444444444444" style="3" customWidth="1"/>
    <col min="12" max="12" width="21.4444444444444" style="3" customWidth="1"/>
    <col min="13" max="14" width="9.66666666666667" style="3" customWidth="1"/>
    <col min="15" max="15" width="31.6666666666667" style="3" customWidth="1"/>
    <col min="16" max="16" width="43.7962962962963" style="3" customWidth="1"/>
    <col min="17" max="17" width="15.0277777777778" style="9" customWidth="1"/>
    <col min="18" max="18" width="16.3425925925926" style="34" customWidth="1"/>
    <col min="19" max="16384" width="8.73148148148148" style="3"/>
  </cols>
  <sheetData>
    <row r="1" spans="1:18">
      <c r="A1" s="11" t="s">
        <v>0</v>
      </c>
      <c r="B1" s="11"/>
      <c r="C1" s="11"/>
      <c r="D1" s="11" t="s">
        <v>1</v>
      </c>
      <c r="E1" s="11"/>
      <c r="F1" s="12"/>
      <c r="G1" s="11"/>
      <c r="H1" s="11"/>
      <c r="I1" s="11"/>
      <c r="J1" s="11"/>
      <c r="K1" s="11"/>
      <c r="L1" s="11"/>
      <c r="M1" s="11"/>
      <c r="N1" s="11"/>
      <c r="O1" s="12"/>
      <c r="P1" s="11"/>
      <c r="Q1" s="28"/>
      <c r="R1" s="11"/>
    </row>
    <row r="2" spans="1:18">
      <c r="A2" s="11"/>
      <c r="B2" s="11"/>
      <c r="C2" s="11"/>
      <c r="D2" s="11"/>
      <c r="E2" s="11"/>
      <c r="F2" s="12"/>
      <c r="G2" s="11"/>
      <c r="H2" s="11"/>
      <c r="I2" s="11"/>
      <c r="J2" s="11"/>
      <c r="K2" s="11"/>
      <c r="L2" s="11"/>
      <c r="M2" s="11"/>
      <c r="N2" s="11"/>
      <c r="O2" s="12"/>
      <c r="P2" s="11"/>
      <c r="Q2" s="28"/>
      <c r="R2" s="11"/>
    </row>
    <row r="3" spans="1:18">
      <c r="A3" s="13" t="s">
        <v>2</v>
      </c>
      <c r="B3" s="13" t="s">
        <v>3</v>
      </c>
      <c r="C3" s="13" t="s">
        <v>4</v>
      </c>
      <c r="D3" s="11" t="s">
        <v>5</v>
      </c>
      <c r="E3" s="14" t="s">
        <v>6</v>
      </c>
      <c r="F3" s="15" t="s">
        <v>3</v>
      </c>
      <c r="G3" s="14" t="s">
        <v>7</v>
      </c>
      <c r="H3" s="16" t="s">
        <v>8</v>
      </c>
      <c r="I3" s="16" t="s">
        <v>9</v>
      </c>
      <c r="J3" s="38" t="s">
        <v>10</v>
      </c>
      <c r="K3" s="39"/>
      <c r="L3" s="39"/>
      <c r="M3" s="40"/>
      <c r="N3" s="14" t="s">
        <v>11</v>
      </c>
      <c r="O3" s="14" t="s">
        <v>12</v>
      </c>
      <c r="P3" s="14" t="s">
        <v>13</v>
      </c>
      <c r="Q3" s="28"/>
      <c r="R3" s="14"/>
    </row>
    <row r="4" spans="1:18">
      <c r="A4" s="13"/>
      <c r="B4" s="13"/>
      <c r="C4" s="13"/>
      <c r="D4" s="11"/>
      <c r="E4" s="11"/>
      <c r="F4" s="12"/>
      <c r="G4" s="11"/>
      <c r="H4" s="11"/>
      <c r="I4" s="11"/>
      <c r="J4" s="11" t="s">
        <v>14</v>
      </c>
      <c r="K4" s="11" t="s">
        <v>15</v>
      </c>
      <c r="L4" s="11" t="s">
        <v>16</v>
      </c>
      <c r="M4" s="14" t="s">
        <v>17</v>
      </c>
      <c r="N4" s="11"/>
      <c r="O4" s="11"/>
      <c r="P4" s="11"/>
      <c r="Q4" s="28"/>
      <c r="R4" s="11"/>
    </row>
    <row r="5" spans="1:18">
      <c r="A5" s="32">
        <v>1</v>
      </c>
      <c r="B5" s="32" t="s">
        <v>18</v>
      </c>
      <c r="C5" s="32" t="s">
        <v>19</v>
      </c>
      <c r="D5" s="35">
        <v>0</v>
      </c>
      <c r="E5" s="18" t="s">
        <v>20</v>
      </c>
      <c r="F5" s="36" t="s">
        <v>21</v>
      </c>
      <c r="G5" s="20" t="s">
        <v>22</v>
      </c>
      <c r="H5" s="20" t="s">
        <v>23</v>
      </c>
      <c r="I5" s="20" t="s">
        <v>24</v>
      </c>
      <c r="J5" s="10" t="s">
        <v>25</v>
      </c>
      <c r="K5" s="10" t="s">
        <v>26</v>
      </c>
      <c r="L5" s="10" t="s">
        <v>27</v>
      </c>
      <c r="M5" s="18" t="s">
        <v>28</v>
      </c>
      <c r="N5" s="10"/>
      <c r="O5" s="21" t="s">
        <v>19</v>
      </c>
      <c r="P5" s="19"/>
      <c r="Q5" s="29">
        <f>IF(OR(F5="",LEFT(TRIM(F5),3)=E5),1,0)</f>
        <v>1</v>
      </c>
      <c r="R5" s="18" t="str">
        <f>"P"&amp;TEXT(ROUND(D5/256,0),"00")&amp;"."&amp;TEXT(MOD(D5,256),"000")</f>
        <v>P00.000</v>
      </c>
    </row>
    <row r="6" spans="1:18">
      <c r="A6" s="17"/>
      <c r="B6" s="17"/>
      <c r="C6" s="17"/>
      <c r="D6" s="10">
        <f>INDEX(D:D,ROW()-1)+_xlfn.IFS(INDEX(E:E,ROW()-1)="s16",1,INDEX(E:E,ROW()-1)="s32",2,INDEX(E:E,ROW()-1)="s64",4,INDEX(E:E,ROW()-1)="u16",1,INDEX(E:E,ROW()-1)="u32",2,INDEX(E:E,ROW()-1)="u64",4,INDEX(E:E,ROW()-1)="f32",2,INDEX(E:E,ROW()-1)="f64",4)</f>
        <v>2</v>
      </c>
      <c r="E6" s="18" t="s">
        <v>20</v>
      </c>
      <c r="F6" s="36" t="s">
        <v>29</v>
      </c>
      <c r="G6" s="20" t="s">
        <v>23</v>
      </c>
      <c r="H6" s="20" t="s">
        <v>23</v>
      </c>
      <c r="I6" s="20" t="s">
        <v>24</v>
      </c>
      <c r="J6" s="10" t="s">
        <v>25</v>
      </c>
      <c r="K6" s="10" t="s">
        <v>26</v>
      </c>
      <c r="L6" s="10" t="s">
        <v>30</v>
      </c>
      <c r="M6" s="18" t="s">
        <v>28</v>
      </c>
      <c r="N6" s="10"/>
      <c r="O6" s="21" t="s">
        <v>31</v>
      </c>
      <c r="P6" s="19"/>
      <c r="Q6" s="29">
        <f>IF(OR(F6="",LEFT(TRIM(F6),3)=E6),1,0)</f>
        <v>1</v>
      </c>
      <c r="R6" s="18" t="str">
        <f t="shared" ref="R6:R69" si="0">"P"&amp;TEXT(ROUND(D6/256,0),"00")&amp;"."&amp;TEXT(MOD(D6,256),"000")</f>
        <v>P00.002</v>
      </c>
    </row>
    <row r="7" spans="1:18">
      <c r="A7" s="17"/>
      <c r="B7" s="17"/>
      <c r="C7" s="17"/>
      <c r="D7" s="10">
        <f>INDEX(D:D,ROW()-1)+_xlfn.IFS(INDEX(E:E,ROW()-1)="s16",1,INDEX(E:E,ROW()-1)="s32",2,INDEX(E:E,ROW()-1)="s64",4,INDEX(E:E,ROW()-1)="u16",1,INDEX(E:E,ROW()-1)="u32",2,INDEX(E:E,ROW()-1)="u64",4,INDEX(E:E,ROW()-1)="f32",2,INDEX(E:E,ROW()-1)="f64",4)</f>
        <v>4</v>
      </c>
      <c r="E7" s="18" t="s">
        <v>20</v>
      </c>
      <c r="F7" s="36" t="s">
        <v>32</v>
      </c>
      <c r="G7" s="20" t="s">
        <v>23</v>
      </c>
      <c r="H7" s="20" t="s">
        <v>23</v>
      </c>
      <c r="I7" s="20" t="s">
        <v>24</v>
      </c>
      <c r="J7" s="10" t="s">
        <v>25</v>
      </c>
      <c r="K7" s="10" t="s">
        <v>26</v>
      </c>
      <c r="L7" s="10" t="s">
        <v>30</v>
      </c>
      <c r="M7" s="18" t="s">
        <v>28</v>
      </c>
      <c r="N7" s="10"/>
      <c r="O7" s="21" t="s">
        <v>33</v>
      </c>
      <c r="P7" s="19"/>
      <c r="Q7" s="29">
        <f>IF(OR(F7="",LEFT(TRIM(F7),3)=E7),1,0)</f>
        <v>1</v>
      </c>
      <c r="R7" s="18" t="str">
        <f t="shared" si="0"/>
        <v>P00.004</v>
      </c>
    </row>
    <row r="8" spans="1:18">
      <c r="A8" s="17"/>
      <c r="B8" s="17"/>
      <c r="C8" s="17"/>
      <c r="D8" s="10">
        <f>INDEX(D:D,ROW()-1)+_xlfn.IFS(INDEX(E:E,ROW()-1)="s16",1,INDEX(E:E,ROW()-1)="s32",2,INDEX(E:E,ROW()-1)="s64",4,INDEX(E:E,ROW()-1)="u16",1,INDEX(E:E,ROW()-1)="u32",2,INDEX(E:E,ROW()-1)="u64",4,INDEX(E:E,ROW()-1)="f32",2,INDEX(E:E,ROW()-1)="f64",4)</f>
        <v>6</v>
      </c>
      <c r="E8" s="18" t="s">
        <v>34</v>
      </c>
      <c r="F8" s="37"/>
      <c r="G8" s="20" t="s">
        <v>23</v>
      </c>
      <c r="H8" s="20" t="s">
        <v>23</v>
      </c>
      <c r="I8" s="20" t="s">
        <v>35</v>
      </c>
      <c r="J8" s="10" t="s">
        <v>25</v>
      </c>
      <c r="K8" s="10" t="s">
        <v>26</v>
      </c>
      <c r="L8" s="10" t="s">
        <v>30</v>
      </c>
      <c r="M8" s="18" t="s">
        <v>28</v>
      </c>
      <c r="N8" s="10"/>
      <c r="O8" s="19"/>
      <c r="P8" s="19"/>
      <c r="Q8" s="29">
        <f>IF(OR(F8="",LEFT(TRIM(F8),3)=E8),1,0)</f>
        <v>1</v>
      </c>
      <c r="R8" s="10" t="str">
        <f t="shared" si="0"/>
        <v>P00.006</v>
      </c>
    </row>
    <row r="9" spans="1:18">
      <c r="A9" s="17"/>
      <c r="B9" s="17"/>
      <c r="C9" s="17"/>
      <c r="D9" s="10">
        <f>INDEX(D:D,ROW()-1)+_xlfn.IFS(INDEX(E:E,ROW()-1)="s16",1,INDEX(E:E,ROW()-1)="s32",2,INDEX(E:E,ROW()-1)="s64",4,INDEX(E:E,ROW()-1)="u16",1,INDEX(E:E,ROW()-1)="u32",2,INDEX(E:E,ROW()-1)="u64",4,INDEX(E:E,ROW()-1)="f32",2,INDEX(E:E,ROW()-1)="f64",4)</f>
        <v>7</v>
      </c>
      <c r="E9" s="18" t="s">
        <v>34</v>
      </c>
      <c r="F9" s="21" t="s">
        <v>36</v>
      </c>
      <c r="G9" s="20" t="s">
        <v>23</v>
      </c>
      <c r="H9" s="20" t="s">
        <v>23</v>
      </c>
      <c r="I9" s="20" t="s">
        <v>35</v>
      </c>
      <c r="J9" s="10" t="s">
        <v>25</v>
      </c>
      <c r="K9" s="10" t="s">
        <v>26</v>
      </c>
      <c r="L9" s="10" t="s">
        <v>30</v>
      </c>
      <c r="M9" s="18" t="s">
        <v>28</v>
      </c>
      <c r="N9" s="21"/>
      <c r="O9" s="21" t="s">
        <v>37</v>
      </c>
      <c r="P9" s="19"/>
      <c r="Q9" s="29">
        <f t="shared" ref="Q9:Q72" si="1">IF(OR(F9="",LEFT(TRIM(F9),3)=E9),1,0)</f>
        <v>1</v>
      </c>
      <c r="R9" s="10" t="str">
        <f t="shared" si="0"/>
        <v>P00.007</v>
      </c>
    </row>
    <row r="10" spans="1:18">
      <c r="A10" s="17"/>
      <c r="B10" s="17"/>
      <c r="C10" s="17"/>
      <c r="D10" s="10">
        <f>INDEX(D:D,ROW()-1)+_xlfn.IFS(INDEX(E:E,ROW()-1)="s16",1,INDEX(E:E,ROW()-1)="s32",2,INDEX(E:E,ROW()-1)="s64",4,INDEX(E:E,ROW()-1)="u16",1,INDEX(E:E,ROW()-1)="u32",2,INDEX(E:E,ROW()-1)="u64",4,INDEX(E:E,ROW()-1)="f32",2,INDEX(E:E,ROW()-1)="f64",4)</f>
        <v>8</v>
      </c>
      <c r="E10" s="18" t="s">
        <v>34</v>
      </c>
      <c r="F10" s="37"/>
      <c r="G10" s="20" t="s">
        <v>23</v>
      </c>
      <c r="H10" s="20" t="s">
        <v>23</v>
      </c>
      <c r="I10" s="20" t="s">
        <v>35</v>
      </c>
      <c r="J10" s="10" t="s">
        <v>25</v>
      </c>
      <c r="K10" s="10" t="s">
        <v>26</v>
      </c>
      <c r="L10" s="10" t="s">
        <v>30</v>
      </c>
      <c r="M10" s="18" t="s">
        <v>28</v>
      </c>
      <c r="N10" s="10"/>
      <c r="O10" s="19"/>
      <c r="P10" s="19"/>
      <c r="Q10" s="29">
        <f t="shared" si="1"/>
        <v>1</v>
      </c>
      <c r="R10" s="10" t="str">
        <f t="shared" si="0"/>
        <v>P00.008</v>
      </c>
    </row>
    <row r="11" spans="1:18">
      <c r="A11" s="17"/>
      <c r="B11" s="17"/>
      <c r="C11" s="17"/>
      <c r="D11" s="10">
        <f>INDEX(D:D,ROW()-1)+_xlfn.IFS(INDEX(E:E,ROW()-1)="s16",1,INDEX(E:E,ROW()-1)="s32",2,INDEX(E:E,ROW()-1)="s64",4,INDEX(E:E,ROW()-1)="u16",1,INDEX(E:E,ROW()-1)="u32",2,INDEX(E:E,ROW()-1)="u64",4,INDEX(E:E,ROW()-1)="f32",2,INDEX(E:E,ROW()-1)="f64",4)</f>
        <v>9</v>
      </c>
      <c r="E11" s="18" t="s">
        <v>34</v>
      </c>
      <c r="F11" s="36" t="s">
        <v>38</v>
      </c>
      <c r="G11" s="20" t="s">
        <v>39</v>
      </c>
      <c r="H11" s="20" t="s">
        <v>23</v>
      </c>
      <c r="I11" s="20" t="s">
        <v>35</v>
      </c>
      <c r="J11" s="10" t="s">
        <v>25</v>
      </c>
      <c r="K11" s="10" t="s">
        <v>26</v>
      </c>
      <c r="L11" s="10" t="s">
        <v>30</v>
      </c>
      <c r="M11" s="18" t="s">
        <v>28</v>
      </c>
      <c r="N11" s="10"/>
      <c r="O11" s="21" t="s">
        <v>40</v>
      </c>
      <c r="P11" s="19"/>
      <c r="Q11" s="29">
        <f t="shared" si="1"/>
        <v>1</v>
      </c>
      <c r="R11" s="18" t="str">
        <f t="shared" si="0"/>
        <v>P00.009</v>
      </c>
    </row>
    <row r="12" spans="1:18">
      <c r="A12" s="17"/>
      <c r="B12" s="17"/>
      <c r="C12" s="17"/>
      <c r="D12" s="10">
        <f>INDEX(D:D,ROW()-1)+_xlfn.IFS(INDEX(E:E,ROW()-1)="s16",1,INDEX(E:E,ROW()-1)="s32",2,INDEX(E:E,ROW()-1)="s64",4,INDEX(E:E,ROW()-1)="u16",1,INDEX(E:E,ROW()-1)="u32",2,INDEX(E:E,ROW()-1)="u64",4,INDEX(E:E,ROW()-1)="f32",2,INDEX(E:E,ROW()-1)="f64",4)</f>
        <v>10</v>
      </c>
      <c r="E12" s="18" t="s">
        <v>34</v>
      </c>
      <c r="F12" s="36" t="s">
        <v>41</v>
      </c>
      <c r="G12" s="20" t="s">
        <v>42</v>
      </c>
      <c r="H12" s="20" t="s">
        <v>23</v>
      </c>
      <c r="I12" s="20" t="s">
        <v>35</v>
      </c>
      <c r="J12" s="10" t="s">
        <v>25</v>
      </c>
      <c r="K12" s="10" t="s">
        <v>26</v>
      </c>
      <c r="L12" s="10" t="s">
        <v>30</v>
      </c>
      <c r="M12" s="18" t="s">
        <v>28</v>
      </c>
      <c r="N12" s="10"/>
      <c r="O12" s="21" t="s">
        <v>43</v>
      </c>
      <c r="P12" s="19"/>
      <c r="Q12" s="29">
        <f t="shared" si="1"/>
        <v>1</v>
      </c>
      <c r="R12" s="18" t="str">
        <f t="shared" si="0"/>
        <v>P00.010</v>
      </c>
    </row>
    <row r="13" spans="1:18">
      <c r="A13" s="17"/>
      <c r="B13" s="17"/>
      <c r="C13" s="17"/>
      <c r="D13" s="10">
        <f>INDEX(D:D,ROW()-1)+_xlfn.IFS(INDEX(E:E,ROW()-1)="s16",1,INDEX(E:E,ROW()-1)="s32",2,INDEX(E:E,ROW()-1)="s64",4,INDEX(E:E,ROW()-1)="u16",1,INDEX(E:E,ROW()-1)="u32",2,INDEX(E:E,ROW()-1)="u64",4,INDEX(E:E,ROW()-1)="f32",2,INDEX(E:E,ROW()-1)="f64",4)</f>
        <v>11</v>
      </c>
      <c r="E13" s="18" t="s">
        <v>34</v>
      </c>
      <c r="F13" s="36" t="s">
        <v>44</v>
      </c>
      <c r="G13" s="20" t="s">
        <v>45</v>
      </c>
      <c r="H13" s="20" t="s">
        <v>23</v>
      </c>
      <c r="I13" s="20" t="s">
        <v>35</v>
      </c>
      <c r="J13" s="10" t="s">
        <v>25</v>
      </c>
      <c r="K13" s="10" t="s">
        <v>26</v>
      </c>
      <c r="L13" s="10" t="s">
        <v>30</v>
      </c>
      <c r="M13" s="18" t="s">
        <v>28</v>
      </c>
      <c r="N13" s="10"/>
      <c r="O13" s="21" t="s">
        <v>46</v>
      </c>
      <c r="P13" s="19"/>
      <c r="Q13" s="29">
        <f t="shared" si="1"/>
        <v>1</v>
      </c>
      <c r="R13" s="18" t="str">
        <f t="shared" si="0"/>
        <v>P00.011</v>
      </c>
    </row>
    <row r="14" spans="1:18">
      <c r="A14" s="17"/>
      <c r="B14" s="17"/>
      <c r="C14" s="17"/>
      <c r="D14" s="10">
        <f>INDEX(D:D,ROW()-1)+_xlfn.IFS(INDEX(E:E,ROW()-1)="s16",1,INDEX(E:E,ROW()-1)="s32",2,INDEX(E:E,ROW()-1)="s64",4,INDEX(E:E,ROW()-1)="u16",1,INDEX(E:E,ROW()-1)="u32",2,INDEX(E:E,ROW()-1)="u64",4,INDEX(E:E,ROW()-1)="f32",2,INDEX(E:E,ROW()-1)="f64",4)</f>
        <v>12</v>
      </c>
      <c r="E14" s="18" t="s">
        <v>34</v>
      </c>
      <c r="F14" s="36" t="s">
        <v>47</v>
      </c>
      <c r="G14" s="20" t="s">
        <v>42</v>
      </c>
      <c r="H14" s="20" t="s">
        <v>23</v>
      </c>
      <c r="I14" s="20" t="s">
        <v>35</v>
      </c>
      <c r="J14" s="10" t="s">
        <v>25</v>
      </c>
      <c r="K14" s="10" t="s">
        <v>26</v>
      </c>
      <c r="L14" s="10" t="s">
        <v>30</v>
      </c>
      <c r="M14" s="18" t="s">
        <v>28</v>
      </c>
      <c r="N14" s="10"/>
      <c r="O14" s="21" t="s">
        <v>48</v>
      </c>
      <c r="P14" s="19"/>
      <c r="Q14" s="29">
        <f t="shared" si="1"/>
        <v>1</v>
      </c>
      <c r="R14" s="18" t="str">
        <f t="shared" si="0"/>
        <v>P00.012</v>
      </c>
    </row>
    <row r="15" spans="1:18">
      <c r="A15" s="17"/>
      <c r="B15" s="17"/>
      <c r="C15" s="17"/>
      <c r="D15" s="10">
        <f>INDEX(D:D,ROW()-1)+_xlfn.IFS(INDEX(E:E,ROW()-1)="s16",1,INDEX(E:E,ROW()-1)="s32",2,INDEX(E:E,ROW()-1)="s64",4,INDEX(E:E,ROW()-1)="u16",1,INDEX(E:E,ROW()-1)="u32",2,INDEX(E:E,ROW()-1)="u64",4,INDEX(E:E,ROW()-1)="f32",2,INDEX(E:E,ROW()-1)="f64",4)</f>
        <v>13</v>
      </c>
      <c r="E15" s="18" t="s">
        <v>34</v>
      </c>
      <c r="F15" s="36" t="s">
        <v>49</v>
      </c>
      <c r="G15" s="20" t="s">
        <v>23</v>
      </c>
      <c r="H15" s="20" t="s">
        <v>23</v>
      </c>
      <c r="I15" s="20" t="s">
        <v>35</v>
      </c>
      <c r="J15" s="10" t="s">
        <v>25</v>
      </c>
      <c r="K15" s="10" t="s">
        <v>26</v>
      </c>
      <c r="L15" s="10" t="s">
        <v>30</v>
      </c>
      <c r="M15" s="18" t="s">
        <v>28</v>
      </c>
      <c r="N15" s="10"/>
      <c r="O15" s="21" t="s">
        <v>50</v>
      </c>
      <c r="P15" s="19"/>
      <c r="Q15" s="29">
        <f t="shared" si="1"/>
        <v>1</v>
      </c>
      <c r="R15" s="18" t="str">
        <f t="shared" si="0"/>
        <v>P00.013</v>
      </c>
    </row>
    <row r="16" spans="1:18">
      <c r="A16" s="17"/>
      <c r="B16" s="17"/>
      <c r="C16" s="17"/>
      <c r="D16" s="10">
        <f>INDEX(D:D,ROW()-1)+_xlfn.IFS(INDEX(E:E,ROW()-1)="s16",1,INDEX(E:E,ROW()-1)="s32",2,INDEX(E:E,ROW()-1)="s64",4,INDEX(E:E,ROW()-1)="u16",1,INDEX(E:E,ROW()-1)="u32",2,INDEX(E:E,ROW()-1)="u64",4,INDEX(E:E,ROW()-1)="f32",2,INDEX(E:E,ROW()-1)="f64",4)</f>
        <v>14</v>
      </c>
      <c r="E16" s="18" t="s">
        <v>34</v>
      </c>
      <c r="F16" s="36" t="s">
        <v>51</v>
      </c>
      <c r="G16" s="20" t="s">
        <v>23</v>
      </c>
      <c r="H16" s="20" t="s">
        <v>23</v>
      </c>
      <c r="I16" s="20" t="s">
        <v>35</v>
      </c>
      <c r="J16" s="10" t="s">
        <v>25</v>
      </c>
      <c r="K16" s="10" t="s">
        <v>26</v>
      </c>
      <c r="L16" s="10" t="s">
        <v>30</v>
      </c>
      <c r="M16" s="18" t="s">
        <v>28</v>
      </c>
      <c r="N16" s="10"/>
      <c r="O16" s="21" t="s">
        <v>52</v>
      </c>
      <c r="P16" s="19"/>
      <c r="Q16" s="29">
        <f t="shared" si="1"/>
        <v>1</v>
      </c>
      <c r="R16" s="18" t="str">
        <f t="shared" si="0"/>
        <v>P00.014</v>
      </c>
    </row>
    <row r="17" spans="1:18">
      <c r="A17" s="17"/>
      <c r="B17" s="17"/>
      <c r="C17" s="17"/>
      <c r="D17" s="10">
        <f>INDEX(D:D,ROW()-1)+_xlfn.IFS(INDEX(E:E,ROW()-1)="s16",1,INDEX(E:E,ROW()-1)="s32",2,INDEX(E:E,ROW()-1)="s64",4,INDEX(E:E,ROW()-1)="u16",1,INDEX(E:E,ROW()-1)="u32",2,INDEX(E:E,ROW()-1)="u64",4,INDEX(E:E,ROW()-1)="f32",2,INDEX(E:E,ROW()-1)="f64",4)</f>
        <v>15</v>
      </c>
      <c r="E17" s="18" t="s">
        <v>34</v>
      </c>
      <c r="F17" s="36" t="s">
        <v>53</v>
      </c>
      <c r="G17" s="20" t="s">
        <v>23</v>
      </c>
      <c r="H17" s="20" t="s">
        <v>23</v>
      </c>
      <c r="I17" s="20" t="s">
        <v>35</v>
      </c>
      <c r="J17" s="10" t="s">
        <v>25</v>
      </c>
      <c r="K17" s="10" t="s">
        <v>26</v>
      </c>
      <c r="L17" s="10" t="s">
        <v>30</v>
      </c>
      <c r="M17" s="18" t="s">
        <v>28</v>
      </c>
      <c r="N17" s="10"/>
      <c r="O17" s="21" t="s">
        <v>54</v>
      </c>
      <c r="P17" s="19"/>
      <c r="Q17" s="29">
        <f t="shared" si="1"/>
        <v>1</v>
      </c>
      <c r="R17" s="18" t="str">
        <f t="shared" si="0"/>
        <v>P00.015</v>
      </c>
    </row>
    <row r="18" spans="1:18">
      <c r="A18" s="17"/>
      <c r="B18" s="17"/>
      <c r="C18" s="17"/>
      <c r="D18" s="10">
        <f>INDEX(D:D,ROW()-1)+_xlfn.IFS(INDEX(E:E,ROW()-1)="s16",1,INDEX(E:E,ROW()-1)="s32",2,INDEX(E:E,ROW()-1)="s64",4,INDEX(E:E,ROW()-1)="u16",1,INDEX(E:E,ROW()-1)="u32",2,INDEX(E:E,ROW()-1)="u64",4,INDEX(E:E,ROW()-1)="f32",2,INDEX(E:E,ROW()-1)="f64",4)</f>
        <v>16</v>
      </c>
      <c r="E18" s="18" t="s">
        <v>34</v>
      </c>
      <c r="F18" s="36" t="s">
        <v>55</v>
      </c>
      <c r="G18" s="20" t="s">
        <v>42</v>
      </c>
      <c r="H18" s="20" t="s">
        <v>23</v>
      </c>
      <c r="I18" s="20" t="s">
        <v>35</v>
      </c>
      <c r="J18" s="10" t="s">
        <v>25</v>
      </c>
      <c r="K18" s="10" t="s">
        <v>26</v>
      </c>
      <c r="L18" s="10" t="s">
        <v>30</v>
      </c>
      <c r="M18" s="18" t="s">
        <v>28</v>
      </c>
      <c r="N18" s="10"/>
      <c r="O18" s="21" t="s">
        <v>56</v>
      </c>
      <c r="P18" s="19"/>
      <c r="Q18" s="29">
        <f t="shared" si="1"/>
        <v>1</v>
      </c>
      <c r="R18" s="18" t="str">
        <f t="shared" si="0"/>
        <v>P00.016</v>
      </c>
    </row>
    <row r="19" spans="1:18">
      <c r="A19" s="17"/>
      <c r="B19" s="17"/>
      <c r="C19" s="17"/>
      <c r="D19" s="10">
        <f>INDEX(D:D,ROW()-1)+_xlfn.IFS(INDEX(E:E,ROW()-1)="s16",1,INDEX(E:E,ROW()-1)="s32",2,INDEX(E:E,ROW()-1)="s64",4,INDEX(E:E,ROW()-1)="u16",1,INDEX(E:E,ROW()-1)="u32",2,INDEX(E:E,ROW()-1)="u64",4,INDEX(E:E,ROW()-1)="f32",2,INDEX(E:E,ROW()-1)="f64",4)</f>
        <v>17</v>
      </c>
      <c r="E19" s="18" t="s">
        <v>34</v>
      </c>
      <c r="F19" s="36" t="s">
        <v>57</v>
      </c>
      <c r="G19" s="20" t="s">
        <v>23</v>
      </c>
      <c r="H19" s="20" t="s">
        <v>23</v>
      </c>
      <c r="I19" s="20" t="s">
        <v>35</v>
      </c>
      <c r="J19" s="10" t="s">
        <v>25</v>
      </c>
      <c r="K19" s="10" t="s">
        <v>26</v>
      </c>
      <c r="L19" s="10" t="s">
        <v>30</v>
      </c>
      <c r="M19" s="18" t="s">
        <v>28</v>
      </c>
      <c r="N19" s="10"/>
      <c r="O19" s="21" t="s">
        <v>58</v>
      </c>
      <c r="P19" s="19"/>
      <c r="Q19" s="29">
        <f t="shared" si="1"/>
        <v>1</v>
      </c>
      <c r="R19" s="18" t="str">
        <f t="shared" si="0"/>
        <v>P00.017</v>
      </c>
    </row>
    <row r="20" spans="1:18">
      <c r="A20" s="17"/>
      <c r="B20" s="17"/>
      <c r="C20" s="17"/>
      <c r="D20" s="10">
        <f>INDEX(D:D,ROW()-1)+_xlfn.IFS(INDEX(E:E,ROW()-1)="s16",1,INDEX(E:E,ROW()-1)="s32",2,INDEX(E:E,ROW()-1)="s64",4,INDEX(E:E,ROW()-1)="u16",1,INDEX(E:E,ROW()-1)="u32",2,INDEX(E:E,ROW()-1)="u64",4,INDEX(E:E,ROW()-1)="f32",2,INDEX(E:E,ROW()-1)="f64",4)</f>
        <v>18</v>
      </c>
      <c r="E20" s="18" t="s">
        <v>34</v>
      </c>
      <c r="F20" s="36" t="s">
        <v>59</v>
      </c>
      <c r="G20" s="20" t="s">
        <v>39</v>
      </c>
      <c r="H20" s="20" t="s">
        <v>23</v>
      </c>
      <c r="I20" s="20" t="s">
        <v>35</v>
      </c>
      <c r="J20" s="10" t="s">
        <v>25</v>
      </c>
      <c r="K20" s="10" t="s">
        <v>26</v>
      </c>
      <c r="L20" s="10" t="s">
        <v>30</v>
      </c>
      <c r="M20" s="18" t="s">
        <v>28</v>
      </c>
      <c r="N20" s="10"/>
      <c r="O20" s="21" t="s">
        <v>60</v>
      </c>
      <c r="P20" s="19"/>
      <c r="Q20" s="29">
        <f t="shared" si="1"/>
        <v>1</v>
      </c>
      <c r="R20" s="18" t="str">
        <f t="shared" si="0"/>
        <v>P00.018</v>
      </c>
    </row>
    <row r="21" spans="1:18">
      <c r="A21" s="17"/>
      <c r="B21" s="17"/>
      <c r="C21" s="17"/>
      <c r="D21" s="10">
        <f>INDEX(D:D,ROW()-1)+_xlfn.IFS(INDEX(E:E,ROW()-1)="s16",1,INDEX(E:E,ROW()-1)="s32",2,INDEX(E:E,ROW()-1)="s64",4,INDEX(E:E,ROW()-1)="u16",1,INDEX(E:E,ROW()-1)="u32",2,INDEX(E:E,ROW()-1)="u64",4,INDEX(E:E,ROW()-1)="f32",2,INDEX(E:E,ROW()-1)="f64",4)</f>
        <v>19</v>
      </c>
      <c r="E21" s="18" t="s">
        <v>34</v>
      </c>
      <c r="F21" s="37"/>
      <c r="G21" s="20" t="s">
        <v>23</v>
      </c>
      <c r="H21" s="20" t="s">
        <v>23</v>
      </c>
      <c r="I21" s="20" t="s">
        <v>35</v>
      </c>
      <c r="J21" s="10" t="s">
        <v>25</v>
      </c>
      <c r="K21" s="10" t="s">
        <v>26</v>
      </c>
      <c r="L21" s="10" t="s">
        <v>30</v>
      </c>
      <c r="M21" s="18" t="s">
        <v>28</v>
      </c>
      <c r="N21" s="10"/>
      <c r="O21" s="19"/>
      <c r="P21" s="19"/>
      <c r="Q21" s="29">
        <f t="shared" si="1"/>
        <v>1</v>
      </c>
      <c r="R21" s="10" t="str">
        <f t="shared" si="0"/>
        <v>P00.019</v>
      </c>
    </row>
    <row r="22" spans="1:18">
      <c r="A22" s="17"/>
      <c r="B22" s="17"/>
      <c r="C22" s="17"/>
      <c r="D22" s="10">
        <f>INDEX(D:D,ROW()-1)+_xlfn.IFS(INDEX(E:E,ROW()-1)="s16",1,INDEX(E:E,ROW()-1)="s32",2,INDEX(E:E,ROW()-1)="s64",4,INDEX(E:E,ROW()-1)="u16",1,INDEX(E:E,ROW()-1)="u32",2,INDEX(E:E,ROW()-1)="u64",4,INDEX(E:E,ROW()-1)="f32",2,INDEX(E:E,ROW()-1)="f64",4)</f>
        <v>20</v>
      </c>
      <c r="E22" s="18" t="s">
        <v>34</v>
      </c>
      <c r="F22" s="19"/>
      <c r="G22" s="20" t="s">
        <v>23</v>
      </c>
      <c r="H22" s="20" t="s">
        <v>23</v>
      </c>
      <c r="I22" s="20" t="s">
        <v>35</v>
      </c>
      <c r="J22" s="10" t="s">
        <v>25</v>
      </c>
      <c r="K22" s="10" t="s">
        <v>26</v>
      </c>
      <c r="L22" s="10" t="s">
        <v>30</v>
      </c>
      <c r="M22" s="18" t="s">
        <v>28</v>
      </c>
      <c r="N22" s="10"/>
      <c r="O22" s="19"/>
      <c r="P22" s="19"/>
      <c r="Q22" s="29">
        <f t="shared" si="1"/>
        <v>1</v>
      </c>
      <c r="R22" s="10" t="str">
        <f t="shared" si="0"/>
        <v>P00.020</v>
      </c>
    </row>
    <row r="23" spans="1:18">
      <c r="A23" s="17"/>
      <c r="B23" s="17"/>
      <c r="C23" s="17"/>
      <c r="D23" s="10">
        <f>INDEX(D:D,ROW()-1)+_xlfn.IFS(INDEX(E:E,ROW()-1)="s16",1,INDEX(E:E,ROW()-1)="s32",2,INDEX(E:E,ROW()-1)="s64",4,INDEX(E:E,ROW()-1)="u16",1,INDEX(E:E,ROW()-1)="u32",2,INDEX(E:E,ROW()-1)="u64",4,INDEX(E:E,ROW()-1)="f32",2,INDEX(E:E,ROW()-1)="f64",4)</f>
        <v>21</v>
      </c>
      <c r="E23" s="18" t="s">
        <v>34</v>
      </c>
      <c r="F23" s="21" t="s">
        <v>61</v>
      </c>
      <c r="G23" s="20" t="s">
        <v>23</v>
      </c>
      <c r="H23" s="20" t="s">
        <v>23</v>
      </c>
      <c r="I23" s="20" t="s">
        <v>35</v>
      </c>
      <c r="J23" s="10" t="s">
        <v>25</v>
      </c>
      <c r="K23" s="10" t="s">
        <v>62</v>
      </c>
      <c r="L23" s="10" t="s">
        <v>30</v>
      </c>
      <c r="M23" s="18" t="s">
        <v>28</v>
      </c>
      <c r="N23" s="21"/>
      <c r="O23" s="21" t="s">
        <v>63</v>
      </c>
      <c r="P23" s="19"/>
      <c r="Q23" s="29">
        <f t="shared" si="1"/>
        <v>1</v>
      </c>
      <c r="R23" s="18" t="str">
        <f t="shared" si="0"/>
        <v>P00.021</v>
      </c>
    </row>
    <row r="24" ht="39.6" spans="1:18">
      <c r="A24" s="17"/>
      <c r="B24" s="17"/>
      <c r="C24" s="17"/>
      <c r="D24" s="10">
        <f>INDEX(D:D,ROW()-1)+_xlfn.IFS(INDEX(E:E,ROW()-1)="s16",1,INDEX(E:E,ROW()-1)="s32",2,INDEX(E:E,ROW()-1)="s64",4,INDEX(E:E,ROW()-1)="u16",1,INDEX(E:E,ROW()-1)="u32",2,INDEX(E:E,ROW()-1)="u64",4,INDEX(E:E,ROW()-1)="f32",2,INDEX(E:E,ROW()-1)="f64",4)</f>
        <v>22</v>
      </c>
      <c r="E24" s="18" t="s">
        <v>34</v>
      </c>
      <c r="F24" s="21" t="s">
        <v>64</v>
      </c>
      <c r="G24" s="20" t="s">
        <v>23</v>
      </c>
      <c r="H24" s="20" t="s">
        <v>23</v>
      </c>
      <c r="I24" s="20" t="s">
        <v>42</v>
      </c>
      <c r="J24" s="10" t="s">
        <v>25</v>
      </c>
      <c r="K24" s="10" t="s">
        <v>26</v>
      </c>
      <c r="L24" s="10" t="s">
        <v>30</v>
      </c>
      <c r="M24" s="18" t="s">
        <v>28</v>
      </c>
      <c r="N24" s="21"/>
      <c r="O24" s="21" t="s">
        <v>65</v>
      </c>
      <c r="P24" s="24" t="s">
        <v>66</v>
      </c>
      <c r="Q24" s="29">
        <f t="shared" si="1"/>
        <v>1</v>
      </c>
      <c r="R24" s="18" t="str">
        <f t="shared" si="0"/>
        <v>P00.022</v>
      </c>
    </row>
    <row r="25" spans="1:18">
      <c r="A25" s="17"/>
      <c r="B25" s="17"/>
      <c r="C25" s="17"/>
      <c r="D25" s="10">
        <f>INDEX(D:D,ROW()-1)+_xlfn.IFS(INDEX(E:E,ROW()-1)="s16",1,INDEX(E:E,ROW()-1)="s32",2,INDEX(E:E,ROW()-1)="s64",4,INDEX(E:E,ROW()-1)="u16",1,INDEX(E:E,ROW()-1)="u32",2,INDEX(E:E,ROW()-1)="u64",4,INDEX(E:E,ROW()-1)="f32",2,INDEX(E:E,ROW()-1)="f64",4)</f>
        <v>23</v>
      </c>
      <c r="E25" s="18" t="s">
        <v>34</v>
      </c>
      <c r="F25" s="21" t="s">
        <v>67</v>
      </c>
      <c r="G25" s="20" t="s">
        <v>23</v>
      </c>
      <c r="H25" s="20" t="s">
        <v>23</v>
      </c>
      <c r="I25" s="20" t="s">
        <v>39</v>
      </c>
      <c r="J25" s="10" t="s">
        <v>25</v>
      </c>
      <c r="K25" s="10" t="s">
        <v>68</v>
      </c>
      <c r="L25" s="10" t="s">
        <v>30</v>
      </c>
      <c r="M25" s="18" t="s">
        <v>28</v>
      </c>
      <c r="N25" s="21"/>
      <c r="O25" s="21" t="s">
        <v>69</v>
      </c>
      <c r="P25" s="21" t="s">
        <v>70</v>
      </c>
      <c r="Q25" s="29">
        <f t="shared" si="1"/>
        <v>0</v>
      </c>
      <c r="R25" s="18" t="str">
        <f t="shared" si="0"/>
        <v>P00.023</v>
      </c>
    </row>
    <row r="26" spans="1:18">
      <c r="A26" s="17"/>
      <c r="B26" s="17"/>
      <c r="C26" s="17"/>
      <c r="D26" s="10">
        <f>INDEX(D:D,ROW()-1)+_xlfn.IFS(INDEX(E:E,ROW()-1)="s16",1,INDEX(E:E,ROW()-1)="s32",2,INDEX(E:E,ROW()-1)="s64",4,INDEX(E:E,ROW()-1)="u16",1,INDEX(E:E,ROW()-1)="u32",2,INDEX(E:E,ROW()-1)="u64",4,INDEX(E:E,ROW()-1)="f32",2,INDEX(E:E,ROW()-1)="f64",4)</f>
        <v>24</v>
      </c>
      <c r="E26" s="18" t="s">
        <v>34</v>
      </c>
      <c r="F26" s="19"/>
      <c r="G26" s="20" t="s">
        <v>23</v>
      </c>
      <c r="H26" s="20" t="s">
        <v>23</v>
      </c>
      <c r="I26" s="20" t="s">
        <v>35</v>
      </c>
      <c r="J26" s="10" t="s">
        <v>25</v>
      </c>
      <c r="K26" s="10" t="s">
        <v>26</v>
      </c>
      <c r="L26" s="10" t="s">
        <v>30</v>
      </c>
      <c r="M26" s="18" t="s">
        <v>28</v>
      </c>
      <c r="N26" s="10"/>
      <c r="O26" s="19"/>
      <c r="P26" s="21"/>
      <c r="Q26" s="29">
        <f t="shared" si="1"/>
        <v>1</v>
      </c>
      <c r="R26" s="10" t="str">
        <f t="shared" si="0"/>
        <v>P00.024</v>
      </c>
    </row>
    <row r="27" spans="1:18">
      <c r="A27" s="17"/>
      <c r="B27" s="17"/>
      <c r="C27" s="17"/>
      <c r="D27" s="10">
        <f>INDEX(D:D,ROW()-1)+_xlfn.IFS(INDEX(E:E,ROW()-1)="s16",1,INDEX(E:E,ROW()-1)="s32",2,INDEX(E:E,ROW()-1)="s64",4,INDEX(E:E,ROW()-1)="u16",1,INDEX(E:E,ROW()-1)="u32",2,INDEX(E:E,ROW()-1)="u64",4,INDEX(E:E,ROW()-1)="f32",2,INDEX(E:E,ROW()-1)="f64",4)</f>
        <v>25</v>
      </c>
      <c r="E27" s="18" t="s">
        <v>34</v>
      </c>
      <c r="F27" s="21" t="s">
        <v>71</v>
      </c>
      <c r="G27" s="20" t="s">
        <v>72</v>
      </c>
      <c r="H27" s="20" t="s">
        <v>23</v>
      </c>
      <c r="I27" s="20" t="s">
        <v>35</v>
      </c>
      <c r="J27" s="10" t="s">
        <v>25</v>
      </c>
      <c r="K27" s="10" t="s">
        <v>68</v>
      </c>
      <c r="L27" s="10" t="s">
        <v>73</v>
      </c>
      <c r="M27" s="18" t="s">
        <v>74</v>
      </c>
      <c r="N27" s="10"/>
      <c r="O27" s="21" t="s">
        <v>75</v>
      </c>
      <c r="P27" s="23" t="s">
        <v>76</v>
      </c>
      <c r="Q27" s="29">
        <f t="shared" si="1"/>
        <v>1</v>
      </c>
      <c r="R27" s="18" t="str">
        <f t="shared" si="0"/>
        <v>P00.025</v>
      </c>
    </row>
    <row r="28" spans="1:18">
      <c r="A28" s="17"/>
      <c r="B28" s="17"/>
      <c r="C28" s="17"/>
      <c r="D28" s="10">
        <f>INDEX(D:D,ROW()-1)+_xlfn.IFS(INDEX(E:E,ROW()-1)="s16",1,INDEX(E:E,ROW()-1)="s32",2,INDEX(E:E,ROW()-1)="s64",4,INDEX(E:E,ROW()-1)="u16",1,INDEX(E:E,ROW()-1)="u32",2,INDEX(E:E,ROW()-1)="u64",4,INDEX(E:E,ROW()-1)="f32",2,INDEX(E:E,ROW()-1)="f64",4)</f>
        <v>26</v>
      </c>
      <c r="E28" s="18" t="s">
        <v>34</v>
      </c>
      <c r="F28" s="21" t="s">
        <v>77</v>
      </c>
      <c r="G28" s="20" t="s">
        <v>23</v>
      </c>
      <c r="H28" s="20" t="s">
        <v>23</v>
      </c>
      <c r="I28" s="20" t="s">
        <v>35</v>
      </c>
      <c r="J28" s="10" t="s">
        <v>25</v>
      </c>
      <c r="K28" s="10" t="s">
        <v>68</v>
      </c>
      <c r="L28" s="10" t="s">
        <v>73</v>
      </c>
      <c r="M28" s="18" t="s">
        <v>74</v>
      </c>
      <c r="N28" s="10"/>
      <c r="O28" s="21" t="s">
        <v>78</v>
      </c>
      <c r="P28" s="21"/>
      <c r="Q28" s="29">
        <f t="shared" si="1"/>
        <v>1</v>
      </c>
      <c r="R28" s="18" t="str">
        <f t="shared" si="0"/>
        <v>P00.026</v>
      </c>
    </row>
    <row r="29" spans="1:18">
      <c r="A29" s="17"/>
      <c r="B29" s="17"/>
      <c r="C29" s="17"/>
      <c r="D29" s="10">
        <f>INDEX(D:D,ROW()-1)+_xlfn.IFS(INDEX(E:E,ROW()-1)="s16",1,INDEX(E:E,ROW()-1)="s32",2,INDEX(E:E,ROW()-1)="s64",4,INDEX(E:E,ROW()-1)="u16",1,INDEX(E:E,ROW()-1)="u32",2,INDEX(E:E,ROW()-1)="u64",4,INDEX(E:E,ROW()-1)="f32",2,INDEX(E:E,ROW()-1)="f64",4)</f>
        <v>27</v>
      </c>
      <c r="E29" s="18" t="s">
        <v>34</v>
      </c>
      <c r="F29" s="21" t="s">
        <v>79</v>
      </c>
      <c r="G29" s="20" t="s">
        <v>23</v>
      </c>
      <c r="H29" s="20" t="s">
        <v>23</v>
      </c>
      <c r="I29" s="20" t="s">
        <v>35</v>
      </c>
      <c r="J29" s="10" t="s">
        <v>25</v>
      </c>
      <c r="K29" s="10" t="s">
        <v>68</v>
      </c>
      <c r="L29" s="10" t="s">
        <v>73</v>
      </c>
      <c r="M29" s="18" t="s">
        <v>74</v>
      </c>
      <c r="N29" s="10"/>
      <c r="O29" s="21" t="s">
        <v>80</v>
      </c>
      <c r="P29" s="21"/>
      <c r="Q29" s="29">
        <f t="shared" si="1"/>
        <v>1</v>
      </c>
      <c r="R29" s="10" t="str">
        <f t="shared" si="0"/>
        <v>P00.027</v>
      </c>
    </row>
    <row r="30" spans="1:18">
      <c r="A30" s="17"/>
      <c r="B30" s="17"/>
      <c r="C30" s="17"/>
      <c r="D30" s="10">
        <f>INDEX(D:D,ROW()-1)+_xlfn.IFS(INDEX(E:E,ROW()-1)="s16",1,INDEX(E:E,ROW()-1)="s32",2,INDEX(E:E,ROW()-1)="s64",4,INDEX(E:E,ROW()-1)="u16",1,INDEX(E:E,ROW()-1)="u32",2,INDEX(E:E,ROW()-1)="u64",4,INDEX(E:E,ROW()-1)="f32",2,INDEX(E:E,ROW()-1)="f64",4)</f>
        <v>28</v>
      </c>
      <c r="E30" s="18" t="s">
        <v>34</v>
      </c>
      <c r="F30" s="21" t="s">
        <v>81</v>
      </c>
      <c r="G30" s="20" t="s">
        <v>23</v>
      </c>
      <c r="H30" s="20" t="s">
        <v>23</v>
      </c>
      <c r="I30" s="20" t="s">
        <v>35</v>
      </c>
      <c r="J30" s="10" t="s">
        <v>25</v>
      </c>
      <c r="K30" s="10" t="s">
        <v>68</v>
      </c>
      <c r="L30" s="10" t="s">
        <v>73</v>
      </c>
      <c r="M30" s="18" t="s">
        <v>74</v>
      </c>
      <c r="N30" s="10"/>
      <c r="O30" s="21" t="s">
        <v>82</v>
      </c>
      <c r="P30" s="21"/>
      <c r="Q30" s="29">
        <f t="shared" si="1"/>
        <v>1</v>
      </c>
      <c r="R30" s="10" t="str">
        <f t="shared" si="0"/>
        <v>P00.028</v>
      </c>
    </row>
    <row r="31" spans="1:18">
      <c r="A31" s="17"/>
      <c r="B31" s="17"/>
      <c r="C31" s="17"/>
      <c r="D31" s="10">
        <f>INDEX(D:D,ROW()-1)+_xlfn.IFS(INDEX(E:E,ROW()-1)="s16",1,INDEX(E:E,ROW()-1)="s32",2,INDEX(E:E,ROW()-1)="s64",4,INDEX(E:E,ROW()-1)="u16",1,INDEX(E:E,ROW()-1)="u32",2,INDEX(E:E,ROW()-1)="u64",4,INDEX(E:E,ROW()-1)="f32",2,INDEX(E:E,ROW()-1)="f64",4)</f>
        <v>29</v>
      </c>
      <c r="E31" s="18" t="s">
        <v>34</v>
      </c>
      <c r="F31" s="21" t="s">
        <v>83</v>
      </c>
      <c r="G31" s="20" t="s">
        <v>23</v>
      </c>
      <c r="H31" s="20" t="s">
        <v>23</v>
      </c>
      <c r="I31" s="20" t="s">
        <v>35</v>
      </c>
      <c r="J31" s="10" t="s">
        <v>25</v>
      </c>
      <c r="K31" s="10" t="s">
        <v>68</v>
      </c>
      <c r="L31" s="10" t="s">
        <v>73</v>
      </c>
      <c r="M31" s="18" t="s">
        <v>74</v>
      </c>
      <c r="N31" s="10"/>
      <c r="O31" s="21" t="s">
        <v>84</v>
      </c>
      <c r="P31" s="21"/>
      <c r="Q31" s="29">
        <f t="shared" si="1"/>
        <v>1</v>
      </c>
      <c r="R31" s="10" t="str">
        <f t="shared" si="0"/>
        <v>P00.029</v>
      </c>
    </row>
    <row r="32" spans="1:18">
      <c r="A32" s="17"/>
      <c r="B32" s="17"/>
      <c r="C32" s="17"/>
      <c r="D32" s="10">
        <f>INDEX(D:D,ROW()-1)+_xlfn.IFS(INDEX(E:E,ROW()-1)="s16",1,INDEX(E:E,ROW()-1)="s32",2,INDEX(E:E,ROW()-1)="s64",4,INDEX(E:E,ROW()-1)="u16",1,INDEX(E:E,ROW()-1)="u32",2,INDEX(E:E,ROW()-1)="u64",4,INDEX(E:E,ROW()-1)="f32",2,INDEX(E:E,ROW()-1)="f64",4)</f>
        <v>30</v>
      </c>
      <c r="E32" s="18" t="s">
        <v>34</v>
      </c>
      <c r="F32" s="21" t="s">
        <v>85</v>
      </c>
      <c r="G32" s="20" t="s">
        <v>23</v>
      </c>
      <c r="H32" s="20" t="s">
        <v>23</v>
      </c>
      <c r="I32" s="20" t="s">
        <v>35</v>
      </c>
      <c r="J32" s="10" t="s">
        <v>25</v>
      </c>
      <c r="K32" s="10" t="s">
        <v>68</v>
      </c>
      <c r="L32" s="10" t="s">
        <v>73</v>
      </c>
      <c r="M32" s="18" t="s">
        <v>74</v>
      </c>
      <c r="N32" s="10"/>
      <c r="O32" s="21" t="s">
        <v>86</v>
      </c>
      <c r="P32" s="19"/>
      <c r="Q32" s="29">
        <f t="shared" si="1"/>
        <v>1</v>
      </c>
      <c r="R32" s="10" t="str">
        <f t="shared" si="0"/>
        <v>P00.030</v>
      </c>
    </row>
    <row r="33" spans="1:18">
      <c r="A33" s="17"/>
      <c r="B33" s="17"/>
      <c r="C33" s="17"/>
      <c r="D33" s="10">
        <f>INDEX(D:D,ROW()-1)+_xlfn.IFS(INDEX(E:E,ROW()-1)="s16",1,INDEX(E:E,ROW()-1)="s32",2,INDEX(E:E,ROW()-1)="s64",4,INDEX(E:E,ROW()-1)="u16",1,INDEX(E:E,ROW()-1)="u32",2,INDEX(E:E,ROW()-1)="u64",4,INDEX(E:E,ROW()-1)="f32",2,INDEX(E:E,ROW()-1)="f64",4)</f>
        <v>31</v>
      </c>
      <c r="E33" s="18" t="s">
        <v>34</v>
      </c>
      <c r="F33" s="19"/>
      <c r="G33" s="20" t="s">
        <v>23</v>
      </c>
      <c r="H33" s="20" t="s">
        <v>23</v>
      </c>
      <c r="I33" s="20" t="s">
        <v>35</v>
      </c>
      <c r="J33" s="10" t="s">
        <v>25</v>
      </c>
      <c r="K33" s="10" t="s">
        <v>26</v>
      </c>
      <c r="L33" s="10" t="s">
        <v>30</v>
      </c>
      <c r="M33" s="18" t="s">
        <v>28</v>
      </c>
      <c r="N33" s="10"/>
      <c r="O33" s="19"/>
      <c r="P33" s="19"/>
      <c r="Q33" s="29">
        <f t="shared" si="1"/>
        <v>1</v>
      </c>
      <c r="R33" s="10" t="str">
        <f t="shared" si="0"/>
        <v>P00.031</v>
      </c>
    </row>
    <row r="34" spans="1:18">
      <c r="A34" s="17"/>
      <c r="B34" s="17"/>
      <c r="C34" s="17"/>
      <c r="D34" s="10">
        <f>INDEX(D:D,ROW()-1)+_xlfn.IFS(INDEX(E:E,ROW()-1)="s16",1,INDEX(E:E,ROW()-1)="s32",2,INDEX(E:E,ROW()-1)="s64",4,INDEX(E:E,ROW()-1)="u16",1,INDEX(E:E,ROW()-1)="u32",2,INDEX(E:E,ROW()-1)="u64",4,INDEX(E:E,ROW()-1)="f32",2,INDEX(E:E,ROW()-1)="f64",4)</f>
        <v>32</v>
      </c>
      <c r="E34" s="18" t="s">
        <v>34</v>
      </c>
      <c r="F34" s="19" t="s">
        <v>87</v>
      </c>
      <c r="G34" s="20" t="s">
        <v>88</v>
      </c>
      <c r="H34" s="20" t="s">
        <v>23</v>
      </c>
      <c r="I34" s="20" t="s">
        <v>35</v>
      </c>
      <c r="J34" s="10" t="s">
        <v>89</v>
      </c>
      <c r="K34" s="10" t="s">
        <v>62</v>
      </c>
      <c r="L34" s="10" t="s">
        <v>73</v>
      </c>
      <c r="M34" s="18" t="s">
        <v>74</v>
      </c>
      <c r="N34" s="10"/>
      <c r="O34" s="21" t="s">
        <v>90</v>
      </c>
      <c r="P34" s="19"/>
      <c r="Q34" s="29">
        <f t="shared" si="1"/>
        <v>1</v>
      </c>
      <c r="R34" s="18" t="str">
        <f t="shared" si="0"/>
        <v>P00.032</v>
      </c>
    </row>
    <row r="35" spans="1:18">
      <c r="A35" s="17"/>
      <c r="B35" s="17"/>
      <c r="C35" s="17"/>
      <c r="D35" s="10">
        <f>INDEX(D:D,ROW()-1)+_xlfn.IFS(INDEX(E:E,ROW()-1)="s16",1,INDEX(E:E,ROW()-1)="s32",2,INDEX(E:E,ROW()-1)="s64",4,INDEX(E:E,ROW()-1)="u16",1,INDEX(E:E,ROW()-1)="u32",2,INDEX(E:E,ROW()-1)="u64",4,INDEX(E:E,ROW()-1)="f32",2,INDEX(E:E,ROW()-1)="f64",4)</f>
        <v>33</v>
      </c>
      <c r="E35" s="18" t="s">
        <v>91</v>
      </c>
      <c r="F35" s="19" t="s">
        <v>92</v>
      </c>
      <c r="G35" s="20" t="s">
        <v>23</v>
      </c>
      <c r="H35" s="20" t="s">
        <v>93</v>
      </c>
      <c r="I35" s="20" t="s">
        <v>94</v>
      </c>
      <c r="J35" s="10" t="s">
        <v>25</v>
      </c>
      <c r="K35" s="10" t="s">
        <v>62</v>
      </c>
      <c r="L35" s="10" t="s">
        <v>73</v>
      </c>
      <c r="M35" s="18" t="s">
        <v>74</v>
      </c>
      <c r="N35" s="10"/>
      <c r="O35" s="21" t="s">
        <v>95</v>
      </c>
      <c r="P35" s="19"/>
      <c r="Q35" s="29">
        <f t="shared" si="1"/>
        <v>1</v>
      </c>
      <c r="R35" s="10" t="str">
        <f t="shared" si="0"/>
        <v>P00.033</v>
      </c>
    </row>
    <row r="36" spans="1:18">
      <c r="A36" s="17"/>
      <c r="B36" s="17"/>
      <c r="C36" s="17"/>
      <c r="D36" s="10">
        <f>INDEX(D:D,ROW()-1)+_xlfn.IFS(INDEX(E:E,ROW()-1)="s16",1,INDEX(E:E,ROW()-1)="s32",2,INDEX(E:E,ROW()-1)="s64",4,INDEX(E:E,ROW()-1)="u16",1,INDEX(E:E,ROW()-1)="u32",2,INDEX(E:E,ROW()-1)="u64",4,INDEX(E:E,ROW()-1)="f32",2,INDEX(E:E,ROW()-1)="f64",4)</f>
        <v>34</v>
      </c>
      <c r="E36" s="18" t="s">
        <v>34</v>
      </c>
      <c r="F36" s="19" t="s">
        <v>96</v>
      </c>
      <c r="G36" s="20" t="s">
        <v>88</v>
      </c>
      <c r="H36" s="20" t="s">
        <v>23</v>
      </c>
      <c r="I36" s="20" t="s">
        <v>35</v>
      </c>
      <c r="J36" s="10" t="s">
        <v>89</v>
      </c>
      <c r="K36" s="10" t="s">
        <v>62</v>
      </c>
      <c r="L36" s="10" t="s">
        <v>73</v>
      </c>
      <c r="M36" s="18" t="s">
        <v>74</v>
      </c>
      <c r="N36" s="10"/>
      <c r="O36" s="21" t="s">
        <v>97</v>
      </c>
      <c r="P36" s="19"/>
      <c r="Q36" s="29">
        <f t="shared" si="1"/>
        <v>1</v>
      </c>
      <c r="R36" s="10" t="str">
        <f t="shared" si="0"/>
        <v>P00.034</v>
      </c>
    </row>
    <row r="37" spans="1:18">
      <c r="A37" s="17"/>
      <c r="B37" s="17"/>
      <c r="C37" s="17"/>
      <c r="D37" s="10">
        <f>INDEX(D:D,ROW()-1)+_xlfn.IFS(INDEX(E:E,ROW()-1)="s16",1,INDEX(E:E,ROW()-1)="s32",2,INDEX(E:E,ROW()-1)="s64",4,INDEX(E:E,ROW()-1)="u16",1,INDEX(E:E,ROW()-1)="u32",2,INDEX(E:E,ROW()-1)="u64",4,INDEX(E:E,ROW()-1)="f32",2,INDEX(E:E,ROW()-1)="f64",4)</f>
        <v>35</v>
      </c>
      <c r="E37" s="18" t="s">
        <v>91</v>
      </c>
      <c r="F37" s="19" t="s">
        <v>98</v>
      </c>
      <c r="G37" s="20" t="s">
        <v>23</v>
      </c>
      <c r="H37" s="20" t="s">
        <v>93</v>
      </c>
      <c r="I37" s="20" t="s">
        <v>94</v>
      </c>
      <c r="J37" s="10" t="s">
        <v>25</v>
      </c>
      <c r="K37" s="10" t="s">
        <v>62</v>
      </c>
      <c r="L37" s="10" t="s">
        <v>73</v>
      </c>
      <c r="M37" s="18" t="s">
        <v>74</v>
      </c>
      <c r="N37" s="10"/>
      <c r="O37" s="21" t="s">
        <v>99</v>
      </c>
      <c r="P37" s="19"/>
      <c r="Q37" s="29">
        <f t="shared" si="1"/>
        <v>1</v>
      </c>
      <c r="R37" s="10" t="str">
        <f t="shared" si="0"/>
        <v>P00.035</v>
      </c>
    </row>
    <row r="38" spans="1:18">
      <c r="A38" s="17"/>
      <c r="B38" s="17"/>
      <c r="C38" s="17"/>
      <c r="D38" s="10">
        <f>INDEX(D:D,ROW()-1)+_xlfn.IFS(INDEX(E:E,ROW()-1)="s16",1,INDEX(E:E,ROW()-1)="s32",2,INDEX(E:E,ROW()-1)="s64",4,INDEX(E:E,ROW()-1)="u16",1,INDEX(E:E,ROW()-1)="u32",2,INDEX(E:E,ROW()-1)="u64",4,INDEX(E:E,ROW()-1)="f32",2,INDEX(E:E,ROW()-1)="f64",4)</f>
        <v>36</v>
      </c>
      <c r="E38" s="18" t="s">
        <v>34</v>
      </c>
      <c r="F38" s="19"/>
      <c r="G38" s="20" t="s">
        <v>23</v>
      </c>
      <c r="H38" s="20" t="s">
        <v>23</v>
      </c>
      <c r="I38" s="20" t="s">
        <v>35</v>
      </c>
      <c r="J38" s="10" t="s">
        <v>25</v>
      </c>
      <c r="K38" s="10" t="s">
        <v>26</v>
      </c>
      <c r="L38" s="10" t="s">
        <v>30</v>
      </c>
      <c r="M38" s="18" t="s">
        <v>28</v>
      </c>
      <c r="N38" s="10"/>
      <c r="O38" s="19"/>
      <c r="P38" s="19"/>
      <c r="Q38" s="29">
        <f t="shared" si="1"/>
        <v>1</v>
      </c>
      <c r="R38" s="10" t="str">
        <f t="shared" si="0"/>
        <v>P00.036</v>
      </c>
    </row>
    <row r="39" spans="1:18">
      <c r="A39" s="17"/>
      <c r="B39" s="17"/>
      <c r="C39" s="17"/>
      <c r="D39" s="10">
        <f>INDEX(D:D,ROW()-1)+_xlfn.IFS(INDEX(E:E,ROW()-1)="s16",1,INDEX(E:E,ROW()-1)="s32",2,INDEX(E:E,ROW()-1)="s64",4,INDEX(E:E,ROW()-1)="u16",1,INDEX(E:E,ROW()-1)="u32",2,INDEX(E:E,ROW()-1)="u64",4,INDEX(E:E,ROW()-1)="f32",2,INDEX(E:E,ROW()-1)="f64",4)</f>
        <v>37</v>
      </c>
      <c r="E39" s="18" t="s">
        <v>34</v>
      </c>
      <c r="F39" s="19" t="s">
        <v>100</v>
      </c>
      <c r="G39" s="20" t="s">
        <v>88</v>
      </c>
      <c r="H39" s="20" t="s">
        <v>23</v>
      </c>
      <c r="I39" s="20" t="s">
        <v>35</v>
      </c>
      <c r="J39" s="10" t="s">
        <v>89</v>
      </c>
      <c r="K39" s="10" t="s">
        <v>62</v>
      </c>
      <c r="L39" s="10" t="s">
        <v>73</v>
      </c>
      <c r="M39" s="18" t="s">
        <v>74</v>
      </c>
      <c r="N39" s="10"/>
      <c r="O39" s="21" t="s">
        <v>101</v>
      </c>
      <c r="P39" s="19"/>
      <c r="Q39" s="29">
        <f t="shared" si="1"/>
        <v>1</v>
      </c>
      <c r="R39" s="10" t="str">
        <f t="shared" si="0"/>
        <v>P00.037</v>
      </c>
    </row>
    <row r="40" spans="1:18">
      <c r="A40" s="17"/>
      <c r="B40" s="17"/>
      <c r="C40" s="17"/>
      <c r="D40" s="10">
        <f>INDEX(D:D,ROW()-1)+_xlfn.IFS(INDEX(E:E,ROW()-1)="s16",1,INDEX(E:E,ROW()-1)="s32",2,INDEX(E:E,ROW()-1)="s64",4,INDEX(E:E,ROW()-1)="u16",1,INDEX(E:E,ROW()-1)="u32",2,INDEX(E:E,ROW()-1)="u64",4,INDEX(E:E,ROW()-1)="f32",2,INDEX(E:E,ROW()-1)="f64",4)</f>
        <v>38</v>
      </c>
      <c r="E40" s="18" t="s">
        <v>91</v>
      </c>
      <c r="F40" s="19" t="s">
        <v>102</v>
      </c>
      <c r="G40" s="20" t="s">
        <v>23</v>
      </c>
      <c r="H40" s="20" t="s">
        <v>93</v>
      </c>
      <c r="I40" s="20" t="s">
        <v>94</v>
      </c>
      <c r="J40" s="10" t="s">
        <v>25</v>
      </c>
      <c r="K40" s="10" t="s">
        <v>62</v>
      </c>
      <c r="L40" s="10" t="s">
        <v>73</v>
      </c>
      <c r="M40" s="18" t="s">
        <v>74</v>
      </c>
      <c r="N40" s="10"/>
      <c r="O40" s="21" t="s">
        <v>103</v>
      </c>
      <c r="P40" s="19"/>
      <c r="Q40" s="29">
        <f t="shared" si="1"/>
        <v>1</v>
      </c>
      <c r="R40" s="10" t="str">
        <f t="shared" si="0"/>
        <v>P00.038</v>
      </c>
    </row>
    <row r="41" spans="1:18">
      <c r="A41" s="17"/>
      <c r="B41" s="17"/>
      <c r="C41" s="17"/>
      <c r="D41" s="10">
        <f>INDEX(D:D,ROW()-1)+_xlfn.IFS(INDEX(E:E,ROW()-1)="s16",1,INDEX(E:E,ROW()-1)="s32",2,INDEX(E:E,ROW()-1)="s64",4,INDEX(E:E,ROW()-1)="u16",1,INDEX(E:E,ROW()-1)="u32",2,INDEX(E:E,ROW()-1)="u64",4,INDEX(E:E,ROW()-1)="f32",2,INDEX(E:E,ROW()-1)="f64",4)</f>
        <v>39</v>
      </c>
      <c r="E41" s="18" t="s">
        <v>34</v>
      </c>
      <c r="F41" s="19" t="s">
        <v>104</v>
      </c>
      <c r="G41" s="20" t="s">
        <v>23</v>
      </c>
      <c r="H41" s="20" t="s">
        <v>23</v>
      </c>
      <c r="I41" s="20" t="s">
        <v>35</v>
      </c>
      <c r="J41" s="10" t="s">
        <v>25</v>
      </c>
      <c r="K41" s="10" t="s">
        <v>62</v>
      </c>
      <c r="L41" s="10" t="s">
        <v>73</v>
      </c>
      <c r="M41" s="18" t="s">
        <v>74</v>
      </c>
      <c r="N41" s="10"/>
      <c r="O41" s="21" t="s">
        <v>105</v>
      </c>
      <c r="P41" s="19"/>
      <c r="Q41" s="29">
        <f t="shared" si="1"/>
        <v>1</v>
      </c>
      <c r="R41" s="18" t="str">
        <f t="shared" si="0"/>
        <v>P00.039</v>
      </c>
    </row>
    <row r="42" spans="1:18">
      <c r="A42" s="17"/>
      <c r="B42" s="17"/>
      <c r="C42" s="17"/>
      <c r="D42" s="10">
        <f>INDEX(D:D,ROW()-1)+_xlfn.IFS(INDEX(E:E,ROW()-1)="s16",1,INDEX(E:E,ROW()-1)="s32",2,INDEX(E:E,ROW()-1)="s64",4,INDEX(E:E,ROW()-1)="u16",1,INDEX(E:E,ROW()-1)="u32",2,INDEX(E:E,ROW()-1)="u64",4,INDEX(E:E,ROW()-1)="f32",2,INDEX(E:E,ROW()-1)="f64",4)</f>
        <v>40</v>
      </c>
      <c r="E42" s="18" t="s">
        <v>34</v>
      </c>
      <c r="F42" s="19" t="s">
        <v>106</v>
      </c>
      <c r="G42" s="20" t="s">
        <v>88</v>
      </c>
      <c r="H42" s="20" t="s">
        <v>23</v>
      </c>
      <c r="I42" s="20" t="s">
        <v>35</v>
      </c>
      <c r="J42" s="10" t="s">
        <v>89</v>
      </c>
      <c r="K42" s="10" t="s">
        <v>62</v>
      </c>
      <c r="L42" s="10" t="s">
        <v>73</v>
      </c>
      <c r="M42" s="18" t="s">
        <v>74</v>
      </c>
      <c r="N42" s="10"/>
      <c r="O42" s="21" t="s">
        <v>107</v>
      </c>
      <c r="P42" s="19"/>
      <c r="Q42" s="29">
        <f t="shared" si="1"/>
        <v>1</v>
      </c>
      <c r="R42" s="18" t="str">
        <f t="shared" si="0"/>
        <v>P00.040</v>
      </c>
    </row>
    <row r="43" spans="1:18">
      <c r="A43" s="17"/>
      <c r="B43" s="17"/>
      <c r="C43" s="17"/>
      <c r="D43" s="10">
        <f>INDEX(D:D,ROW()-1)+_xlfn.IFS(INDEX(E:E,ROW()-1)="s16",1,INDEX(E:E,ROW()-1)="s32",2,INDEX(E:E,ROW()-1)="s64",4,INDEX(E:E,ROW()-1)="u16",1,INDEX(E:E,ROW()-1)="u32",2,INDEX(E:E,ROW()-1)="u64",4,INDEX(E:E,ROW()-1)="f32",2,INDEX(E:E,ROW()-1)="f64",4)</f>
        <v>41</v>
      </c>
      <c r="E43" s="18" t="s">
        <v>91</v>
      </c>
      <c r="F43" s="19" t="s">
        <v>108</v>
      </c>
      <c r="G43" s="20" t="s">
        <v>23</v>
      </c>
      <c r="H43" s="20" t="s">
        <v>93</v>
      </c>
      <c r="I43" s="20" t="s">
        <v>94</v>
      </c>
      <c r="J43" s="10" t="s">
        <v>25</v>
      </c>
      <c r="K43" s="10" t="s">
        <v>62</v>
      </c>
      <c r="L43" s="10" t="s">
        <v>73</v>
      </c>
      <c r="M43" s="18" t="s">
        <v>74</v>
      </c>
      <c r="N43" s="10"/>
      <c r="O43" s="21" t="s">
        <v>109</v>
      </c>
      <c r="P43" s="19"/>
      <c r="Q43" s="29">
        <f t="shared" si="1"/>
        <v>1</v>
      </c>
      <c r="R43" s="18" t="str">
        <f t="shared" si="0"/>
        <v>P00.041</v>
      </c>
    </row>
    <row r="44" spans="1:18">
      <c r="A44" s="17"/>
      <c r="B44" s="17"/>
      <c r="C44" s="17"/>
      <c r="D44" s="10">
        <f>INDEX(D:D,ROW()-1)+_xlfn.IFS(INDEX(E:E,ROW()-1)="s16",1,INDEX(E:E,ROW()-1)="s32",2,INDEX(E:E,ROW()-1)="s64",4,INDEX(E:E,ROW()-1)="u16",1,INDEX(E:E,ROW()-1)="u32",2,INDEX(E:E,ROW()-1)="u64",4,INDEX(E:E,ROW()-1)="f32",2,INDEX(E:E,ROW()-1)="f64",4)</f>
        <v>42</v>
      </c>
      <c r="E44" s="18" t="s">
        <v>34</v>
      </c>
      <c r="F44" s="19" t="s">
        <v>110</v>
      </c>
      <c r="G44" s="20" t="s">
        <v>23</v>
      </c>
      <c r="H44" s="20" t="s">
        <v>23</v>
      </c>
      <c r="I44" s="20" t="s">
        <v>35</v>
      </c>
      <c r="J44" s="10" t="s">
        <v>25</v>
      </c>
      <c r="K44" s="10" t="s">
        <v>62</v>
      </c>
      <c r="L44" s="10" t="s">
        <v>73</v>
      </c>
      <c r="M44" s="18" t="s">
        <v>74</v>
      </c>
      <c r="N44" s="10"/>
      <c r="O44" s="21" t="s">
        <v>111</v>
      </c>
      <c r="P44" s="19"/>
      <c r="Q44" s="29">
        <f t="shared" si="1"/>
        <v>1</v>
      </c>
      <c r="R44" s="18" t="str">
        <f t="shared" si="0"/>
        <v>P00.042</v>
      </c>
    </row>
    <row r="45" spans="1:18">
      <c r="A45" s="17"/>
      <c r="B45" s="17"/>
      <c r="C45" s="17"/>
      <c r="D45" s="10">
        <f>INDEX(D:D,ROW()-1)+_xlfn.IFS(INDEX(E:E,ROW()-1)="s16",1,INDEX(E:E,ROW()-1)="s32",2,INDEX(E:E,ROW()-1)="s64",4,INDEX(E:E,ROW()-1)="u16",1,INDEX(E:E,ROW()-1)="u32",2,INDEX(E:E,ROW()-1)="u64",4,INDEX(E:E,ROW()-1)="f32",2,INDEX(E:E,ROW()-1)="f64",4)</f>
        <v>43</v>
      </c>
      <c r="E45" s="18" t="s">
        <v>34</v>
      </c>
      <c r="F45" s="19" t="s">
        <v>112</v>
      </c>
      <c r="G45" s="20" t="s">
        <v>88</v>
      </c>
      <c r="H45" s="20" t="s">
        <v>23</v>
      </c>
      <c r="I45" s="20" t="s">
        <v>35</v>
      </c>
      <c r="J45" s="10" t="s">
        <v>89</v>
      </c>
      <c r="K45" s="10" t="s">
        <v>62</v>
      </c>
      <c r="L45" s="10" t="s">
        <v>73</v>
      </c>
      <c r="M45" s="18" t="s">
        <v>74</v>
      </c>
      <c r="N45" s="10"/>
      <c r="O45" s="21" t="s">
        <v>113</v>
      </c>
      <c r="P45" s="19"/>
      <c r="Q45" s="29">
        <f t="shared" si="1"/>
        <v>1</v>
      </c>
      <c r="R45" s="10" t="str">
        <f t="shared" si="0"/>
        <v>P00.043</v>
      </c>
    </row>
    <row r="46" spans="1:18">
      <c r="A46" s="17"/>
      <c r="B46" s="17"/>
      <c r="C46" s="17"/>
      <c r="D46" s="10">
        <f>INDEX(D:D,ROW()-1)+_xlfn.IFS(INDEX(E:E,ROW()-1)="s16",1,INDEX(E:E,ROW()-1)="s32",2,INDEX(E:E,ROW()-1)="s64",4,INDEX(E:E,ROW()-1)="u16",1,INDEX(E:E,ROW()-1)="u32",2,INDEX(E:E,ROW()-1)="u64",4,INDEX(E:E,ROW()-1)="f32",2,INDEX(E:E,ROW()-1)="f64",4)</f>
        <v>44</v>
      </c>
      <c r="E46" s="18" t="s">
        <v>91</v>
      </c>
      <c r="F46" s="19" t="s">
        <v>114</v>
      </c>
      <c r="G46" s="20" t="s">
        <v>23</v>
      </c>
      <c r="H46" s="20" t="s">
        <v>93</v>
      </c>
      <c r="I46" s="20" t="s">
        <v>94</v>
      </c>
      <c r="J46" s="10" t="s">
        <v>25</v>
      </c>
      <c r="K46" s="10" t="s">
        <v>62</v>
      </c>
      <c r="L46" s="10" t="s">
        <v>73</v>
      </c>
      <c r="M46" s="18" t="s">
        <v>74</v>
      </c>
      <c r="N46" s="10"/>
      <c r="O46" s="21" t="s">
        <v>115</v>
      </c>
      <c r="P46" s="19"/>
      <c r="Q46" s="29">
        <f t="shared" si="1"/>
        <v>1</v>
      </c>
      <c r="R46" s="10" t="str">
        <f t="shared" si="0"/>
        <v>P00.044</v>
      </c>
    </row>
    <row r="47" spans="1:18">
      <c r="A47" s="17"/>
      <c r="B47" s="17"/>
      <c r="C47" s="17"/>
      <c r="D47" s="10">
        <f>INDEX(D:D,ROW()-1)+_xlfn.IFS(INDEX(E:E,ROW()-1)="s16",1,INDEX(E:E,ROW()-1)="s32",2,INDEX(E:E,ROW()-1)="s64",4,INDEX(E:E,ROW()-1)="u16",1,INDEX(E:E,ROW()-1)="u32",2,INDEX(E:E,ROW()-1)="u64",4,INDEX(E:E,ROW()-1)="f32",2,INDEX(E:E,ROW()-1)="f64",4)</f>
        <v>45</v>
      </c>
      <c r="E47" s="18" t="s">
        <v>34</v>
      </c>
      <c r="F47" s="19" t="s">
        <v>116</v>
      </c>
      <c r="G47" s="20" t="s">
        <v>23</v>
      </c>
      <c r="H47" s="20" t="s">
        <v>23</v>
      </c>
      <c r="I47" s="20" t="s">
        <v>35</v>
      </c>
      <c r="J47" s="10" t="s">
        <v>25</v>
      </c>
      <c r="K47" s="10" t="s">
        <v>62</v>
      </c>
      <c r="L47" s="10" t="s">
        <v>73</v>
      </c>
      <c r="M47" s="18" t="s">
        <v>74</v>
      </c>
      <c r="N47" s="10"/>
      <c r="O47" s="21" t="s">
        <v>117</v>
      </c>
      <c r="P47" s="19"/>
      <c r="Q47" s="29">
        <f t="shared" si="1"/>
        <v>1</v>
      </c>
      <c r="R47" s="10" t="str">
        <f t="shared" si="0"/>
        <v>P00.045</v>
      </c>
    </row>
    <row r="48" spans="1:18">
      <c r="A48" s="17"/>
      <c r="B48" s="17"/>
      <c r="C48" s="17"/>
      <c r="D48" s="10">
        <f>INDEX(D:D,ROW()-1)+_xlfn.IFS(INDEX(E:E,ROW()-1)="s16",1,INDEX(E:E,ROW()-1)="s32",2,INDEX(E:E,ROW()-1)="s64",4,INDEX(E:E,ROW()-1)="u16",1,INDEX(E:E,ROW()-1)="u32",2,INDEX(E:E,ROW()-1)="u64",4,INDEX(E:E,ROW()-1)="f32",2,INDEX(E:E,ROW()-1)="f64",4)</f>
        <v>46</v>
      </c>
      <c r="E48" s="18" t="s">
        <v>34</v>
      </c>
      <c r="F48" s="19"/>
      <c r="G48" s="20" t="s">
        <v>23</v>
      </c>
      <c r="H48" s="20" t="s">
        <v>23</v>
      </c>
      <c r="I48" s="20" t="s">
        <v>35</v>
      </c>
      <c r="J48" s="10" t="s">
        <v>25</v>
      </c>
      <c r="K48" s="10" t="s">
        <v>26</v>
      </c>
      <c r="L48" s="10" t="s">
        <v>30</v>
      </c>
      <c r="M48" s="18" t="s">
        <v>28</v>
      </c>
      <c r="N48" s="10"/>
      <c r="O48" s="19"/>
      <c r="P48" s="19"/>
      <c r="Q48" s="29">
        <f t="shared" si="1"/>
        <v>1</v>
      </c>
      <c r="R48" s="10" t="str">
        <f t="shared" si="0"/>
        <v>P00.046</v>
      </c>
    </row>
    <row r="49" spans="1:18">
      <c r="A49" s="17"/>
      <c r="B49" s="17"/>
      <c r="C49" s="17"/>
      <c r="D49" s="10">
        <f>INDEX(D:D,ROW()-1)+_xlfn.IFS(INDEX(E:E,ROW()-1)="s16",1,INDEX(E:E,ROW()-1)="s32",2,INDEX(E:E,ROW()-1)="s64",4,INDEX(E:E,ROW()-1)="u16",1,INDEX(E:E,ROW()-1)="u32",2,INDEX(E:E,ROW()-1)="u64",4,INDEX(E:E,ROW()-1)="f32",2,INDEX(E:E,ROW()-1)="f64",4)</f>
        <v>47</v>
      </c>
      <c r="E49" s="18" t="s">
        <v>34</v>
      </c>
      <c r="F49" s="19" t="s">
        <v>118</v>
      </c>
      <c r="G49" s="20" t="s">
        <v>88</v>
      </c>
      <c r="H49" s="20" t="s">
        <v>23</v>
      </c>
      <c r="I49" s="20" t="s">
        <v>35</v>
      </c>
      <c r="J49" s="10" t="s">
        <v>89</v>
      </c>
      <c r="K49" s="10" t="s">
        <v>62</v>
      </c>
      <c r="L49" s="10" t="s">
        <v>73</v>
      </c>
      <c r="M49" s="18" t="s">
        <v>74</v>
      </c>
      <c r="N49" s="10"/>
      <c r="O49" s="21" t="s">
        <v>119</v>
      </c>
      <c r="P49" s="19"/>
      <c r="Q49" s="29">
        <f t="shared" si="1"/>
        <v>1</v>
      </c>
      <c r="R49" s="10" t="str">
        <f t="shared" si="0"/>
        <v>P00.047</v>
      </c>
    </row>
    <row r="50" spans="1:18">
      <c r="A50" s="17"/>
      <c r="B50" s="17"/>
      <c r="C50" s="17"/>
      <c r="D50" s="10">
        <f>INDEX(D:D,ROW()-1)+_xlfn.IFS(INDEX(E:E,ROW()-1)="s16",1,INDEX(E:E,ROW()-1)="s32",2,INDEX(E:E,ROW()-1)="s64",4,INDEX(E:E,ROW()-1)="u16",1,INDEX(E:E,ROW()-1)="u32",2,INDEX(E:E,ROW()-1)="u64",4,INDEX(E:E,ROW()-1)="f32",2,INDEX(E:E,ROW()-1)="f64",4)</f>
        <v>48</v>
      </c>
      <c r="E50" s="18" t="s">
        <v>91</v>
      </c>
      <c r="F50" s="19" t="s">
        <v>120</v>
      </c>
      <c r="G50" s="20" t="s">
        <v>23</v>
      </c>
      <c r="H50" s="20" t="s">
        <v>93</v>
      </c>
      <c r="I50" s="20" t="s">
        <v>94</v>
      </c>
      <c r="J50" s="10" t="s">
        <v>25</v>
      </c>
      <c r="K50" s="10" t="s">
        <v>62</v>
      </c>
      <c r="L50" s="10" t="s">
        <v>73</v>
      </c>
      <c r="M50" s="18" t="s">
        <v>74</v>
      </c>
      <c r="N50" s="10"/>
      <c r="O50" s="21" t="s">
        <v>121</v>
      </c>
      <c r="P50" s="19"/>
      <c r="Q50" s="29">
        <f t="shared" si="1"/>
        <v>1</v>
      </c>
      <c r="R50" s="10" t="str">
        <f t="shared" si="0"/>
        <v>P00.048</v>
      </c>
    </row>
    <row r="51" spans="1:18">
      <c r="A51" s="17"/>
      <c r="B51" s="17"/>
      <c r="C51" s="17"/>
      <c r="D51" s="10">
        <f>INDEX(D:D,ROW()-1)+_xlfn.IFS(INDEX(E:E,ROW()-1)="s16",1,INDEX(E:E,ROW()-1)="s32",2,INDEX(E:E,ROW()-1)="s64",4,INDEX(E:E,ROW()-1)="u16",1,INDEX(E:E,ROW()-1)="u32",2,INDEX(E:E,ROW()-1)="u64",4,INDEX(E:E,ROW()-1)="f32",2,INDEX(E:E,ROW()-1)="f64",4)</f>
        <v>49</v>
      </c>
      <c r="E51" s="18" t="s">
        <v>34</v>
      </c>
      <c r="F51" s="19"/>
      <c r="G51" s="20" t="s">
        <v>23</v>
      </c>
      <c r="H51" s="20" t="s">
        <v>23</v>
      </c>
      <c r="I51" s="20" t="s">
        <v>35</v>
      </c>
      <c r="J51" s="10" t="s">
        <v>25</v>
      </c>
      <c r="K51" s="10" t="s">
        <v>26</v>
      </c>
      <c r="L51" s="10" t="s">
        <v>30</v>
      </c>
      <c r="M51" s="18" t="s">
        <v>28</v>
      </c>
      <c r="N51" s="10"/>
      <c r="O51" s="19"/>
      <c r="P51" s="19"/>
      <c r="Q51" s="29">
        <f t="shared" si="1"/>
        <v>1</v>
      </c>
      <c r="R51" s="10" t="str">
        <f t="shared" si="0"/>
        <v>P00.049</v>
      </c>
    </row>
    <row r="52" ht="36" spans="1:18">
      <c r="A52" s="17"/>
      <c r="B52" s="17"/>
      <c r="C52" s="17"/>
      <c r="D52" s="10">
        <f>INDEX(D:D,ROW()-1)+_xlfn.IFS(INDEX(E:E,ROW()-1)="s16",1,INDEX(E:E,ROW()-1)="s32",2,INDEX(E:E,ROW()-1)="s64",4,INDEX(E:E,ROW()-1)="u16",1,INDEX(E:E,ROW()-1)="u32",2,INDEX(E:E,ROW()-1)="u64",4,INDEX(E:E,ROW()-1)="f32",2,INDEX(E:E,ROW()-1)="f64",4)</f>
        <v>50</v>
      </c>
      <c r="E52" s="18" t="s">
        <v>34</v>
      </c>
      <c r="F52" s="19" t="s">
        <v>122</v>
      </c>
      <c r="G52" s="20" t="s">
        <v>123</v>
      </c>
      <c r="H52" s="20" t="s">
        <v>23</v>
      </c>
      <c r="I52" s="20" t="s">
        <v>35</v>
      </c>
      <c r="J52" s="10" t="s">
        <v>124</v>
      </c>
      <c r="K52" s="10" t="s">
        <v>26</v>
      </c>
      <c r="L52" s="10" t="s">
        <v>30</v>
      </c>
      <c r="M52" s="18" t="s">
        <v>28</v>
      </c>
      <c r="N52" s="10"/>
      <c r="O52" s="25" t="s">
        <v>125</v>
      </c>
      <c r="P52" s="41" t="s">
        <v>126</v>
      </c>
      <c r="Q52" s="29">
        <f t="shared" si="1"/>
        <v>1</v>
      </c>
      <c r="R52" s="10" t="str">
        <f t="shared" si="0"/>
        <v>P00.050</v>
      </c>
    </row>
    <row r="53" spans="1:18">
      <c r="A53" s="17"/>
      <c r="B53" s="17"/>
      <c r="C53" s="17"/>
      <c r="D53" s="10">
        <f>INDEX(D:D,ROW()-1)+_xlfn.IFS(INDEX(E:E,ROW()-1)="s16",1,INDEX(E:E,ROW()-1)="s32",2,INDEX(E:E,ROW()-1)="s64",4,INDEX(E:E,ROW()-1)="u16",1,INDEX(E:E,ROW()-1)="u32",2,INDEX(E:E,ROW()-1)="u64",4,INDEX(E:E,ROW()-1)="f32",2,INDEX(E:E,ROW()-1)="f64",4)</f>
        <v>51</v>
      </c>
      <c r="E53" s="18" t="s">
        <v>34</v>
      </c>
      <c r="F53" s="19"/>
      <c r="G53" s="20" t="s">
        <v>23</v>
      </c>
      <c r="H53" s="20" t="s">
        <v>23</v>
      </c>
      <c r="I53" s="20" t="s">
        <v>35</v>
      </c>
      <c r="J53" s="10" t="s">
        <v>25</v>
      </c>
      <c r="K53" s="10" t="s">
        <v>26</v>
      </c>
      <c r="L53" s="10" t="s">
        <v>30</v>
      </c>
      <c r="M53" s="18" t="s">
        <v>28</v>
      </c>
      <c r="N53" s="10"/>
      <c r="O53" s="19"/>
      <c r="P53" s="19"/>
      <c r="Q53" s="29">
        <f t="shared" si="1"/>
        <v>1</v>
      </c>
      <c r="R53" s="10" t="str">
        <f t="shared" si="0"/>
        <v>P00.051</v>
      </c>
    </row>
    <row r="54" spans="1:18">
      <c r="A54" s="17"/>
      <c r="B54" s="17"/>
      <c r="C54" s="17"/>
      <c r="D54" s="10">
        <f>INDEX(D:D,ROW()-1)+_xlfn.IFS(INDEX(E:E,ROW()-1)="s16",1,INDEX(E:E,ROW()-1)="s32",2,INDEX(E:E,ROW()-1)="s64",4,INDEX(E:E,ROW()-1)="u16",1,INDEX(E:E,ROW()-1)="u32",2,INDEX(E:E,ROW()-1)="u64",4,INDEX(E:E,ROW()-1)="f32",2,INDEX(E:E,ROW()-1)="f64",4)</f>
        <v>52</v>
      </c>
      <c r="E54" s="18" t="s">
        <v>34</v>
      </c>
      <c r="F54" s="19" t="s">
        <v>127</v>
      </c>
      <c r="G54" s="20" t="s">
        <v>128</v>
      </c>
      <c r="H54" s="20" t="s">
        <v>23</v>
      </c>
      <c r="I54" s="20" t="s">
        <v>35</v>
      </c>
      <c r="J54" s="10" t="s">
        <v>129</v>
      </c>
      <c r="K54" s="10" t="s">
        <v>26</v>
      </c>
      <c r="L54" s="10" t="s">
        <v>30</v>
      </c>
      <c r="M54" s="18" t="s">
        <v>28</v>
      </c>
      <c r="N54" s="10"/>
      <c r="O54" s="25" t="s">
        <v>130</v>
      </c>
      <c r="P54" s="19"/>
      <c r="Q54" s="29">
        <f t="shared" si="1"/>
        <v>1</v>
      </c>
      <c r="R54" s="10" t="str">
        <f t="shared" si="0"/>
        <v>P00.052</v>
      </c>
    </row>
    <row r="55" spans="1:18">
      <c r="A55" s="17"/>
      <c r="B55" s="17"/>
      <c r="C55" s="17"/>
      <c r="D55" s="10">
        <f>INDEX(D:D,ROW()-1)+_xlfn.IFS(INDEX(E:E,ROW()-1)="s16",1,INDEX(E:E,ROW()-1)="s32",2,INDEX(E:E,ROW()-1)="s64",4,INDEX(E:E,ROW()-1)="u16",1,INDEX(E:E,ROW()-1)="u32",2,INDEX(E:E,ROW()-1)="u64",4,INDEX(E:E,ROW()-1)="f32",2,INDEX(E:E,ROW()-1)="f64",4)</f>
        <v>53</v>
      </c>
      <c r="E55" s="18" t="s">
        <v>34</v>
      </c>
      <c r="F55" s="19" t="s">
        <v>131</v>
      </c>
      <c r="G55" s="20" t="s">
        <v>132</v>
      </c>
      <c r="H55" s="20" t="s">
        <v>23</v>
      </c>
      <c r="I55" s="20" t="s">
        <v>35</v>
      </c>
      <c r="J55" s="10" t="s">
        <v>129</v>
      </c>
      <c r="K55" s="10" t="s">
        <v>26</v>
      </c>
      <c r="L55" s="10" t="s">
        <v>30</v>
      </c>
      <c r="M55" s="18" t="s">
        <v>28</v>
      </c>
      <c r="N55" s="10"/>
      <c r="O55" s="25" t="s">
        <v>133</v>
      </c>
      <c r="P55" s="19"/>
      <c r="Q55" s="29">
        <f t="shared" si="1"/>
        <v>1</v>
      </c>
      <c r="R55" s="10" t="str">
        <f t="shared" si="0"/>
        <v>P00.053</v>
      </c>
    </row>
    <row r="56" spans="1:18">
      <c r="A56" s="17"/>
      <c r="B56" s="17"/>
      <c r="C56" s="17"/>
      <c r="D56" s="10">
        <f>INDEX(D:D,ROW()-1)+_xlfn.IFS(INDEX(E:E,ROW()-1)="s16",1,INDEX(E:E,ROW()-1)="s32",2,INDEX(E:E,ROW()-1)="s64",4,INDEX(E:E,ROW()-1)="u16",1,INDEX(E:E,ROW()-1)="u32",2,INDEX(E:E,ROW()-1)="u64",4,INDEX(E:E,ROW()-1)="f32",2,INDEX(E:E,ROW()-1)="f64",4)</f>
        <v>54</v>
      </c>
      <c r="E56" s="18" t="s">
        <v>34</v>
      </c>
      <c r="F56" s="19" t="s">
        <v>134</v>
      </c>
      <c r="G56" s="20" t="s">
        <v>135</v>
      </c>
      <c r="H56" s="20" t="s">
        <v>23</v>
      </c>
      <c r="I56" s="20" t="s">
        <v>35</v>
      </c>
      <c r="J56" s="10" t="s">
        <v>129</v>
      </c>
      <c r="K56" s="10" t="s">
        <v>26</v>
      </c>
      <c r="L56" s="10" t="s">
        <v>30</v>
      </c>
      <c r="M56" s="18" t="s">
        <v>28</v>
      </c>
      <c r="N56" s="10"/>
      <c r="O56" s="25" t="s">
        <v>136</v>
      </c>
      <c r="P56" s="19"/>
      <c r="Q56" s="29">
        <f t="shared" si="1"/>
        <v>1</v>
      </c>
      <c r="R56" s="10" t="str">
        <f t="shared" si="0"/>
        <v>P00.054</v>
      </c>
    </row>
    <row r="57" spans="1:18">
      <c r="A57" s="17"/>
      <c r="B57" s="17"/>
      <c r="C57" s="17"/>
      <c r="D57" s="10">
        <f>INDEX(D:D,ROW()-1)+_xlfn.IFS(INDEX(E:E,ROW()-1)="s16",1,INDEX(E:E,ROW()-1)="s32",2,INDEX(E:E,ROW()-1)="s64",4,INDEX(E:E,ROW()-1)="u16",1,INDEX(E:E,ROW()-1)="u32",2,INDEX(E:E,ROW()-1)="u64",4,INDEX(E:E,ROW()-1)="f32",2,INDEX(E:E,ROW()-1)="f64",4)</f>
        <v>55</v>
      </c>
      <c r="E57" s="18" t="s">
        <v>34</v>
      </c>
      <c r="F57" s="19" t="s">
        <v>137</v>
      </c>
      <c r="G57" s="20" t="s">
        <v>135</v>
      </c>
      <c r="H57" s="20" t="s">
        <v>23</v>
      </c>
      <c r="I57" s="20" t="s">
        <v>35</v>
      </c>
      <c r="J57" s="10" t="s">
        <v>129</v>
      </c>
      <c r="K57" s="10" t="s">
        <v>26</v>
      </c>
      <c r="L57" s="10" t="s">
        <v>30</v>
      </c>
      <c r="M57" s="18" t="s">
        <v>28</v>
      </c>
      <c r="N57" s="10"/>
      <c r="O57" s="25" t="s">
        <v>138</v>
      </c>
      <c r="P57" s="19"/>
      <c r="Q57" s="29">
        <f t="shared" si="1"/>
        <v>1</v>
      </c>
      <c r="R57" s="10" t="str">
        <f t="shared" si="0"/>
        <v>P00.055</v>
      </c>
    </row>
    <row r="58" spans="1:18">
      <c r="A58" s="17"/>
      <c r="B58" s="17"/>
      <c r="C58" s="17"/>
      <c r="D58" s="10">
        <f>INDEX(D:D,ROW()-1)+_xlfn.IFS(INDEX(E:E,ROW()-1)="s16",1,INDEX(E:E,ROW()-1)="s32",2,INDEX(E:E,ROW()-1)="s64",4,INDEX(E:E,ROW()-1)="u16",1,INDEX(E:E,ROW()-1)="u32",2,INDEX(E:E,ROW()-1)="u64",4,INDEX(E:E,ROW()-1)="f32",2,INDEX(E:E,ROW()-1)="f64",4)</f>
        <v>56</v>
      </c>
      <c r="E58" s="18" t="s">
        <v>34</v>
      </c>
      <c r="F58" s="19" t="s">
        <v>139</v>
      </c>
      <c r="G58" s="20" t="s">
        <v>140</v>
      </c>
      <c r="H58" s="20" t="s">
        <v>23</v>
      </c>
      <c r="I58" s="20" t="s">
        <v>35</v>
      </c>
      <c r="J58" s="10" t="s">
        <v>129</v>
      </c>
      <c r="K58" s="10" t="s">
        <v>26</v>
      </c>
      <c r="L58" s="10" t="s">
        <v>30</v>
      </c>
      <c r="M58" s="18" t="s">
        <v>28</v>
      </c>
      <c r="N58" s="10"/>
      <c r="O58" s="25" t="s">
        <v>141</v>
      </c>
      <c r="P58" s="19"/>
      <c r="Q58" s="29">
        <f>IF(OR(F60="",LEFT(TRIM(F60),3)=E58),1,0)</f>
        <v>1</v>
      </c>
      <c r="R58" s="10" t="str">
        <f t="shared" si="0"/>
        <v>P00.056</v>
      </c>
    </row>
    <row r="59" spans="1:18">
      <c r="A59" s="17"/>
      <c r="B59" s="17"/>
      <c r="C59" s="17"/>
      <c r="D59" s="10">
        <f>INDEX(D:D,ROW()-1)+_xlfn.IFS(INDEX(E:E,ROW()-1)="s16",1,INDEX(E:E,ROW()-1)="s32",2,INDEX(E:E,ROW()-1)="s64",4,INDEX(E:E,ROW()-1)="u16",1,INDEX(E:E,ROW()-1)="u32",2,INDEX(E:E,ROW()-1)="u64",4,INDEX(E:E,ROW()-1)="f32",2,INDEX(E:E,ROW()-1)="f64",4)</f>
        <v>57</v>
      </c>
      <c r="E59" s="18" t="s">
        <v>34</v>
      </c>
      <c r="F59" s="19"/>
      <c r="G59" s="20" t="s">
        <v>23</v>
      </c>
      <c r="H59" s="20" t="s">
        <v>23</v>
      </c>
      <c r="I59" s="20" t="s">
        <v>35</v>
      </c>
      <c r="J59" s="10" t="s">
        <v>25</v>
      </c>
      <c r="K59" s="10" t="s">
        <v>26</v>
      </c>
      <c r="L59" s="10" t="s">
        <v>30</v>
      </c>
      <c r="M59" s="18" t="s">
        <v>28</v>
      </c>
      <c r="N59" s="10"/>
      <c r="O59" s="19"/>
      <c r="P59" s="19"/>
      <c r="Q59" s="29">
        <f>IF(OR(F61="",LEFT(TRIM(F61),3)=E59),1,0)</f>
        <v>1</v>
      </c>
      <c r="R59" s="10" t="str">
        <f t="shared" si="0"/>
        <v>P00.057</v>
      </c>
    </row>
    <row r="60" spans="1:18">
      <c r="A60" s="17"/>
      <c r="B60" s="17"/>
      <c r="C60" s="17"/>
      <c r="D60" s="10">
        <f>INDEX(D:D,ROW()-1)+_xlfn.IFS(INDEX(E:E,ROW()-1)="s16",1,INDEX(E:E,ROW()-1)="s32",2,INDEX(E:E,ROW()-1)="s64",4,INDEX(E:E,ROW()-1)="u16",1,INDEX(E:E,ROW()-1)="u32",2,INDEX(E:E,ROW()-1)="u64",4,INDEX(E:E,ROW()-1)="f32",2,INDEX(E:E,ROW()-1)="f64",4)</f>
        <v>58</v>
      </c>
      <c r="E60" s="18" t="s">
        <v>34</v>
      </c>
      <c r="F60" s="21" t="s">
        <v>142</v>
      </c>
      <c r="G60" s="20" t="s">
        <v>143</v>
      </c>
      <c r="H60" s="20" t="s">
        <v>23</v>
      </c>
      <c r="I60" s="20" t="s">
        <v>35</v>
      </c>
      <c r="J60" s="10" t="s">
        <v>144</v>
      </c>
      <c r="K60" s="10" t="s">
        <v>26</v>
      </c>
      <c r="L60" s="10" t="s">
        <v>30</v>
      </c>
      <c r="M60" s="18" t="s">
        <v>28</v>
      </c>
      <c r="N60" s="21"/>
      <c r="O60" s="21" t="s">
        <v>145</v>
      </c>
      <c r="P60" s="19"/>
      <c r="Q60" s="29">
        <f>IF(OR(F62="",LEFT(TRIM(F62),3)=E60),1,0)</f>
        <v>1</v>
      </c>
      <c r="R60" s="10" t="str">
        <f t="shared" si="0"/>
        <v>P00.058</v>
      </c>
    </row>
    <row r="61" spans="1:18">
      <c r="A61" s="17"/>
      <c r="B61" s="17"/>
      <c r="C61" s="17"/>
      <c r="D61" s="10">
        <f>INDEX(D:D,ROW()-1)+_xlfn.IFS(INDEX(E:E,ROW()-1)="s16",1,INDEX(E:E,ROW()-1)="s32",2,INDEX(E:E,ROW()-1)="s64",4,INDEX(E:E,ROW()-1)="u16",1,INDEX(E:E,ROW()-1)="u32",2,INDEX(E:E,ROW()-1)="u64",4,INDEX(E:E,ROW()-1)="f32",2,INDEX(E:E,ROW()-1)="f64",4)</f>
        <v>59</v>
      </c>
      <c r="E61" s="18" t="s">
        <v>34</v>
      </c>
      <c r="F61" s="19" t="s">
        <v>146</v>
      </c>
      <c r="G61" s="20" t="s">
        <v>147</v>
      </c>
      <c r="H61" s="20" t="s">
        <v>23</v>
      </c>
      <c r="I61" s="20" t="s">
        <v>35</v>
      </c>
      <c r="J61" s="10" t="s">
        <v>144</v>
      </c>
      <c r="K61" s="10" t="s">
        <v>26</v>
      </c>
      <c r="L61" s="10" t="s">
        <v>30</v>
      </c>
      <c r="M61" s="18" t="s">
        <v>28</v>
      </c>
      <c r="N61" s="10"/>
      <c r="O61" s="21" t="s">
        <v>148</v>
      </c>
      <c r="P61" s="19"/>
      <c r="Q61" s="29">
        <f>IF(OR(F63="",LEFT(TRIM(F63),3)=E61),1,0)</f>
        <v>1</v>
      </c>
      <c r="R61" s="10" t="str">
        <f t="shared" si="0"/>
        <v>P00.059</v>
      </c>
    </row>
    <row r="62" spans="1:18">
      <c r="A62" s="17"/>
      <c r="B62" s="17"/>
      <c r="C62" s="17"/>
      <c r="D62" s="10">
        <f>INDEX(D:D,ROW()-1)+_xlfn.IFS(INDEX(E:E,ROW()-1)="s16",1,INDEX(E:E,ROW()-1)="s32",2,INDEX(E:E,ROW()-1)="s64",4,INDEX(E:E,ROW()-1)="u16",1,INDEX(E:E,ROW()-1)="u32",2,INDEX(E:E,ROW()-1)="u64",4,INDEX(E:E,ROW()-1)="f32",2,INDEX(E:E,ROW()-1)="f64",4)</f>
        <v>60</v>
      </c>
      <c r="E62" s="18" t="s">
        <v>34</v>
      </c>
      <c r="F62" s="19" t="s">
        <v>149</v>
      </c>
      <c r="G62" s="20" t="s">
        <v>143</v>
      </c>
      <c r="H62" s="20" t="s">
        <v>23</v>
      </c>
      <c r="I62" s="20" t="s">
        <v>35</v>
      </c>
      <c r="J62" s="10" t="s">
        <v>144</v>
      </c>
      <c r="K62" s="10" t="s">
        <v>26</v>
      </c>
      <c r="L62" s="10" t="s">
        <v>30</v>
      </c>
      <c r="M62" s="18" t="s">
        <v>28</v>
      </c>
      <c r="N62" s="10"/>
      <c r="O62" s="21" t="s">
        <v>150</v>
      </c>
      <c r="P62" s="19"/>
      <c r="Q62" s="29" t="e">
        <f>IF(OR(#REF!="",LEFT(TRIM(#REF!),3)=E62),1,0)</f>
        <v>#REF!</v>
      </c>
      <c r="R62" s="10" t="str">
        <f t="shared" si="0"/>
        <v>P00.060</v>
      </c>
    </row>
    <row r="63" spans="1:18">
      <c r="A63" s="17"/>
      <c r="B63" s="17"/>
      <c r="C63" s="17"/>
      <c r="D63" s="10">
        <f>INDEX(D:D,ROW()-1)+_xlfn.IFS(INDEX(E:E,ROW()-1)="s16",1,INDEX(E:E,ROW()-1)="s32",2,INDEX(E:E,ROW()-1)="s64",4,INDEX(E:E,ROW()-1)="u16",1,INDEX(E:E,ROW()-1)="u32",2,INDEX(E:E,ROW()-1)="u64",4,INDEX(E:E,ROW()-1)="f32",2,INDEX(E:E,ROW()-1)="f64",4)</f>
        <v>61</v>
      </c>
      <c r="E63" s="18" t="s">
        <v>34</v>
      </c>
      <c r="F63" s="19" t="s">
        <v>151</v>
      </c>
      <c r="G63" s="20" t="s">
        <v>143</v>
      </c>
      <c r="H63" s="20" t="s">
        <v>23</v>
      </c>
      <c r="I63" s="20" t="s">
        <v>35</v>
      </c>
      <c r="J63" s="10" t="s">
        <v>144</v>
      </c>
      <c r="K63" s="10" t="s">
        <v>26</v>
      </c>
      <c r="L63" s="10" t="s">
        <v>30</v>
      </c>
      <c r="M63" s="18" t="s">
        <v>28</v>
      </c>
      <c r="N63" s="10"/>
      <c r="O63" s="21" t="s">
        <v>152</v>
      </c>
      <c r="P63" s="19"/>
      <c r="Q63" s="29" t="e">
        <f>IF(OR(#REF!="",LEFT(TRIM(#REF!),3)=E63),1,0)</f>
        <v>#REF!</v>
      </c>
      <c r="R63" s="10" t="str">
        <f t="shared" si="0"/>
        <v>P00.061</v>
      </c>
    </row>
    <row r="64" spans="1:18">
      <c r="A64" s="17"/>
      <c r="B64" s="17"/>
      <c r="C64" s="17"/>
      <c r="D64" s="10">
        <f>INDEX(D:D,ROW()-1)+_xlfn.IFS(INDEX(E:E,ROW()-1)="s16",1,INDEX(E:E,ROW()-1)="s32",2,INDEX(E:E,ROW()-1)="s64",4,INDEX(E:E,ROW()-1)="u16",1,INDEX(E:E,ROW()-1)="u32",2,INDEX(E:E,ROW()-1)="u64",4,INDEX(E:E,ROW()-1)="f32",2,INDEX(E:E,ROW()-1)="f64",4)</f>
        <v>62</v>
      </c>
      <c r="E64" s="18" t="s">
        <v>34</v>
      </c>
      <c r="F64" s="19"/>
      <c r="G64" s="20" t="s">
        <v>23</v>
      </c>
      <c r="H64" s="20" t="s">
        <v>23</v>
      </c>
      <c r="I64" s="20" t="s">
        <v>35</v>
      </c>
      <c r="J64" s="10" t="s">
        <v>25</v>
      </c>
      <c r="K64" s="10" t="s">
        <v>26</v>
      </c>
      <c r="L64" s="10" t="s">
        <v>30</v>
      </c>
      <c r="M64" s="18" t="s">
        <v>28</v>
      </c>
      <c r="N64" s="10"/>
      <c r="O64" s="19"/>
      <c r="P64" s="19"/>
      <c r="Q64" s="29">
        <f t="shared" si="1"/>
        <v>1</v>
      </c>
      <c r="R64" s="10" t="str">
        <f t="shared" si="0"/>
        <v>P00.062</v>
      </c>
    </row>
    <row r="65" spans="1:18">
      <c r="A65" s="17"/>
      <c r="B65" s="17"/>
      <c r="C65" s="17"/>
      <c r="D65" s="10">
        <f>INDEX(D:D,ROW()-1)+_xlfn.IFS(INDEX(E:E,ROW()-1)="s16",1,INDEX(E:E,ROW()-1)="s32",2,INDEX(E:E,ROW()-1)="s64",4,INDEX(E:E,ROW()-1)="u16",1,INDEX(E:E,ROW()-1)="u32",2,INDEX(E:E,ROW()-1)="u64",4,INDEX(E:E,ROW()-1)="f32",2,INDEX(E:E,ROW()-1)="f64",4)</f>
        <v>63</v>
      </c>
      <c r="E65" s="18" t="s">
        <v>34</v>
      </c>
      <c r="F65" s="19"/>
      <c r="G65" s="20" t="s">
        <v>23</v>
      </c>
      <c r="H65" s="20" t="s">
        <v>23</v>
      </c>
      <c r="I65" s="20" t="s">
        <v>35</v>
      </c>
      <c r="J65" s="10" t="s">
        <v>25</v>
      </c>
      <c r="K65" s="10" t="s">
        <v>26</v>
      </c>
      <c r="L65" s="10" t="s">
        <v>30</v>
      </c>
      <c r="M65" s="18" t="s">
        <v>28</v>
      </c>
      <c r="N65" s="10"/>
      <c r="O65" s="19"/>
      <c r="P65" s="19"/>
      <c r="Q65" s="29">
        <f t="shared" si="1"/>
        <v>1</v>
      </c>
      <c r="R65" s="10" t="str">
        <f t="shared" si="0"/>
        <v>P00.063</v>
      </c>
    </row>
    <row r="66" spans="1:18">
      <c r="A66" s="17">
        <v>2</v>
      </c>
      <c r="B66" s="17" t="s">
        <v>153</v>
      </c>
      <c r="C66" s="17" t="s">
        <v>154</v>
      </c>
      <c r="D66" s="10">
        <f>INDEX(D:D,ROW()-1)+_xlfn.IFS(INDEX(E:E,ROW()-1)="s16",1,INDEX(E:E,ROW()-1)="s32",2,INDEX(E:E,ROW()-1)="s64",4,INDEX(E:E,ROW()-1)="u16",1,INDEX(E:E,ROW()-1)="u32",2,INDEX(E:E,ROW()-1)="u64",4,INDEX(E:E,ROW()-1)="f32",2,INDEX(E:E,ROW()-1)="f64",4)</f>
        <v>64</v>
      </c>
      <c r="E66" s="18" t="s">
        <v>34</v>
      </c>
      <c r="F66" s="19"/>
      <c r="G66" s="20" t="s">
        <v>23</v>
      </c>
      <c r="H66" s="20" t="s">
        <v>23</v>
      </c>
      <c r="I66" s="20" t="s">
        <v>35</v>
      </c>
      <c r="J66" s="10" t="s">
        <v>25</v>
      </c>
      <c r="K66" s="10" t="s">
        <v>26</v>
      </c>
      <c r="L66" s="10" t="s">
        <v>30</v>
      </c>
      <c r="M66" s="18" t="s">
        <v>28</v>
      </c>
      <c r="N66" s="10"/>
      <c r="O66" s="19"/>
      <c r="P66" s="19"/>
      <c r="Q66" s="29">
        <f t="shared" si="1"/>
        <v>1</v>
      </c>
      <c r="R66" s="10" t="str">
        <f t="shared" si="0"/>
        <v>P00.064</v>
      </c>
    </row>
    <row r="67" spans="1:18">
      <c r="A67" s="17"/>
      <c r="B67" s="17"/>
      <c r="C67" s="17"/>
      <c r="D67" s="10">
        <f>INDEX(D:D,ROW()-1)+_xlfn.IFS(INDEX(E:E,ROW()-1)="s16",1,INDEX(E:E,ROW()-1)="s32",2,INDEX(E:E,ROW()-1)="s64",4,INDEX(E:E,ROW()-1)="u16",1,INDEX(E:E,ROW()-1)="u32",2,INDEX(E:E,ROW()-1)="u64",4,INDEX(E:E,ROW()-1)="f32",2,INDEX(E:E,ROW()-1)="f64",4)</f>
        <v>65</v>
      </c>
      <c r="E67" s="18" t="s">
        <v>34</v>
      </c>
      <c r="F67" s="42" t="s">
        <v>155</v>
      </c>
      <c r="G67" s="20" t="s">
        <v>39</v>
      </c>
      <c r="H67" s="20" t="s">
        <v>39</v>
      </c>
      <c r="I67" s="20" t="s">
        <v>156</v>
      </c>
      <c r="J67" s="10" t="s">
        <v>25</v>
      </c>
      <c r="K67" s="10" t="s">
        <v>157</v>
      </c>
      <c r="L67" s="10" t="s">
        <v>27</v>
      </c>
      <c r="M67" s="18" t="s">
        <v>28</v>
      </c>
      <c r="N67" s="21"/>
      <c r="O67" s="21" t="s">
        <v>158</v>
      </c>
      <c r="P67" s="19"/>
      <c r="Q67" s="29">
        <f t="shared" si="1"/>
        <v>1</v>
      </c>
      <c r="R67" s="18" t="str">
        <f t="shared" si="0"/>
        <v>P00.065</v>
      </c>
    </row>
    <row r="68" spans="1:18">
      <c r="A68" s="17"/>
      <c r="B68" s="17"/>
      <c r="C68" s="17"/>
      <c r="D68" s="10">
        <f>INDEX(D:D,ROW()-1)+_xlfn.IFS(INDEX(E:E,ROW()-1)="s16",1,INDEX(E:E,ROW()-1)="s32",2,INDEX(E:E,ROW()-1)="s64",4,INDEX(E:E,ROW()-1)="u16",1,INDEX(E:E,ROW()-1)="u32",2,INDEX(E:E,ROW()-1)="u64",4,INDEX(E:E,ROW()-1)="f32",2,INDEX(E:E,ROW()-1)="f64",4)</f>
        <v>66</v>
      </c>
      <c r="E68" s="18" t="s">
        <v>20</v>
      </c>
      <c r="F68" s="42" t="s">
        <v>159</v>
      </c>
      <c r="G68" s="20" t="s">
        <v>160</v>
      </c>
      <c r="H68" s="20" t="s">
        <v>23</v>
      </c>
      <c r="I68" s="20" t="s">
        <v>161</v>
      </c>
      <c r="J68" s="10" t="s">
        <v>25</v>
      </c>
      <c r="K68" s="10" t="s">
        <v>157</v>
      </c>
      <c r="L68" s="10" t="s">
        <v>27</v>
      </c>
      <c r="M68" s="18" t="s">
        <v>28</v>
      </c>
      <c r="N68" s="21"/>
      <c r="O68" s="21" t="s">
        <v>162</v>
      </c>
      <c r="P68" s="19"/>
      <c r="Q68" s="29">
        <f t="shared" si="1"/>
        <v>1</v>
      </c>
      <c r="R68" s="18" t="str">
        <f t="shared" si="0"/>
        <v>P00.066</v>
      </c>
    </row>
    <row r="69" ht="39.6" spans="1:18">
      <c r="A69" s="17"/>
      <c r="B69" s="17"/>
      <c r="C69" s="17"/>
      <c r="D69" s="10">
        <f>INDEX(D:D,ROW()-1)+_xlfn.IFS(INDEX(E:E,ROW()-1)="s16",1,INDEX(E:E,ROW()-1)="s32",2,INDEX(E:E,ROW()-1)="s64",4,INDEX(E:E,ROW()-1)="u16",1,INDEX(E:E,ROW()-1)="u32",2,INDEX(E:E,ROW()-1)="u64",4,INDEX(E:E,ROW()-1)="f32",2,INDEX(E:E,ROW()-1)="f64",4)</f>
        <v>68</v>
      </c>
      <c r="E69" s="18" t="s">
        <v>34</v>
      </c>
      <c r="F69" s="42" t="s">
        <v>163</v>
      </c>
      <c r="G69" s="20" t="s">
        <v>42</v>
      </c>
      <c r="H69" s="20" t="s">
        <v>23</v>
      </c>
      <c r="I69" s="20" t="s">
        <v>42</v>
      </c>
      <c r="J69" s="10" t="s">
        <v>25</v>
      </c>
      <c r="K69" s="10" t="s">
        <v>157</v>
      </c>
      <c r="L69" s="10" t="s">
        <v>27</v>
      </c>
      <c r="M69" s="18" t="s">
        <v>28</v>
      </c>
      <c r="N69" s="21"/>
      <c r="O69" s="21" t="s">
        <v>164</v>
      </c>
      <c r="P69" s="24" t="s">
        <v>165</v>
      </c>
      <c r="Q69" s="29">
        <f t="shared" si="1"/>
        <v>1</v>
      </c>
      <c r="R69" s="18" t="str">
        <f t="shared" si="0"/>
        <v>P00.068</v>
      </c>
    </row>
    <row r="70" ht="26.4" spans="1:18">
      <c r="A70" s="17"/>
      <c r="B70" s="17"/>
      <c r="C70" s="17"/>
      <c r="D70" s="10">
        <f>INDEX(D:D,ROW()-1)+_xlfn.IFS(INDEX(E:E,ROW()-1)="s16",1,INDEX(E:E,ROW()-1)="s32",2,INDEX(E:E,ROW()-1)="s64",4,INDEX(E:E,ROW()-1)="u16",1,INDEX(E:E,ROW()-1)="u32",2,INDEX(E:E,ROW()-1)="u64",4,INDEX(E:E,ROW()-1)="f32",2,INDEX(E:E,ROW()-1)="f64",4)</f>
        <v>69</v>
      </c>
      <c r="E70" s="18" t="s">
        <v>34</v>
      </c>
      <c r="F70" s="42" t="s">
        <v>166</v>
      </c>
      <c r="G70" s="20" t="s">
        <v>23</v>
      </c>
      <c r="H70" s="20" t="s">
        <v>23</v>
      </c>
      <c r="I70" s="20" t="s">
        <v>39</v>
      </c>
      <c r="J70" s="10" t="s">
        <v>25</v>
      </c>
      <c r="K70" s="10" t="s">
        <v>62</v>
      </c>
      <c r="L70" s="10" t="s">
        <v>27</v>
      </c>
      <c r="M70" s="18" t="s">
        <v>28</v>
      </c>
      <c r="N70" s="21"/>
      <c r="O70" s="21" t="s">
        <v>167</v>
      </c>
      <c r="P70" s="24" t="s">
        <v>168</v>
      </c>
      <c r="Q70" s="29">
        <f t="shared" si="1"/>
        <v>1</v>
      </c>
      <c r="R70" s="18" t="str">
        <f t="shared" ref="R70:R133" si="2">"P"&amp;TEXT(ROUND(D70/256,0),"00")&amp;"."&amp;TEXT(MOD(D70,256),"000")</f>
        <v>P00.069</v>
      </c>
    </row>
    <row r="71" spans="1:18">
      <c r="A71" s="17"/>
      <c r="B71" s="17"/>
      <c r="C71" s="17"/>
      <c r="D71" s="10">
        <f>INDEX(D:D,ROW()-1)+_xlfn.IFS(INDEX(E:E,ROW()-1)="s16",1,INDEX(E:E,ROW()-1)="s32",2,INDEX(E:E,ROW()-1)="s64",4,INDEX(E:E,ROW()-1)="u16",1,INDEX(E:E,ROW()-1)="u32",2,INDEX(E:E,ROW()-1)="u64",4,INDEX(E:E,ROW()-1)="f32",2,INDEX(E:E,ROW()-1)="f64",4)</f>
        <v>70</v>
      </c>
      <c r="E71" s="18" t="s">
        <v>34</v>
      </c>
      <c r="F71" s="42" t="s">
        <v>169</v>
      </c>
      <c r="G71" s="20" t="s">
        <v>170</v>
      </c>
      <c r="H71" s="20" t="s">
        <v>171</v>
      </c>
      <c r="I71" s="20" t="s">
        <v>35</v>
      </c>
      <c r="J71" s="10" t="s">
        <v>172</v>
      </c>
      <c r="K71" s="10" t="s">
        <v>62</v>
      </c>
      <c r="L71" s="10" t="s">
        <v>27</v>
      </c>
      <c r="M71" s="18" t="s">
        <v>28</v>
      </c>
      <c r="N71" s="21"/>
      <c r="O71" s="21" t="s">
        <v>173</v>
      </c>
      <c r="P71" s="19"/>
      <c r="Q71" s="29">
        <f t="shared" si="1"/>
        <v>1</v>
      </c>
      <c r="R71" s="18" t="str">
        <f t="shared" si="2"/>
        <v>P00.070</v>
      </c>
    </row>
    <row r="72" spans="1:18">
      <c r="A72" s="17"/>
      <c r="B72" s="17"/>
      <c r="C72" s="17"/>
      <c r="D72" s="10">
        <f>INDEX(D:D,ROW()-1)+_xlfn.IFS(INDEX(E:E,ROW()-1)="s16",1,INDEX(E:E,ROW()-1)="s32",2,INDEX(E:E,ROW()-1)="s64",4,INDEX(E:E,ROW()-1)="u16",1,INDEX(E:E,ROW()-1)="u32",2,INDEX(E:E,ROW()-1)="u64",4,INDEX(E:E,ROW()-1)="f32",2,INDEX(E:E,ROW()-1)="f64",4)</f>
        <v>71</v>
      </c>
      <c r="E72" s="18" t="s">
        <v>34</v>
      </c>
      <c r="F72" s="42" t="s">
        <v>174</v>
      </c>
      <c r="G72" s="20" t="s">
        <v>23</v>
      </c>
      <c r="H72" s="20" t="s">
        <v>23</v>
      </c>
      <c r="I72" s="20" t="s">
        <v>35</v>
      </c>
      <c r="J72" s="10" t="s">
        <v>172</v>
      </c>
      <c r="K72" s="10" t="s">
        <v>62</v>
      </c>
      <c r="L72" s="10" t="s">
        <v>27</v>
      </c>
      <c r="M72" s="18" t="s">
        <v>28</v>
      </c>
      <c r="N72" s="21"/>
      <c r="O72" s="21" t="s">
        <v>175</v>
      </c>
      <c r="P72" s="19"/>
      <c r="Q72" s="29">
        <f t="shared" si="1"/>
        <v>1</v>
      </c>
      <c r="R72" s="18" t="str">
        <f t="shared" si="2"/>
        <v>P00.071</v>
      </c>
    </row>
    <row r="73" spans="1:18">
      <c r="A73" s="17"/>
      <c r="B73" s="17"/>
      <c r="C73" s="17"/>
      <c r="D73" s="10">
        <f>INDEX(D:D,ROW()-1)+_xlfn.IFS(INDEX(E:E,ROW()-1)="s16",1,INDEX(E:E,ROW()-1)="s32",2,INDEX(E:E,ROW()-1)="s64",4,INDEX(E:E,ROW()-1)="u16",1,INDEX(E:E,ROW()-1)="u32",2,INDEX(E:E,ROW()-1)="u64",4,INDEX(E:E,ROW()-1)="f32",2,INDEX(E:E,ROW()-1)="f64",4)</f>
        <v>72</v>
      </c>
      <c r="E73" s="18" t="s">
        <v>34</v>
      </c>
      <c r="F73" s="19"/>
      <c r="G73" s="20" t="s">
        <v>23</v>
      </c>
      <c r="H73" s="20" t="s">
        <v>23</v>
      </c>
      <c r="I73" s="20" t="s">
        <v>35</v>
      </c>
      <c r="J73" s="10" t="s">
        <v>25</v>
      </c>
      <c r="K73" s="10" t="s">
        <v>26</v>
      </c>
      <c r="L73" s="10" t="s">
        <v>30</v>
      </c>
      <c r="M73" s="18" t="s">
        <v>28</v>
      </c>
      <c r="N73" s="21"/>
      <c r="O73" s="19"/>
      <c r="P73" s="19"/>
      <c r="Q73" s="29">
        <f t="shared" ref="Q73:Q136" si="3">IF(OR(F73="",LEFT(TRIM(F73),3)=E73),1,0)</f>
        <v>1</v>
      </c>
      <c r="R73" s="10" t="str">
        <f t="shared" si="2"/>
        <v>P00.072</v>
      </c>
    </row>
    <row r="74" spans="1:18">
      <c r="A74" s="17"/>
      <c r="B74" s="17"/>
      <c r="C74" s="17"/>
      <c r="D74" s="10">
        <f>INDEX(D:D,ROW()-1)+_xlfn.IFS(INDEX(E:E,ROW()-1)="s16",1,INDEX(E:E,ROW()-1)="s32",2,INDEX(E:E,ROW()-1)="s64",4,INDEX(E:E,ROW()-1)="u16",1,INDEX(E:E,ROW()-1)="u32",2,INDEX(E:E,ROW()-1)="u64",4,INDEX(E:E,ROW()-1)="f32",2,INDEX(E:E,ROW()-1)="f64",4)</f>
        <v>73</v>
      </c>
      <c r="E74" s="18" t="s">
        <v>34</v>
      </c>
      <c r="F74" s="21" t="s">
        <v>176</v>
      </c>
      <c r="G74" s="20" t="s">
        <v>39</v>
      </c>
      <c r="H74" s="20" t="s">
        <v>39</v>
      </c>
      <c r="I74" s="20" t="s">
        <v>177</v>
      </c>
      <c r="J74" s="10" t="s">
        <v>25</v>
      </c>
      <c r="K74" s="10" t="s">
        <v>157</v>
      </c>
      <c r="L74" s="10" t="s">
        <v>27</v>
      </c>
      <c r="M74" s="18" t="s">
        <v>28</v>
      </c>
      <c r="N74" s="21"/>
      <c r="O74" s="21" t="s">
        <v>178</v>
      </c>
      <c r="P74" s="19"/>
      <c r="Q74" s="29">
        <f t="shared" si="3"/>
        <v>1</v>
      </c>
      <c r="R74" s="18" t="str">
        <f t="shared" si="2"/>
        <v>P00.073</v>
      </c>
    </row>
    <row r="75" spans="1:18">
      <c r="A75" s="17"/>
      <c r="B75" s="17"/>
      <c r="C75" s="17"/>
      <c r="D75" s="10">
        <f>INDEX(D:D,ROW()-1)+_xlfn.IFS(INDEX(E:E,ROW()-1)="s16",1,INDEX(E:E,ROW()-1)="s32",2,INDEX(E:E,ROW()-1)="s64",4,INDEX(E:E,ROW()-1)="u16",1,INDEX(E:E,ROW()-1)="u32",2,INDEX(E:E,ROW()-1)="u64",4,INDEX(E:E,ROW()-1)="f32",2,INDEX(E:E,ROW()-1)="f64",4)</f>
        <v>74</v>
      </c>
      <c r="E75" s="18" t="s">
        <v>34</v>
      </c>
      <c r="F75" s="21" t="s">
        <v>179</v>
      </c>
      <c r="G75" s="20" t="s">
        <v>23</v>
      </c>
      <c r="H75" s="20" t="s">
        <v>23</v>
      </c>
      <c r="I75" s="20" t="s">
        <v>35</v>
      </c>
      <c r="J75" s="10" t="s">
        <v>25</v>
      </c>
      <c r="K75" s="10" t="s">
        <v>157</v>
      </c>
      <c r="L75" s="10" t="s">
        <v>27</v>
      </c>
      <c r="M75" s="18" t="s">
        <v>28</v>
      </c>
      <c r="N75" s="21"/>
      <c r="O75" s="21" t="s">
        <v>180</v>
      </c>
      <c r="P75" s="19"/>
      <c r="Q75" s="29">
        <f t="shared" si="3"/>
        <v>1</v>
      </c>
      <c r="R75" s="18" t="str">
        <f t="shared" si="2"/>
        <v>P00.074</v>
      </c>
    </row>
    <row r="76" spans="1:18">
      <c r="A76" s="17"/>
      <c r="B76" s="17"/>
      <c r="C76" s="17"/>
      <c r="D76" s="10">
        <f>INDEX(D:D,ROW()-1)+_xlfn.IFS(INDEX(E:E,ROW()-1)="s16",1,INDEX(E:E,ROW()-1)="s32",2,INDEX(E:E,ROW()-1)="s64",4,INDEX(E:E,ROW()-1)="u16",1,INDEX(E:E,ROW()-1)="u32",2,INDEX(E:E,ROW()-1)="u64",4,INDEX(E:E,ROW()-1)="f32",2,INDEX(E:E,ROW()-1)="f64",4)</f>
        <v>75</v>
      </c>
      <c r="E76" s="18" t="s">
        <v>34</v>
      </c>
      <c r="F76" s="21" t="s">
        <v>181</v>
      </c>
      <c r="G76" s="20" t="s">
        <v>182</v>
      </c>
      <c r="H76" s="20" t="s">
        <v>23</v>
      </c>
      <c r="I76" s="20" t="s">
        <v>35</v>
      </c>
      <c r="J76" s="10" t="s">
        <v>172</v>
      </c>
      <c r="K76" s="10" t="s">
        <v>62</v>
      </c>
      <c r="L76" s="10" t="s">
        <v>27</v>
      </c>
      <c r="M76" s="18" t="s">
        <v>28</v>
      </c>
      <c r="N76" s="21"/>
      <c r="O76" s="21" t="s">
        <v>183</v>
      </c>
      <c r="P76" s="19"/>
      <c r="Q76" s="29">
        <f t="shared" si="3"/>
        <v>1</v>
      </c>
      <c r="R76" s="18" t="str">
        <f t="shared" si="2"/>
        <v>P00.075</v>
      </c>
    </row>
    <row r="77" spans="1:18">
      <c r="A77" s="17"/>
      <c r="B77" s="17"/>
      <c r="C77" s="17"/>
      <c r="D77" s="10">
        <f>INDEX(D:D,ROW()-1)+_xlfn.IFS(INDEX(E:E,ROW()-1)="s16",1,INDEX(E:E,ROW()-1)="s32",2,INDEX(E:E,ROW()-1)="s64",4,INDEX(E:E,ROW()-1)="u16",1,INDEX(E:E,ROW()-1)="u32",2,INDEX(E:E,ROW()-1)="u64",4,INDEX(E:E,ROW()-1)="f32",2,INDEX(E:E,ROW()-1)="f64",4)</f>
        <v>76</v>
      </c>
      <c r="E77" s="18" t="s">
        <v>34</v>
      </c>
      <c r="F77" s="21" t="s">
        <v>184</v>
      </c>
      <c r="G77" s="20" t="s">
        <v>23</v>
      </c>
      <c r="H77" s="20" t="s">
        <v>23</v>
      </c>
      <c r="I77" s="20" t="s">
        <v>35</v>
      </c>
      <c r="J77" s="10" t="s">
        <v>25</v>
      </c>
      <c r="K77" s="10" t="s">
        <v>26</v>
      </c>
      <c r="L77" s="10" t="s">
        <v>30</v>
      </c>
      <c r="M77" s="18" t="s">
        <v>28</v>
      </c>
      <c r="N77" s="21"/>
      <c r="O77" s="21" t="s">
        <v>185</v>
      </c>
      <c r="P77" s="19"/>
      <c r="Q77" s="29">
        <f t="shared" si="3"/>
        <v>1</v>
      </c>
      <c r="R77" s="18" t="str">
        <f t="shared" si="2"/>
        <v>P00.076</v>
      </c>
    </row>
    <row r="78" spans="1:18">
      <c r="A78" s="17"/>
      <c r="B78" s="17"/>
      <c r="C78" s="17"/>
      <c r="D78" s="10">
        <f>INDEX(D:D,ROW()-1)+_xlfn.IFS(INDEX(E:E,ROW()-1)="s16",1,INDEX(E:E,ROW()-1)="s32",2,INDEX(E:E,ROW()-1)="s64",4,INDEX(E:E,ROW()-1)="u16",1,INDEX(E:E,ROW()-1)="u32",2,INDEX(E:E,ROW()-1)="u64",4,INDEX(E:E,ROW()-1)="f32",2,INDEX(E:E,ROW()-1)="f64",4)</f>
        <v>77</v>
      </c>
      <c r="E78" s="18" t="s">
        <v>34</v>
      </c>
      <c r="F78" s="19"/>
      <c r="G78" s="20" t="s">
        <v>23</v>
      </c>
      <c r="H78" s="20" t="s">
        <v>23</v>
      </c>
      <c r="I78" s="20" t="s">
        <v>35</v>
      </c>
      <c r="J78" s="10" t="s">
        <v>25</v>
      </c>
      <c r="K78" s="10" t="s">
        <v>26</v>
      </c>
      <c r="L78" s="10" t="s">
        <v>30</v>
      </c>
      <c r="M78" s="18" t="s">
        <v>28</v>
      </c>
      <c r="N78" s="21"/>
      <c r="O78" s="19"/>
      <c r="P78" s="19"/>
      <c r="Q78" s="29">
        <f t="shared" si="3"/>
        <v>1</v>
      </c>
      <c r="R78" s="10" t="str">
        <f t="shared" si="2"/>
        <v>P00.077</v>
      </c>
    </row>
    <row r="79" spans="1:18">
      <c r="A79" s="17"/>
      <c r="B79" s="17"/>
      <c r="C79" s="17"/>
      <c r="D79" s="10">
        <f>INDEX(D:D,ROW()-1)+_xlfn.IFS(INDEX(E:E,ROW()-1)="s16",1,INDEX(E:E,ROW()-1)="s32",2,INDEX(E:E,ROW()-1)="s64",4,INDEX(E:E,ROW()-1)="u16",1,INDEX(E:E,ROW()-1)="u32",2,INDEX(E:E,ROW()-1)="u64",4,INDEX(E:E,ROW()-1)="f32",2,INDEX(E:E,ROW()-1)="f64",4)</f>
        <v>78</v>
      </c>
      <c r="E79" s="18" t="s">
        <v>34</v>
      </c>
      <c r="F79" s="21" t="s">
        <v>186</v>
      </c>
      <c r="G79" s="20" t="s">
        <v>42</v>
      </c>
      <c r="H79" s="20" t="s">
        <v>39</v>
      </c>
      <c r="I79" s="20" t="s">
        <v>88</v>
      </c>
      <c r="J79" s="10" t="s">
        <v>172</v>
      </c>
      <c r="K79" s="10" t="s">
        <v>157</v>
      </c>
      <c r="L79" s="10" t="s">
        <v>27</v>
      </c>
      <c r="M79" s="18" t="s">
        <v>28</v>
      </c>
      <c r="N79" s="21"/>
      <c r="O79" s="21" t="s">
        <v>187</v>
      </c>
      <c r="P79" s="19"/>
      <c r="Q79" s="29">
        <f t="shared" si="3"/>
        <v>1</v>
      </c>
      <c r="R79" s="18" t="str">
        <f t="shared" si="2"/>
        <v>P00.078</v>
      </c>
    </row>
    <row r="80" spans="1:18">
      <c r="A80" s="17"/>
      <c r="B80" s="17"/>
      <c r="C80" s="17"/>
      <c r="D80" s="10">
        <f>INDEX(D:D,ROW()-1)+_xlfn.IFS(INDEX(E:E,ROW()-1)="s16",1,INDEX(E:E,ROW()-1)="s32",2,INDEX(E:E,ROW()-1)="s64",4,INDEX(E:E,ROW()-1)="u16",1,INDEX(E:E,ROW()-1)="u32",2,INDEX(E:E,ROW()-1)="u64",4,INDEX(E:E,ROW()-1)="f32",2,INDEX(E:E,ROW()-1)="f64",4)</f>
        <v>79</v>
      </c>
      <c r="E80" s="18" t="s">
        <v>34</v>
      </c>
      <c r="F80" s="21" t="s">
        <v>188</v>
      </c>
      <c r="G80" s="20" t="s">
        <v>23</v>
      </c>
      <c r="H80" s="20" t="s">
        <v>23</v>
      </c>
      <c r="I80" s="20" t="s">
        <v>35</v>
      </c>
      <c r="J80" s="10" t="s">
        <v>25</v>
      </c>
      <c r="K80" s="10" t="s">
        <v>26</v>
      </c>
      <c r="L80" s="10" t="s">
        <v>30</v>
      </c>
      <c r="M80" s="18" t="s">
        <v>28</v>
      </c>
      <c r="N80" s="21"/>
      <c r="O80" s="21" t="s">
        <v>189</v>
      </c>
      <c r="P80" s="19"/>
      <c r="Q80" s="29">
        <f t="shared" si="3"/>
        <v>1</v>
      </c>
      <c r="R80" s="18" t="str">
        <f t="shared" si="2"/>
        <v>P00.079</v>
      </c>
    </row>
    <row r="81" spans="1:18">
      <c r="A81" s="17"/>
      <c r="B81" s="17"/>
      <c r="C81" s="17"/>
      <c r="D81" s="10">
        <f>INDEX(D:D,ROW()-1)+_xlfn.IFS(INDEX(E:E,ROW()-1)="s16",1,INDEX(E:E,ROW()-1)="s32",2,INDEX(E:E,ROW()-1)="s64",4,INDEX(E:E,ROW()-1)="u16",1,INDEX(E:E,ROW()-1)="u32",2,INDEX(E:E,ROW()-1)="u64",4,INDEX(E:E,ROW()-1)="f32",2,INDEX(E:E,ROW()-1)="f64",4)</f>
        <v>80</v>
      </c>
      <c r="E81" s="18" t="s">
        <v>34</v>
      </c>
      <c r="F81" s="21" t="s">
        <v>190</v>
      </c>
      <c r="G81" s="20" t="s">
        <v>23</v>
      </c>
      <c r="H81" s="20" t="s">
        <v>23</v>
      </c>
      <c r="I81" s="20" t="s">
        <v>35</v>
      </c>
      <c r="J81" s="10" t="s">
        <v>25</v>
      </c>
      <c r="K81" s="10" t="s">
        <v>26</v>
      </c>
      <c r="L81" s="10" t="s">
        <v>30</v>
      </c>
      <c r="M81" s="18" t="s">
        <v>28</v>
      </c>
      <c r="N81" s="21"/>
      <c r="O81" s="21" t="s">
        <v>191</v>
      </c>
      <c r="P81" s="19"/>
      <c r="Q81" s="29">
        <f t="shared" si="3"/>
        <v>1</v>
      </c>
      <c r="R81" s="18" t="str">
        <f t="shared" si="2"/>
        <v>P00.080</v>
      </c>
    </row>
    <row r="82" spans="1:18">
      <c r="A82" s="17"/>
      <c r="B82" s="17"/>
      <c r="C82" s="17"/>
      <c r="D82" s="10">
        <f>INDEX(D:D,ROW()-1)+_xlfn.IFS(INDEX(E:E,ROW()-1)="s16",1,INDEX(E:E,ROW()-1)="s32",2,INDEX(E:E,ROW()-1)="s64",4,INDEX(E:E,ROW()-1)="u16",1,INDEX(E:E,ROW()-1)="u32",2,INDEX(E:E,ROW()-1)="u64",4,INDEX(E:E,ROW()-1)="f32",2,INDEX(E:E,ROW()-1)="f64",4)</f>
        <v>81</v>
      </c>
      <c r="E82" s="18" t="s">
        <v>34</v>
      </c>
      <c r="F82" s="21" t="s">
        <v>192</v>
      </c>
      <c r="G82" s="20" t="s">
        <v>23</v>
      </c>
      <c r="H82" s="20" t="s">
        <v>23</v>
      </c>
      <c r="I82" s="20" t="s">
        <v>35</v>
      </c>
      <c r="J82" s="10" t="s">
        <v>25</v>
      </c>
      <c r="K82" s="10" t="s">
        <v>26</v>
      </c>
      <c r="L82" s="10" t="s">
        <v>30</v>
      </c>
      <c r="M82" s="18" t="s">
        <v>28</v>
      </c>
      <c r="N82" s="21"/>
      <c r="O82" s="21" t="s">
        <v>193</v>
      </c>
      <c r="P82" s="19"/>
      <c r="Q82" s="29">
        <f t="shared" si="3"/>
        <v>1</v>
      </c>
      <c r="R82" s="18" t="str">
        <f t="shared" si="2"/>
        <v>P00.081</v>
      </c>
    </row>
    <row r="83" spans="1:18">
      <c r="A83" s="17"/>
      <c r="B83" s="17"/>
      <c r="C83" s="17"/>
      <c r="D83" s="10">
        <f>INDEX(D:D,ROW()-1)+_xlfn.IFS(INDEX(E:E,ROW()-1)="s16",1,INDEX(E:E,ROW()-1)="s32",2,INDEX(E:E,ROW()-1)="s64",4,INDEX(E:E,ROW()-1)="u16",1,INDEX(E:E,ROW()-1)="u32",2,INDEX(E:E,ROW()-1)="u64",4,INDEX(E:E,ROW()-1)="f32",2,INDEX(E:E,ROW()-1)="f64",4)</f>
        <v>82</v>
      </c>
      <c r="E83" s="18" t="s">
        <v>34</v>
      </c>
      <c r="F83" s="21" t="s">
        <v>194</v>
      </c>
      <c r="G83" s="20" t="s">
        <v>23</v>
      </c>
      <c r="H83" s="20" t="s">
        <v>23</v>
      </c>
      <c r="I83" s="20" t="s">
        <v>35</v>
      </c>
      <c r="J83" s="10" t="s">
        <v>25</v>
      </c>
      <c r="K83" s="10" t="s">
        <v>26</v>
      </c>
      <c r="L83" s="10" t="s">
        <v>30</v>
      </c>
      <c r="M83" s="18" t="s">
        <v>28</v>
      </c>
      <c r="N83" s="21"/>
      <c r="O83" s="21" t="s">
        <v>195</v>
      </c>
      <c r="P83" s="19"/>
      <c r="Q83" s="29">
        <f t="shared" si="3"/>
        <v>1</v>
      </c>
      <c r="R83" s="18" t="str">
        <f t="shared" si="2"/>
        <v>P00.082</v>
      </c>
    </row>
    <row r="84" spans="1:18">
      <c r="A84" s="17"/>
      <c r="B84" s="17"/>
      <c r="C84" s="17"/>
      <c r="D84" s="10">
        <f>INDEX(D:D,ROW()-1)+_xlfn.IFS(INDEX(E:E,ROW()-1)="s16",1,INDEX(E:E,ROW()-1)="s32",2,INDEX(E:E,ROW()-1)="s64",4,INDEX(E:E,ROW()-1)="u16",1,INDEX(E:E,ROW()-1)="u32",2,INDEX(E:E,ROW()-1)="u64",4,INDEX(E:E,ROW()-1)="f32",2,INDEX(E:E,ROW()-1)="f64",4)</f>
        <v>83</v>
      </c>
      <c r="E84" s="18" t="s">
        <v>34</v>
      </c>
      <c r="F84" s="21" t="s">
        <v>196</v>
      </c>
      <c r="G84" s="20" t="s">
        <v>23</v>
      </c>
      <c r="H84" s="20" t="s">
        <v>23</v>
      </c>
      <c r="I84" s="20" t="s">
        <v>35</v>
      </c>
      <c r="J84" s="10" t="s">
        <v>25</v>
      </c>
      <c r="K84" s="10" t="s">
        <v>26</v>
      </c>
      <c r="L84" s="10" t="s">
        <v>30</v>
      </c>
      <c r="M84" s="18" t="s">
        <v>28</v>
      </c>
      <c r="N84" s="10"/>
      <c r="O84" s="19"/>
      <c r="P84" s="19"/>
      <c r="Q84" s="29">
        <f t="shared" si="3"/>
        <v>1</v>
      </c>
      <c r="R84" s="10" t="str">
        <f t="shared" si="2"/>
        <v>P00.083</v>
      </c>
    </row>
    <row r="85" spans="1:18">
      <c r="A85" s="17"/>
      <c r="B85" s="17"/>
      <c r="C85" s="17"/>
      <c r="D85" s="10">
        <f>INDEX(D:D,ROW()-1)+_xlfn.IFS(INDEX(E:E,ROW()-1)="s16",1,INDEX(E:E,ROW()-1)="s32",2,INDEX(E:E,ROW()-1)="s64",4,INDEX(E:E,ROW()-1)="u16",1,INDEX(E:E,ROW()-1)="u32",2,INDEX(E:E,ROW()-1)="u64",4,INDEX(E:E,ROW()-1)="f32",2,INDEX(E:E,ROW()-1)="f64",4)</f>
        <v>84</v>
      </c>
      <c r="E85" s="18" t="s">
        <v>34</v>
      </c>
      <c r="F85" s="19"/>
      <c r="G85" s="20" t="s">
        <v>23</v>
      </c>
      <c r="H85" s="20" t="s">
        <v>23</v>
      </c>
      <c r="I85" s="20" t="s">
        <v>35</v>
      </c>
      <c r="J85" s="10" t="s">
        <v>25</v>
      </c>
      <c r="K85" s="10" t="s">
        <v>26</v>
      </c>
      <c r="L85" s="10" t="s">
        <v>30</v>
      </c>
      <c r="M85" s="18" t="s">
        <v>28</v>
      </c>
      <c r="N85" s="10"/>
      <c r="O85" s="19"/>
      <c r="P85" s="19"/>
      <c r="Q85" s="29">
        <f t="shared" si="3"/>
        <v>1</v>
      </c>
      <c r="R85" s="10" t="str">
        <f t="shared" si="2"/>
        <v>P00.084</v>
      </c>
    </row>
    <row r="86" spans="1:18">
      <c r="A86" s="17"/>
      <c r="B86" s="17"/>
      <c r="C86" s="17"/>
      <c r="D86" s="10">
        <f>INDEX(D:D,ROW()-1)+_xlfn.IFS(INDEX(E:E,ROW()-1)="s16",1,INDEX(E:E,ROW()-1)="s32",2,INDEX(E:E,ROW()-1)="s64",4,INDEX(E:E,ROW()-1)="u16",1,INDEX(E:E,ROW()-1)="u32",2,INDEX(E:E,ROW()-1)="u64",4,INDEX(E:E,ROW()-1)="f32",2,INDEX(E:E,ROW()-1)="f64",4)</f>
        <v>85</v>
      </c>
      <c r="E86" s="18" t="s">
        <v>34</v>
      </c>
      <c r="F86" s="19"/>
      <c r="G86" s="20" t="s">
        <v>23</v>
      </c>
      <c r="H86" s="20" t="s">
        <v>23</v>
      </c>
      <c r="I86" s="20" t="s">
        <v>35</v>
      </c>
      <c r="J86" s="10" t="s">
        <v>25</v>
      </c>
      <c r="K86" s="10" t="s">
        <v>26</v>
      </c>
      <c r="L86" s="10" t="s">
        <v>30</v>
      </c>
      <c r="M86" s="18" t="s">
        <v>28</v>
      </c>
      <c r="N86" s="10"/>
      <c r="O86" s="19"/>
      <c r="P86" s="19"/>
      <c r="Q86" s="29">
        <f t="shared" si="3"/>
        <v>1</v>
      </c>
      <c r="R86" s="10" t="str">
        <f t="shared" si="2"/>
        <v>P00.085</v>
      </c>
    </row>
    <row r="87" ht="79.2" spans="1:18">
      <c r="A87" s="17"/>
      <c r="B87" s="17"/>
      <c r="C87" s="17"/>
      <c r="D87" s="10">
        <f>INDEX(D:D,ROW()-1)+_xlfn.IFS(INDEX(E:E,ROW()-1)="s16",1,INDEX(E:E,ROW()-1)="s32",2,INDEX(E:E,ROW()-1)="s64",4,INDEX(E:E,ROW()-1)="u16",1,INDEX(E:E,ROW()-1)="u32",2,INDEX(E:E,ROW()-1)="u64",4,INDEX(E:E,ROW()-1)="f32",2,INDEX(E:E,ROW()-1)="f64",4)</f>
        <v>86</v>
      </c>
      <c r="E87" s="18" t="s">
        <v>34</v>
      </c>
      <c r="F87" s="19" t="s">
        <v>197</v>
      </c>
      <c r="G87" s="20" t="s">
        <v>23</v>
      </c>
      <c r="H87" s="20" t="s">
        <v>23</v>
      </c>
      <c r="I87" s="20" t="s">
        <v>198</v>
      </c>
      <c r="J87" s="10" t="s">
        <v>25</v>
      </c>
      <c r="K87" s="10" t="s">
        <v>157</v>
      </c>
      <c r="L87" s="10" t="s">
        <v>27</v>
      </c>
      <c r="M87" s="18" t="s">
        <v>28</v>
      </c>
      <c r="N87" s="10"/>
      <c r="O87" s="19" t="s">
        <v>199</v>
      </c>
      <c r="P87" s="43" t="s">
        <v>200</v>
      </c>
      <c r="Q87" s="29">
        <f t="shared" si="3"/>
        <v>1</v>
      </c>
      <c r="R87" s="10" t="str">
        <f t="shared" si="2"/>
        <v>P00.086</v>
      </c>
    </row>
    <row r="88" spans="1:18">
      <c r="A88" s="17"/>
      <c r="B88" s="17"/>
      <c r="C88" s="17"/>
      <c r="D88" s="10">
        <f>INDEX(D:D,ROW()-1)+_xlfn.IFS(INDEX(E:E,ROW()-1)="s16",1,INDEX(E:E,ROW()-1)="s32",2,INDEX(E:E,ROW()-1)="s64",4,INDEX(E:E,ROW()-1)="u16",1,INDEX(E:E,ROW()-1)="u32",2,INDEX(E:E,ROW()-1)="u64",4,INDEX(E:E,ROW()-1)="f32",2,INDEX(E:E,ROW()-1)="f64",4)</f>
        <v>87</v>
      </c>
      <c r="E88" s="18" t="s">
        <v>34</v>
      </c>
      <c r="F88" s="19" t="s">
        <v>201</v>
      </c>
      <c r="G88" s="20" t="s">
        <v>23</v>
      </c>
      <c r="H88" s="20" t="s">
        <v>23</v>
      </c>
      <c r="I88" s="20" t="s">
        <v>35</v>
      </c>
      <c r="J88" s="10" t="s">
        <v>25</v>
      </c>
      <c r="K88" s="10" t="s">
        <v>26</v>
      </c>
      <c r="L88" s="10" t="s">
        <v>30</v>
      </c>
      <c r="M88" s="18" t="s">
        <v>28</v>
      </c>
      <c r="N88" s="10"/>
      <c r="O88" s="19" t="s">
        <v>202</v>
      </c>
      <c r="P88" s="19"/>
      <c r="Q88" s="29">
        <f t="shared" si="3"/>
        <v>1</v>
      </c>
      <c r="R88" s="10" t="str">
        <f t="shared" si="2"/>
        <v>P00.087</v>
      </c>
    </row>
    <row r="89" spans="1:18">
      <c r="A89" s="17"/>
      <c r="B89" s="17"/>
      <c r="C89" s="17"/>
      <c r="D89" s="10">
        <f>INDEX(D:D,ROW()-1)+_xlfn.IFS(INDEX(E:E,ROW()-1)="s16",1,INDEX(E:E,ROW()-1)="s32",2,INDEX(E:E,ROW()-1)="s64",4,INDEX(E:E,ROW()-1)="u16",1,INDEX(E:E,ROW()-1)="u32",2,INDEX(E:E,ROW()-1)="u64",4,INDEX(E:E,ROW()-1)="f32",2,INDEX(E:E,ROW()-1)="f64",4)</f>
        <v>88</v>
      </c>
      <c r="E89" s="18" t="s">
        <v>34</v>
      </c>
      <c r="F89" s="19"/>
      <c r="G89" s="20" t="s">
        <v>23</v>
      </c>
      <c r="H89" s="20" t="s">
        <v>23</v>
      </c>
      <c r="I89" s="20" t="s">
        <v>35</v>
      </c>
      <c r="J89" s="10" t="s">
        <v>25</v>
      </c>
      <c r="K89" s="10" t="s">
        <v>26</v>
      </c>
      <c r="L89" s="10" t="s">
        <v>30</v>
      </c>
      <c r="M89" s="18" t="s">
        <v>28</v>
      </c>
      <c r="N89" s="10"/>
      <c r="O89" s="19"/>
      <c r="P89" s="19"/>
      <c r="Q89" s="29">
        <f t="shared" si="3"/>
        <v>1</v>
      </c>
      <c r="R89" s="10" t="str">
        <f t="shared" si="2"/>
        <v>P00.088</v>
      </c>
    </row>
    <row r="90" spans="1:18">
      <c r="A90" s="17"/>
      <c r="B90" s="17"/>
      <c r="C90" s="17"/>
      <c r="D90" s="10">
        <f>INDEX(D:D,ROW()-1)+_xlfn.IFS(INDEX(E:E,ROW()-1)="s16",1,INDEX(E:E,ROW()-1)="s32",2,INDEX(E:E,ROW()-1)="s64",4,INDEX(E:E,ROW()-1)="u16",1,INDEX(E:E,ROW()-1)="u32",2,INDEX(E:E,ROW()-1)="u64",4,INDEX(E:E,ROW()-1)="f32",2,INDEX(E:E,ROW()-1)="f64",4)</f>
        <v>89</v>
      </c>
      <c r="E90" s="18" t="s">
        <v>34</v>
      </c>
      <c r="F90" s="19"/>
      <c r="G90" s="20" t="s">
        <v>23</v>
      </c>
      <c r="H90" s="20" t="s">
        <v>23</v>
      </c>
      <c r="I90" s="20" t="s">
        <v>35</v>
      </c>
      <c r="J90" s="10" t="s">
        <v>25</v>
      </c>
      <c r="K90" s="10" t="s">
        <v>26</v>
      </c>
      <c r="L90" s="10" t="s">
        <v>30</v>
      </c>
      <c r="M90" s="18" t="s">
        <v>28</v>
      </c>
      <c r="N90" s="10"/>
      <c r="O90" s="19"/>
      <c r="P90" s="19"/>
      <c r="Q90" s="29">
        <f t="shared" si="3"/>
        <v>1</v>
      </c>
      <c r="R90" s="10" t="str">
        <f t="shared" si="2"/>
        <v>P00.089</v>
      </c>
    </row>
    <row r="91" spans="1:18">
      <c r="A91" s="17"/>
      <c r="B91" s="17"/>
      <c r="C91" s="17"/>
      <c r="D91" s="10">
        <f>INDEX(D:D,ROW()-1)+_xlfn.IFS(INDEX(E:E,ROW()-1)="s16",1,INDEX(E:E,ROW()-1)="s32",2,INDEX(E:E,ROW()-1)="s64",4,INDEX(E:E,ROW()-1)="u16",1,INDEX(E:E,ROW()-1)="u32",2,INDEX(E:E,ROW()-1)="u64",4,INDEX(E:E,ROW()-1)="f32",2,INDEX(E:E,ROW()-1)="f64",4)</f>
        <v>90</v>
      </c>
      <c r="E91" s="18" t="s">
        <v>34</v>
      </c>
      <c r="F91" s="19"/>
      <c r="G91" s="20" t="s">
        <v>23</v>
      </c>
      <c r="H91" s="20" t="s">
        <v>23</v>
      </c>
      <c r="I91" s="20" t="s">
        <v>35</v>
      </c>
      <c r="J91" s="10" t="s">
        <v>25</v>
      </c>
      <c r="K91" s="10" t="s">
        <v>26</v>
      </c>
      <c r="L91" s="10" t="s">
        <v>30</v>
      </c>
      <c r="M91" s="18" t="s">
        <v>28</v>
      </c>
      <c r="N91" s="10"/>
      <c r="O91" s="19"/>
      <c r="P91" s="19"/>
      <c r="Q91" s="29">
        <f t="shared" si="3"/>
        <v>1</v>
      </c>
      <c r="R91" s="10" t="str">
        <f t="shared" si="2"/>
        <v>P00.090</v>
      </c>
    </row>
    <row r="92" spans="1:18">
      <c r="A92" s="17"/>
      <c r="B92" s="17"/>
      <c r="C92" s="17"/>
      <c r="D92" s="10">
        <f>INDEX(D:D,ROW()-1)+_xlfn.IFS(INDEX(E:E,ROW()-1)="s16",1,INDEX(E:E,ROW()-1)="s32",2,INDEX(E:E,ROW()-1)="s64",4,INDEX(E:E,ROW()-1)="u16",1,INDEX(E:E,ROW()-1)="u32",2,INDEX(E:E,ROW()-1)="u64",4,INDEX(E:E,ROW()-1)="f32",2,INDEX(E:E,ROW()-1)="f64",4)</f>
        <v>91</v>
      </c>
      <c r="E92" s="18" t="s">
        <v>34</v>
      </c>
      <c r="F92" s="19"/>
      <c r="G92" s="20" t="s">
        <v>23</v>
      </c>
      <c r="H92" s="20" t="s">
        <v>23</v>
      </c>
      <c r="I92" s="20" t="s">
        <v>35</v>
      </c>
      <c r="J92" s="10" t="s">
        <v>25</v>
      </c>
      <c r="K92" s="10" t="s">
        <v>26</v>
      </c>
      <c r="L92" s="10" t="s">
        <v>30</v>
      </c>
      <c r="M92" s="18" t="s">
        <v>28</v>
      </c>
      <c r="N92" s="10"/>
      <c r="O92" s="19"/>
      <c r="P92" s="19"/>
      <c r="Q92" s="29">
        <f t="shared" si="3"/>
        <v>1</v>
      </c>
      <c r="R92" s="10" t="str">
        <f t="shared" si="2"/>
        <v>P00.091</v>
      </c>
    </row>
    <row r="93" spans="1:18">
      <c r="A93" s="17"/>
      <c r="B93" s="17"/>
      <c r="C93" s="17"/>
      <c r="D93" s="10">
        <f>INDEX(D:D,ROW()-1)+_xlfn.IFS(INDEX(E:E,ROW()-1)="s16",1,INDEX(E:E,ROW()-1)="s32",2,INDEX(E:E,ROW()-1)="s64",4,INDEX(E:E,ROW()-1)="u16",1,INDEX(E:E,ROW()-1)="u32",2,INDEX(E:E,ROW()-1)="u64",4,INDEX(E:E,ROW()-1)="f32",2,INDEX(E:E,ROW()-1)="f64",4)</f>
        <v>92</v>
      </c>
      <c r="E93" s="18" t="s">
        <v>34</v>
      </c>
      <c r="F93" s="19"/>
      <c r="G93" s="20" t="s">
        <v>23</v>
      </c>
      <c r="H93" s="20" t="s">
        <v>23</v>
      </c>
      <c r="I93" s="20" t="s">
        <v>35</v>
      </c>
      <c r="J93" s="10" t="s">
        <v>25</v>
      </c>
      <c r="K93" s="10" t="s">
        <v>26</v>
      </c>
      <c r="L93" s="10" t="s">
        <v>30</v>
      </c>
      <c r="M93" s="18" t="s">
        <v>28</v>
      </c>
      <c r="N93" s="10"/>
      <c r="O93" s="19"/>
      <c r="P93" s="19"/>
      <c r="Q93" s="29">
        <f t="shared" si="3"/>
        <v>1</v>
      </c>
      <c r="R93" s="10" t="str">
        <f t="shared" si="2"/>
        <v>P00.092</v>
      </c>
    </row>
    <row r="94" spans="1:18">
      <c r="A94" s="17"/>
      <c r="B94" s="17"/>
      <c r="C94" s="17"/>
      <c r="D94" s="10">
        <f>INDEX(D:D,ROW()-1)+_xlfn.IFS(INDEX(E:E,ROW()-1)="s16",1,INDEX(E:E,ROW()-1)="s32",2,INDEX(E:E,ROW()-1)="s64",4,INDEX(E:E,ROW()-1)="u16",1,INDEX(E:E,ROW()-1)="u32",2,INDEX(E:E,ROW()-1)="u64",4,INDEX(E:E,ROW()-1)="f32",2,INDEX(E:E,ROW()-1)="f64",4)</f>
        <v>93</v>
      </c>
      <c r="E94" s="18" t="s">
        <v>34</v>
      </c>
      <c r="F94" s="19"/>
      <c r="G94" s="20" t="s">
        <v>23</v>
      </c>
      <c r="H94" s="20" t="s">
        <v>23</v>
      </c>
      <c r="I94" s="20" t="s">
        <v>35</v>
      </c>
      <c r="J94" s="10" t="s">
        <v>25</v>
      </c>
      <c r="K94" s="10" t="s">
        <v>26</v>
      </c>
      <c r="L94" s="10" t="s">
        <v>30</v>
      </c>
      <c r="M94" s="18" t="s">
        <v>28</v>
      </c>
      <c r="N94" s="10"/>
      <c r="O94" s="19"/>
      <c r="P94" s="19"/>
      <c r="Q94" s="29">
        <f t="shared" si="3"/>
        <v>1</v>
      </c>
      <c r="R94" s="10" t="str">
        <f t="shared" si="2"/>
        <v>P00.093</v>
      </c>
    </row>
    <row r="95" spans="1:18">
      <c r="A95" s="17"/>
      <c r="B95" s="17"/>
      <c r="C95" s="17"/>
      <c r="D95" s="10">
        <f>INDEX(D:D,ROW()-1)+_xlfn.IFS(INDEX(E:E,ROW()-1)="s16",1,INDEX(E:E,ROW()-1)="s32",2,INDEX(E:E,ROW()-1)="s64",4,INDEX(E:E,ROW()-1)="u16",1,INDEX(E:E,ROW()-1)="u32",2,INDEX(E:E,ROW()-1)="u64",4,INDEX(E:E,ROW()-1)="f32",2,INDEX(E:E,ROW()-1)="f64",4)</f>
        <v>94</v>
      </c>
      <c r="E95" s="18" t="s">
        <v>34</v>
      </c>
      <c r="F95" s="19"/>
      <c r="G95" s="20" t="s">
        <v>23</v>
      </c>
      <c r="H95" s="20" t="s">
        <v>23</v>
      </c>
      <c r="I95" s="20" t="s">
        <v>35</v>
      </c>
      <c r="J95" s="10" t="s">
        <v>25</v>
      </c>
      <c r="K95" s="10" t="s">
        <v>26</v>
      </c>
      <c r="L95" s="10" t="s">
        <v>30</v>
      </c>
      <c r="M95" s="18" t="s">
        <v>28</v>
      </c>
      <c r="N95" s="10"/>
      <c r="O95" s="19"/>
      <c r="P95" s="19"/>
      <c r="Q95" s="29">
        <f t="shared" si="3"/>
        <v>1</v>
      </c>
      <c r="R95" s="10" t="str">
        <f t="shared" si="2"/>
        <v>P00.094</v>
      </c>
    </row>
    <row r="96" spans="1:18">
      <c r="A96" s="17"/>
      <c r="B96" s="17"/>
      <c r="C96" s="17"/>
      <c r="D96" s="10">
        <f>INDEX(D:D,ROW()-1)+_xlfn.IFS(INDEX(E:E,ROW()-1)="s16",1,INDEX(E:E,ROW()-1)="s32",2,INDEX(E:E,ROW()-1)="s64",4,INDEX(E:E,ROW()-1)="u16",1,INDEX(E:E,ROW()-1)="u32",2,INDEX(E:E,ROW()-1)="u64",4,INDEX(E:E,ROW()-1)="f32",2,INDEX(E:E,ROW()-1)="f64",4)</f>
        <v>95</v>
      </c>
      <c r="E96" s="18" t="s">
        <v>34</v>
      </c>
      <c r="F96" s="19"/>
      <c r="G96" s="20" t="s">
        <v>23</v>
      </c>
      <c r="H96" s="20" t="s">
        <v>23</v>
      </c>
      <c r="I96" s="20" t="s">
        <v>35</v>
      </c>
      <c r="J96" s="10" t="s">
        <v>25</v>
      </c>
      <c r="K96" s="10" t="s">
        <v>26</v>
      </c>
      <c r="L96" s="10" t="s">
        <v>30</v>
      </c>
      <c r="M96" s="18" t="s">
        <v>28</v>
      </c>
      <c r="N96" s="10"/>
      <c r="O96" s="19"/>
      <c r="P96" s="19"/>
      <c r="Q96" s="29">
        <f t="shared" si="3"/>
        <v>1</v>
      </c>
      <c r="R96" s="10" t="str">
        <f t="shared" si="2"/>
        <v>P00.095</v>
      </c>
    </row>
    <row r="97" spans="1:18">
      <c r="A97" s="17"/>
      <c r="B97" s="17"/>
      <c r="C97" s="17"/>
      <c r="D97" s="10">
        <f>INDEX(D:D,ROW()-1)+_xlfn.IFS(INDEX(E:E,ROW()-1)="s16",1,INDEX(E:E,ROW()-1)="s32",2,INDEX(E:E,ROW()-1)="s64",4,INDEX(E:E,ROW()-1)="u16",1,INDEX(E:E,ROW()-1)="u32",2,INDEX(E:E,ROW()-1)="u64",4,INDEX(E:E,ROW()-1)="f32",2,INDEX(E:E,ROW()-1)="f64",4)</f>
        <v>96</v>
      </c>
      <c r="E97" s="18" t="s">
        <v>34</v>
      </c>
      <c r="F97" s="19"/>
      <c r="G97" s="20" t="s">
        <v>23</v>
      </c>
      <c r="H97" s="20" t="s">
        <v>23</v>
      </c>
      <c r="I97" s="20" t="s">
        <v>35</v>
      </c>
      <c r="J97" s="10" t="s">
        <v>25</v>
      </c>
      <c r="K97" s="10" t="s">
        <v>26</v>
      </c>
      <c r="L97" s="10" t="s">
        <v>30</v>
      </c>
      <c r="M97" s="18" t="s">
        <v>28</v>
      </c>
      <c r="N97" s="10"/>
      <c r="O97" s="19"/>
      <c r="P97" s="19"/>
      <c r="Q97" s="29">
        <f t="shared" si="3"/>
        <v>1</v>
      </c>
      <c r="R97" s="10" t="str">
        <f t="shared" si="2"/>
        <v>P00.096</v>
      </c>
    </row>
    <row r="98" spans="1:18">
      <c r="A98" s="17"/>
      <c r="B98" s="17"/>
      <c r="C98" s="17"/>
      <c r="D98" s="10">
        <f>INDEX(D:D,ROW()-1)+_xlfn.IFS(INDEX(E:E,ROW()-1)="s16",1,INDEX(E:E,ROW()-1)="s32",2,INDEX(E:E,ROW()-1)="s64",4,INDEX(E:E,ROW()-1)="u16",1,INDEX(E:E,ROW()-1)="u32",2,INDEX(E:E,ROW()-1)="u64",4,INDEX(E:E,ROW()-1)="f32",2,INDEX(E:E,ROW()-1)="f64",4)</f>
        <v>97</v>
      </c>
      <c r="E98" s="18" t="s">
        <v>34</v>
      </c>
      <c r="F98" s="19"/>
      <c r="G98" s="20" t="s">
        <v>23</v>
      </c>
      <c r="H98" s="20" t="s">
        <v>23</v>
      </c>
      <c r="I98" s="20" t="s">
        <v>35</v>
      </c>
      <c r="J98" s="10" t="s">
        <v>25</v>
      </c>
      <c r="K98" s="10" t="s">
        <v>26</v>
      </c>
      <c r="L98" s="10" t="s">
        <v>30</v>
      </c>
      <c r="M98" s="18" t="s">
        <v>28</v>
      </c>
      <c r="N98" s="10"/>
      <c r="O98" s="19"/>
      <c r="P98" s="19"/>
      <c r="Q98" s="29">
        <f t="shared" si="3"/>
        <v>1</v>
      </c>
      <c r="R98" s="10" t="str">
        <f t="shared" si="2"/>
        <v>P00.097</v>
      </c>
    </row>
    <row r="99" spans="1:18">
      <c r="A99" s="17"/>
      <c r="B99" s="17"/>
      <c r="C99" s="17"/>
      <c r="D99" s="10">
        <f>INDEX(D:D,ROW()-1)+_xlfn.IFS(INDEX(E:E,ROW()-1)="s16",1,INDEX(E:E,ROW()-1)="s32",2,INDEX(E:E,ROW()-1)="s64",4,INDEX(E:E,ROW()-1)="u16",1,INDEX(E:E,ROW()-1)="u32",2,INDEX(E:E,ROW()-1)="u64",4,INDEX(E:E,ROW()-1)="f32",2,INDEX(E:E,ROW()-1)="f64",4)</f>
        <v>98</v>
      </c>
      <c r="E99" s="18" t="s">
        <v>34</v>
      </c>
      <c r="F99" s="21" t="s">
        <v>203</v>
      </c>
      <c r="G99" s="20" t="s">
        <v>23</v>
      </c>
      <c r="H99" s="20" t="s">
        <v>23</v>
      </c>
      <c r="I99" s="20" t="s">
        <v>204</v>
      </c>
      <c r="J99" s="10" t="s">
        <v>25</v>
      </c>
      <c r="K99" s="10" t="s">
        <v>62</v>
      </c>
      <c r="L99" s="10" t="s">
        <v>27</v>
      </c>
      <c r="M99" s="18" t="s">
        <v>28</v>
      </c>
      <c r="N99" s="10"/>
      <c r="O99" s="21" t="s">
        <v>205</v>
      </c>
      <c r="P99" s="19"/>
      <c r="Q99" s="29">
        <f t="shared" si="3"/>
        <v>1</v>
      </c>
      <c r="R99" s="18" t="str">
        <f t="shared" si="2"/>
        <v>P00.098</v>
      </c>
    </row>
    <row r="100" spans="1:18">
      <c r="A100" s="17"/>
      <c r="B100" s="17"/>
      <c r="C100" s="17"/>
      <c r="D100" s="10">
        <f>INDEX(D:D,ROW()-1)+_xlfn.IFS(INDEX(E:E,ROW()-1)="s16",1,INDEX(E:E,ROW()-1)="s32",2,INDEX(E:E,ROW()-1)="s64",4,INDEX(E:E,ROW()-1)="u16",1,INDEX(E:E,ROW()-1)="u32",2,INDEX(E:E,ROW()-1)="u64",4,INDEX(E:E,ROW()-1)="f32",2,INDEX(E:E,ROW()-1)="f64",4)</f>
        <v>99</v>
      </c>
      <c r="E100" s="18" t="s">
        <v>34</v>
      </c>
      <c r="F100" s="21" t="s">
        <v>206</v>
      </c>
      <c r="G100" s="20" t="s">
        <v>23</v>
      </c>
      <c r="H100" s="20" t="s">
        <v>23</v>
      </c>
      <c r="I100" s="20" t="s">
        <v>88</v>
      </c>
      <c r="J100" s="10" t="s">
        <v>25</v>
      </c>
      <c r="K100" s="10" t="s">
        <v>62</v>
      </c>
      <c r="L100" s="10" t="s">
        <v>27</v>
      </c>
      <c r="M100" s="18" t="s">
        <v>28</v>
      </c>
      <c r="N100" s="10"/>
      <c r="O100" s="21" t="s">
        <v>207</v>
      </c>
      <c r="P100" s="19"/>
      <c r="Q100" s="29">
        <f t="shared" si="3"/>
        <v>1</v>
      </c>
      <c r="R100" s="18" t="str">
        <f t="shared" si="2"/>
        <v>P00.099</v>
      </c>
    </row>
    <row r="101" spans="1:18">
      <c r="A101" s="17"/>
      <c r="B101" s="17"/>
      <c r="C101" s="17"/>
      <c r="D101" s="10">
        <f>INDEX(D:D,ROW()-1)+_xlfn.IFS(INDEX(E:E,ROW()-1)="s16",1,INDEX(E:E,ROW()-1)="s32",2,INDEX(E:E,ROW()-1)="s64",4,INDEX(E:E,ROW()-1)="u16",1,INDEX(E:E,ROW()-1)="u32",2,INDEX(E:E,ROW()-1)="u64",4,INDEX(E:E,ROW()-1)="f32",2,INDEX(E:E,ROW()-1)="f64",4)</f>
        <v>100</v>
      </c>
      <c r="E101" s="18" t="s">
        <v>34</v>
      </c>
      <c r="F101" s="21" t="s">
        <v>208</v>
      </c>
      <c r="G101" s="20" t="s">
        <v>23</v>
      </c>
      <c r="H101" s="20" t="s">
        <v>23</v>
      </c>
      <c r="I101" s="20" t="s">
        <v>35</v>
      </c>
      <c r="J101" s="10" t="s">
        <v>25</v>
      </c>
      <c r="K101" s="10" t="s">
        <v>62</v>
      </c>
      <c r="L101" s="10" t="s">
        <v>27</v>
      </c>
      <c r="M101" s="18" t="s">
        <v>28</v>
      </c>
      <c r="N101" s="10"/>
      <c r="O101" s="21" t="s">
        <v>209</v>
      </c>
      <c r="P101" s="19"/>
      <c r="Q101" s="29">
        <f t="shared" si="3"/>
        <v>1</v>
      </c>
      <c r="R101" s="18" t="str">
        <f t="shared" si="2"/>
        <v>P00.100</v>
      </c>
    </row>
    <row r="102" ht="330" spans="1:18">
      <c r="A102" s="17"/>
      <c r="B102" s="17"/>
      <c r="C102" s="17"/>
      <c r="D102" s="10">
        <f>INDEX(D:D,ROW()-1)+_xlfn.IFS(INDEX(E:E,ROW()-1)="s16",1,INDEX(E:E,ROW()-1)="s32",2,INDEX(E:E,ROW()-1)="s64",4,INDEX(E:E,ROW()-1)="u16",1,INDEX(E:E,ROW()-1)="u32",2,INDEX(E:E,ROW()-1)="u64",4,INDEX(E:E,ROW()-1)="f32",2,INDEX(E:E,ROW()-1)="f64",4)</f>
        <v>101</v>
      </c>
      <c r="E102" s="18" t="s">
        <v>34</v>
      </c>
      <c r="F102" s="21" t="s">
        <v>210</v>
      </c>
      <c r="G102" s="20" t="s">
        <v>23</v>
      </c>
      <c r="H102" s="20" t="s">
        <v>23</v>
      </c>
      <c r="I102" s="20" t="s">
        <v>35</v>
      </c>
      <c r="J102" s="10" t="s">
        <v>25</v>
      </c>
      <c r="K102" s="10" t="s">
        <v>62</v>
      </c>
      <c r="L102" s="10" t="s">
        <v>27</v>
      </c>
      <c r="M102" s="18" t="s">
        <v>28</v>
      </c>
      <c r="N102" s="10"/>
      <c r="O102" s="43" t="s">
        <v>211</v>
      </c>
      <c r="P102" s="43" t="s">
        <v>212</v>
      </c>
      <c r="Q102" s="29">
        <f t="shared" si="3"/>
        <v>1</v>
      </c>
      <c r="R102" s="18" t="str">
        <f t="shared" si="2"/>
        <v>P00.101</v>
      </c>
    </row>
    <row r="103" spans="1:18">
      <c r="A103" s="17"/>
      <c r="B103" s="17"/>
      <c r="C103" s="17"/>
      <c r="D103" s="10">
        <f>INDEX(D:D,ROW()-1)+_xlfn.IFS(INDEX(E:E,ROW()-1)="s16",1,INDEX(E:E,ROW()-1)="s32",2,INDEX(E:E,ROW()-1)="s64",4,INDEX(E:E,ROW()-1)="u16",1,INDEX(E:E,ROW()-1)="u32",2,INDEX(E:E,ROW()-1)="u64",4,INDEX(E:E,ROW()-1)="f32",2,INDEX(E:E,ROW()-1)="f64",4)</f>
        <v>102</v>
      </c>
      <c r="E103" s="18" t="s">
        <v>34</v>
      </c>
      <c r="F103" s="21" t="s">
        <v>213</v>
      </c>
      <c r="G103" s="20" t="s">
        <v>23</v>
      </c>
      <c r="H103" s="20" t="s">
        <v>23</v>
      </c>
      <c r="I103" s="20" t="s">
        <v>35</v>
      </c>
      <c r="J103" s="10" t="s">
        <v>25</v>
      </c>
      <c r="K103" s="10" t="s">
        <v>62</v>
      </c>
      <c r="L103" s="10" t="s">
        <v>27</v>
      </c>
      <c r="M103" s="18" t="s">
        <v>28</v>
      </c>
      <c r="N103" s="10"/>
      <c r="O103" s="21" t="s">
        <v>214</v>
      </c>
      <c r="P103" s="44"/>
      <c r="Q103" s="29">
        <f t="shared" si="3"/>
        <v>1</v>
      </c>
      <c r="R103" s="18" t="str">
        <f t="shared" si="2"/>
        <v>P00.102</v>
      </c>
    </row>
    <row r="104" spans="1:18">
      <c r="A104" s="17"/>
      <c r="B104" s="17"/>
      <c r="C104" s="17"/>
      <c r="D104" s="10">
        <f>INDEX(D:D,ROW()-1)+_xlfn.IFS(INDEX(E:E,ROW()-1)="s16",1,INDEX(E:E,ROW()-1)="s32",2,INDEX(E:E,ROW()-1)="s64",4,INDEX(E:E,ROW()-1)="u16",1,INDEX(E:E,ROW()-1)="u32",2,INDEX(E:E,ROW()-1)="u64",4,INDEX(E:E,ROW()-1)="f32",2,INDEX(E:E,ROW()-1)="f64",4)</f>
        <v>103</v>
      </c>
      <c r="E104" s="18" t="s">
        <v>34</v>
      </c>
      <c r="F104" s="21" t="s">
        <v>215</v>
      </c>
      <c r="G104" s="20" t="s">
        <v>23</v>
      </c>
      <c r="H104" s="20" t="s">
        <v>23</v>
      </c>
      <c r="I104" s="20" t="s">
        <v>35</v>
      </c>
      <c r="J104" s="10" t="s">
        <v>25</v>
      </c>
      <c r="K104" s="10" t="s">
        <v>62</v>
      </c>
      <c r="L104" s="10" t="s">
        <v>27</v>
      </c>
      <c r="M104" s="18" t="s">
        <v>28</v>
      </c>
      <c r="N104" s="10"/>
      <c r="O104" s="21" t="s">
        <v>216</v>
      </c>
      <c r="P104" s="43"/>
      <c r="Q104" s="29">
        <f t="shared" si="3"/>
        <v>1</v>
      </c>
      <c r="R104" s="18" t="str">
        <f t="shared" si="2"/>
        <v>P00.103</v>
      </c>
    </row>
    <row r="105" spans="1:18">
      <c r="A105" s="17"/>
      <c r="B105" s="17"/>
      <c r="C105" s="17"/>
      <c r="D105" s="10">
        <f>INDEX(D:D,ROW()-1)+_xlfn.IFS(INDEX(E:E,ROW()-1)="s16",1,INDEX(E:E,ROW()-1)="s32",2,INDEX(E:E,ROW()-1)="s64",4,INDEX(E:E,ROW()-1)="u16",1,INDEX(E:E,ROW()-1)="u32",2,INDEX(E:E,ROW()-1)="u64",4,INDEX(E:E,ROW()-1)="f32",2,INDEX(E:E,ROW()-1)="f64",4)</f>
        <v>104</v>
      </c>
      <c r="E105" s="18" t="s">
        <v>34</v>
      </c>
      <c r="F105" s="21" t="s">
        <v>217</v>
      </c>
      <c r="G105" s="20" t="s">
        <v>23</v>
      </c>
      <c r="H105" s="20" t="s">
        <v>23</v>
      </c>
      <c r="I105" s="20" t="s">
        <v>35</v>
      </c>
      <c r="J105" s="10" t="s">
        <v>25</v>
      </c>
      <c r="K105" s="10" t="s">
        <v>62</v>
      </c>
      <c r="L105" s="10" t="s">
        <v>27</v>
      </c>
      <c r="M105" s="18" t="s">
        <v>28</v>
      </c>
      <c r="N105" s="10"/>
      <c r="O105" s="21" t="s">
        <v>218</v>
      </c>
      <c r="P105" s="43"/>
      <c r="Q105" s="29">
        <f t="shared" si="3"/>
        <v>1</v>
      </c>
      <c r="R105" s="18" t="str">
        <f t="shared" si="2"/>
        <v>P00.104</v>
      </c>
    </row>
    <row r="106" spans="1:18">
      <c r="A106" s="17"/>
      <c r="B106" s="17"/>
      <c r="C106" s="17"/>
      <c r="D106" s="10">
        <f>INDEX(D:D,ROW()-1)+_xlfn.IFS(INDEX(E:E,ROW()-1)="s16",1,INDEX(E:E,ROW()-1)="s32",2,INDEX(E:E,ROW()-1)="s64",4,INDEX(E:E,ROW()-1)="u16",1,INDEX(E:E,ROW()-1)="u32",2,INDEX(E:E,ROW()-1)="u64",4,INDEX(E:E,ROW()-1)="f32",2,INDEX(E:E,ROW()-1)="f64",4)</f>
        <v>105</v>
      </c>
      <c r="E106" s="18" t="s">
        <v>34</v>
      </c>
      <c r="F106" s="21" t="s">
        <v>219</v>
      </c>
      <c r="G106" s="20" t="s">
        <v>23</v>
      </c>
      <c r="H106" s="20" t="s">
        <v>23</v>
      </c>
      <c r="I106" s="20" t="s">
        <v>35</v>
      </c>
      <c r="J106" s="10" t="s">
        <v>25</v>
      </c>
      <c r="K106" s="10" t="s">
        <v>62</v>
      </c>
      <c r="L106" s="10" t="s">
        <v>27</v>
      </c>
      <c r="M106" s="18" t="s">
        <v>28</v>
      </c>
      <c r="N106" s="10"/>
      <c r="O106" s="21" t="s">
        <v>220</v>
      </c>
      <c r="P106" s="43"/>
      <c r="Q106" s="29">
        <f t="shared" si="3"/>
        <v>1</v>
      </c>
      <c r="R106" s="18" t="str">
        <f t="shared" si="2"/>
        <v>P00.105</v>
      </c>
    </row>
    <row r="107" spans="1:18">
      <c r="A107" s="17"/>
      <c r="B107" s="17"/>
      <c r="C107" s="17"/>
      <c r="D107" s="10">
        <f>INDEX(D:D,ROW()-1)+_xlfn.IFS(INDEX(E:E,ROW()-1)="s16",1,INDEX(E:E,ROW()-1)="s32",2,INDEX(E:E,ROW()-1)="s64",4,INDEX(E:E,ROW()-1)="u16",1,INDEX(E:E,ROW()-1)="u32",2,INDEX(E:E,ROW()-1)="u64",4,INDEX(E:E,ROW()-1)="f32",2,INDEX(E:E,ROW()-1)="f64",4)</f>
        <v>106</v>
      </c>
      <c r="E107" s="18" t="s">
        <v>34</v>
      </c>
      <c r="F107" s="21" t="s">
        <v>221</v>
      </c>
      <c r="G107" s="20" t="s">
        <v>23</v>
      </c>
      <c r="H107" s="20" t="s">
        <v>23</v>
      </c>
      <c r="I107" s="20" t="s">
        <v>35</v>
      </c>
      <c r="J107" s="10" t="s">
        <v>25</v>
      </c>
      <c r="K107" s="10" t="s">
        <v>62</v>
      </c>
      <c r="L107" s="10" t="s">
        <v>27</v>
      </c>
      <c r="M107" s="18" t="s">
        <v>28</v>
      </c>
      <c r="N107" s="10"/>
      <c r="O107" s="21" t="s">
        <v>220</v>
      </c>
      <c r="P107" s="43"/>
      <c r="Q107" s="29">
        <f t="shared" si="3"/>
        <v>1</v>
      </c>
      <c r="R107" s="18" t="str">
        <f t="shared" si="2"/>
        <v>P00.106</v>
      </c>
    </row>
    <row r="108" spans="1:18">
      <c r="A108" s="17"/>
      <c r="B108" s="17"/>
      <c r="C108" s="17"/>
      <c r="D108" s="10">
        <f>INDEX(D:D,ROW()-1)+_xlfn.IFS(INDEX(E:E,ROW()-1)="s16",1,INDEX(E:E,ROW()-1)="s32",2,INDEX(E:E,ROW()-1)="s64",4,INDEX(E:E,ROW()-1)="u16",1,INDEX(E:E,ROW()-1)="u32",2,INDEX(E:E,ROW()-1)="u64",4,INDEX(E:E,ROW()-1)="f32",2,INDEX(E:E,ROW()-1)="f64",4)</f>
        <v>107</v>
      </c>
      <c r="E108" s="18" t="s">
        <v>34</v>
      </c>
      <c r="F108" s="21" t="s">
        <v>222</v>
      </c>
      <c r="G108" s="20" t="s">
        <v>23</v>
      </c>
      <c r="H108" s="20" t="s">
        <v>23</v>
      </c>
      <c r="I108" s="20" t="s">
        <v>35</v>
      </c>
      <c r="J108" s="10" t="s">
        <v>25</v>
      </c>
      <c r="K108" s="10" t="s">
        <v>62</v>
      </c>
      <c r="L108" s="10" t="s">
        <v>27</v>
      </c>
      <c r="M108" s="18" t="s">
        <v>28</v>
      </c>
      <c r="N108" s="10"/>
      <c r="O108" s="21" t="s">
        <v>220</v>
      </c>
      <c r="P108" s="43"/>
      <c r="Q108" s="29">
        <f t="shared" si="3"/>
        <v>1</v>
      </c>
      <c r="R108" s="18" t="str">
        <f t="shared" si="2"/>
        <v>P00.107</v>
      </c>
    </row>
    <row r="109" spans="1:18">
      <c r="A109" s="17"/>
      <c r="B109" s="17"/>
      <c r="C109" s="17"/>
      <c r="D109" s="10">
        <f>INDEX(D:D,ROW()-1)+_xlfn.IFS(INDEX(E:E,ROW()-1)="s16",1,INDEX(E:E,ROW()-1)="s32",2,INDEX(E:E,ROW()-1)="s64",4,INDEX(E:E,ROW()-1)="u16",1,INDEX(E:E,ROW()-1)="u32",2,INDEX(E:E,ROW()-1)="u64",4,INDEX(E:E,ROW()-1)="f32",2,INDEX(E:E,ROW()-1)="f64",4)</f>
        <v>108</v>
      </c>
      <c r="E109" s="18" t="s">
        <v>34</v>
      </c>
      <c r="F109" s="21" t="s">
        <v>223</v>
      </c>
      <c r="G109" s="20" t="s">
        <v>23</v>
      </c>
      <c r="H109" s="20" t="s">
        <v>23</v>
      </c>
      <c r="I109" s="20" t="s">
        <v>35</v>
      </c>
      <c r="J109" s="10" t="s">
        <v>25</v>
      </c>
      <c r="K109" s="10" t="s">
        <v>62</v>
      </c>
      <c r="L109" s="10" t="s">
        <v>27</v>
      </c>
      <c r="M109" s="18" t="s">
        <v>28</v>
      </c>
      <c r="N109" s="10"/>
      <c r="O109" s="21" t="s">
        <v>220</v>
      </c>
      <c r="P109" s="43"/>
      <c r="Q109" s="29">
        <f t="shared" si="3"/>
        <v>1</v>
      </c>
      <c r="R109" s="18" t="str">
        <f t="shared" si="2"/>
        <v>P00.108</v>
      </c>
    </row>
    <row r="110" spans="1:18">
      <c r="A110" s="17"/>
      <c r="B110" s="17"/>
      <c r="C110" s="17"/>
      <c r="D110" s="10">
        <f>INDEX(D:D,ROW()-1)+_xlfn.IFS(INDEX(E:E,ROW()-1)="s16",1,INDEX(E:E,ROW()-1)="s32",2,INDEX(E:E,ROW()-1)="s64",4,INDEX(E:E,ROW()-1)="u16",1,INDEX(E:E,ROW()-1)="u32",2,INDEX(E:E,ROW()-1)="u64",4,INDEX(E:E,ROW()-1)="f32",2,INDEX(E:E,ROW()-1)="f64",4)</f>
        <v>109</v>
      </c>
      <c r="E110" s="18" t="s">
        <v>34</v>
      </c>
      <c r="F110" s="21" t="s">
        <v>224</v>
      </c>
      <c r="G110" s="20" t="s">
        <v>23</v>
      </c>
      <c r="H110" s="20" t="s">
        <v>23</v>
      </c>
      <c r="I110" s="20" t="s">
        <v>35</v>
      </c>
      <c r="J110" s="10" t="s">
        <v>25</v>
      </c>
      <c r="K110" s="10" t="s">
        <v>26</v>
      </c>
      <c r="L110" s="10" t="s">
        <v>30</v>
      </c>
      <c r="M110" s="18" t="s">
        <v>28</v>
      </c>
      <c r="N110" s="10"/>
      <c r="O110" s="21" t="s">
        <v>225</v>
      </c>
      <c r="P110" s="43"/>
      <c r="Q110" s="29">
        <f t="shared" si="3"/>
        <v>1</v>
      </c>
      <c r="R110" s="18" t="str">
        <f t="shared" si="2"/>
        <v>P00.109</v>
      </c>
    </row>
    <row r="111" spans="1:18">
      <c r="A111" s="17"/>
      <c r="B111" s="17"/>
      <c r="C111" s="17"/>
      <c r="D111" s="10">
        <f>INDEX(D:D,ROW()-1)+_xlfn.IFS(INDEX(E:E,ROW()-1)="s16",1,INDEX(E:E,ROW()-1)="s32",2,INDEX(E:E,ROW()-1)="s64",4,INDEX(E:E,ROW()-1)="u16",1,INDEX(E:E,ROW()-1)="u32",2,INDEX(E:E,ROW()-1)="u64",4,INDEX(E:E,ROW()-1)="f32",2,INDEX(E:E,ROW()-1)="f64",4)</f>
        <v>110</v>
      </c>
      <c r="E111" s="18" t="s">
        <v>34</v>
      </c>
      <c r="F111" s="21" t="s">
        <v>226</v>
      </c>
      <c r="G111" s="20" t="s">
        <v>23</v>
      </c>
      <c r="H111" s="20" t="s">
        <v>23</v>
      </c>
      <c r="I111" s="20" t="s">
        <v>35</v>
      </c>
      <c r="J111" s="10" t="s">
        <v>25</v>
      </c>
      <c r="K111" s="10" t="s">
        <v>26</v>
      </c>
      <c r="L111" s="10" t="s">
        <v>30</v>
      </c>
      <c r="M111" s="18" t="s">
        <v>28</v>
      </c>
      <c r="N111" s="10"/>
      <c r="O111" s="21" t="s">
        <v>227</v>
      </c>
      <c r="P111" s="43"/>
      <c r="Q111" s="29">
        <f t="shared" si="3"/>
        <v>1</v>
      </c>
      <c r="R111" s="18" t="str">
        <f t="shared" si="2"/>
        <v>P00.110</v>
      </c>
    </row>
    <row r="112" spans="1:18">
      <c r="A112" s="17"/>
      <c r="B112" s="17"/>
      <c r="C112" s="17"/>
      <c r="D112" s="10">
        <f>INDEX(D:D,ROW()-1)+_xlfn.IFS(INDEX(E:E,ROW()-1)="s16",1,INDEX(E:E,ROW()-1)="s32",2,INDEX(E:E,ROW()-1)="s64",4,INDEX(E:E,ROW()-1)="u16",1,INDEX(E:E,ROW()-1)="u32",2,INDEX(E:E,ROW()-1)="u64",4,INDEX(E:E,ROW()-1)="f32",2,INDEX(E:E,ROW()-1)="f64",4)</f>
        <v>111</v>
      </c>
      <c r="E112" s="18" t="s">
        <v>34</v>
      </c>
      <c r="F112" s="19"/>
      <c r="G112" s="20" t="s">
        <v>23</v>
      </c>
      <c r="H112" s="20" t="s">
        <v>23</v>
      </c>
      <c r="I112" s="20" t="s">
        <v>35</v>
      </c>
      <c r="J112" s="10" t="s">
        <v>25</v>
      </c>
      <c r="K112" s="10" t="s">
        <v>26</v>
      </c>
      <c r="L112" s="10" t="s">
        <v>30</v>
      </c>
      <c r="M112" s="18" t="s">
        <v>28</v>
      </c>
      <c r="N112" s="10"/>
      <c r="O112" s="19"/>
      <c r="P112" s="19"/>
      <c r="Q112" s="29">
        <f t="shared" si="3"/>
        <v>1</v>
      </c>
      <c r="R112" s="10" t="str">
        <f t="shared" si="2"/>
        <v>P00.111</v>
      </c>
    </row>
    <row r="113" spans="1:18">
      <c r="A113" s="17"/>
      <c r="B113" s="17"/>
      <c r="C113" s="17"/>
      <c r="D113" s="10">
        <f>INDEX(D:D,ROW()-1)+_xlfn.IFS(INDEX(E:E,ROW()-1)="s16",1,INDEX(E:E,ROW()-1)="s32",2,INDEX(E:E,ROW()-1)="s64",4,INDEX(E:E,ROW()-1)="u16",1,INDEX(E:E,ROW()-1)="u32",2,INDEX(E:E,ROW()-1)="u64",4,INDEX(E:E,ROW()-1)="f32",2,INDEX(E:E,ROW()-1)="f64",4)</f>
        <v>112</v>
      </c>
      <c r="E113" s="18" t="s">
        <v>34</v>
      </c>
      <c r="F113" s="19"/>
      <c r="G113" s="20" t="s">
        <v>23</v>
      </c>
      <c r="H113" s="20" t="s">
        <v>23</v>
      </c>
      <c r="I113" s="20" t="s">
        <v>35</v>
      </c>
      <c r="J113" s="10" t="s">
        <v>25</v>
      </c>
      <c r="K113" s="10" t="s">
        <v>26</v>
      </c>
      <c r="L113" s="10" t="s">
        <v>30</v>
      </c>
      <c r="M113" s="18" t="s">
        <v>28</v>
      </c>
      <c r="N113" s="10"/>
      <c r="O113" s="19"/>
      <c r="P113" s="19"/>
      <c r="Q113" s="29">
        <f t="shared" si="3"/>
        <v>1</v>
      </c>
      <c r="R113" s="10" t="str">
        <f t="shared" si="2"/>
        <v>P00.112</v>
      </c>
    </row>
    <row r="114" spans="1:18">
      <c r="A114" s="17"/>
      <c r="B114" s="17"/>
      <c r="C114" s="17"/>
      <c r="D114" s="10">
        <f>INDEX(D:D,ROW()-1)+_xlfn.IFS(INDEX(E:E,ROW()-1)="s16",1,INDEX(E:E,ROW()-1)="s32",2,INDEX(E:E,ROW()-1)="s64",4,INDEX(E:E,ROW()-1)="u16",1,INDEX(E:E,ROW()-1)="u32",2,INDEX(E:E,ROW()-1)="u64",4,INDEX(E:E,ROW()-1)="f32",2,INDEX(E:E,ROW()-1)="f64",4)</f>
        <v>113</v>
      </c>
      <c r="E114" s="18" t="s">
        <v>34</v>
      </c>
      <c r="F114" s="19"/>
      <c r="G114" s="20" t="s">
        <v>23</v>
      </c>
      <c r="H114" s="20" t="s">
        <v>23</v>
      </c>
      <c r="I114" s="20" t="s">
        <v>35</v>
      </c>
      <c r="J114" s="10" t="s">
        <v>25</v>
      </c>
      <c r="K114" s="10" t="s">
        <v>26</v>
      </c>
      <c r="L114" s="10" t="s">
        <v>30</v>
      </c>
      <c r="M114" s="18" t="s">
        <v>28</v>
      </c>
      <c r="N114" s="10"/>
      <c r="O114" s="19"/>
      <c r="P114" s="19"/>
      <c r="Q114" s="29">
        <f t="shared" ref="Q114:Q145" si="4">IF(OR(F114="",LEFT(TRIM(F114),3)=E114),1,0)</f>
        <v>1</v>
      </c>
      <c r="R114" s="10" t="str">
        <f t="shared" si="2"/>
        <v>P00.113</v>
      </c>
    </row>
    <row r="115" spans="1:18">
      <c r="A115" s="17"/>
      <c r="B115" s="17"/>
      <c r="C115" s="17"/>
      <c r="D115" s="10">
        <f>INDEX(D:D,ROW()-1)+_xlfn.IFS(INDEX(E:E,ROW()-1)="s16",1,INDEX(E:E,ROW()-1)="s32",2,INDEX(E:E,ROW()-1)="s64",4,INDEX(E:E,ROW()-1)="u16",1,INDEX(E:E,ROW()-1)="u32",2,INDEX(E:E,ROW()-1)="u64",4,INDEX(E:E,ROW()-1)="f32",2,INDEX(E:E,ROW()-1)="f64",4)</f>
        <v>114</v>
      </c>
      <c r="E115" s="18" t="s">
        <v>34</v>
      </c>
      <c r="F115" s="19" t="s">
        <v>228</v>
      </c>
      <c r="G115" s="20" t="s">
        <v>23</v>
      </c>
      <c r="H115" s="20" t="s">
        <v>23</v>
      </c>
      <c r="I115" s="20" t="s">
        <v>35</v>
      </c>
      <c r="J115" s="10" t="s">
        <v>25</v>
      </c>
      <c r="K115" s="10" t="s">
        <v>26</v>
      </c>
      <c r="L115" s="10" t="s">
        <v>30</v>
      </c>
      <c r="M115" s="18" t="s">
        <v>28</v>
      </c>
      <c r="N115" s="10"/>
      <c r="O115" s="21" t="s">
        <v>229</v>
      </c>
      <c r="P115" s="19"/>
      <c r="Q115" s="29">
        <f t="shared" si="4"/>
        <v>1</v>
      </c>
      <c r="R115" s="10" t="str">
        <f t="shared" si="2"/>
        <v>P00.114</v>
      </c>
    </row>
    <row r="116" spans="1:18">
      <c r="A116" s="17"/>
      <c r="B116" s="17"/>
      <c r="C116" s="17"/>
      <c r="D116" s="10">
        <f>INDEX(D:D,ROW()-1)+_xlfn.IFS(INDEX(E:E,ROW()-1)="s16",1,INDEX(E:E,ROW()-1)="s32",2,INDEX(E:E,ROW()-1)="s64",4,INDEX(E:E,ROW()-1)="u16",1,INDEX(E:E,ROW()-1)="u32",2,INDEX(E:E,ROW()-1)="u64",4,INDEX(E:E,ROW()-1)="f32",2,INDEX(E:E,ROW()-1)="f64",4)</f>
        <v>115</v>
      </c>
      <c r="E116" s="18" t="s">
        <v>34</v>
      </c>
      <c r="F116" s="19" t="s">
        <v>230</v>
      </c>
      <c r="G116" s="20" t="s">
        <v>23</v>
      </c>
      <c r="H116" s="20" t="s">
        <v>23</v>
      </c>
      <c r="I116" s="20" t="s">
        <v>35</v>
      </c>
      <c r="J116" s="10" t="s">
        <v>25</v>
      </c>
      <c r="K116" s="10" t="s">
        <v>26</v>
      </c>
      <c r="L116" s="10" t="s">
        <v>30</v>
      </c>
      <c r="M116" s="18" t="s">
        <v>28</v>
      </c>
      <c r="N116" s="10"/>
      <c r="O116" s="23" t="s">
        <v>231</v>
      </c>
      <c r="P116" s="19"/>
      <c r="Q116" s="29">
        <f t="shared" si="4"/>
        <v>1</v>
      </c>
      <c r="R116" s="10" t="str">
        <f t="shared" si="2"/>
        <v>P00.115</v>
      </c>
    </row>
    <row r="117" spans="1:18">
      <c r="A117" s="17"/>
      <c r="B117" s="17"/>
      <c r="C117" s="17"/>
      <c r="D117" s="10">
        <f>INDEX(D:D,ROW()-1)+_xlfn.IFS(INDEX(E:E,ROW()-1)="s16",1,INDEX(E:E,ROW()-1)="s32",2,INDEX(E:E,ROW()-1)="s64",4,INDEX(E:E,ROW()-1)="u16",1,INDEX(E:E,ROW()-1)="u32",2,INDEX(E:E,ROW()-1)="u64",4,INDEX(E:E,ROW()-1)="f32",2,INDEX(E:E,ROW()-1)="f64",4)</f>
        <v>116</v>
      </c>
      <c r="E117" s="18" t="s">
        <v>34</v>
      </c>
      <c r="F117" s="19" t="s">
        <v>232</v>
      </c>
      <c r="G117" s="20" t="s">
        <v>23</v>
      </c>
      <c r="H117" s="20" t="s">
        <v>23</v>
      </c>
      <c r="I117" s="20" t="s">
        <v>35</v>
      </c>
      <c r="J117" s="10" t="s">
        <v>25</v>
      </c>
      <c r="K117" s="10" t="s">
        <v>26</v>
      </c>
      <c r="L117" s="10" t="s">
        <v>30</v>
      </c>
      <c r="M117" s="18" t="s">
        <v>28</v>
      </c>
      <c r="N117" s="10"/>
      <c r="O117" s="23" t="s">
        <v>233</v>
      </c>
      <c r="P117" s="19"/>
      <c r="Q117" s="29">
        <f t="shared" si="4"/>
        <v>1</v>
      </c>
      <c r="R117" s="10" t="str">
        <f t="shared" si="2"/>
        <v>P00.116</v>
      </c>
    </row>
    <row r="118" spans="1:18">
      <c r="A118" s="17"/>
      <c r="B118" s="17"/>
      <c r="C118" s="17"/>
      <c r="D118" s="10">
        <f>INDEX(D:D,ROW()-1)+_xlfn.IFS(INDEX(E:E,ROW()-1)="s16",1,INDEX(E:E,ROW()-1)="s32",2,INDEX(E:E,ROW()-1)="s64",4,INDEX(E:E,ROW()-1)="u16",1,INDEX(E:E,ROW()-1)="u32",2,INDEX(E:E,ROW()-1)="u64",4,INDEX(E:E,ROW()-1)="f32",2,INDEX(E:E,ROW()-1)="f64",4)</f>
        <v>117</v>
      </c>
      <c r="E118" s="18" t="s">
        <v>34</v>
      </c>
      <c r="F118" s="21" t="s">
        <v>234</v>
      </c>
      <c r="G118" s="20" t="s">
        <v>23</v>
      </c>
      <c r="H118" s="20" t="s">
        <v>23</v>
      </c>
      <c r="I118" s="20" t="s">
        <v>35</v>
      </c>
      <c r="J118" s="10" t="s">
        <v>25</v>
      </c>
      <c r="K118" s="10" t="s">
        <v>26</v>
      </c>
      <c r="L118" s="10" t="s">
        <v>27</v>
      </c>
      <c r="M118" s="18" t="s">
        <v>28</v>
      </c>
      <c r="N118" s="10"/>
      <c r="O118" s="21" t="s">
        <v>235</v>
      </c>
      <c r="P118" s="19"/>
      <c r="Q118" s="29">
        <f t="shared" si="4"/>
        <v>1</v>
      </c>
      <c r="R118" s="10" t="str">
        <f t="shared" si="2"/>
        <v>P00.117</v>
      </c>
    </row>
    <row r="119" spans="1:18">
      <c r="A119" s="17"/>
      <c r="B119" s="17"/>
      <c r="C119" s="17"/>
      <c r="D119" s="10">
        <f>INDEX(D:D,ROW()-1)+_xlfn.IFS(INDEX(E:E,ROW()-1)="s16",1,INDEX(E:E,ROW()-1)="s32",2,INDEX(E:E,ROW()-1)="s64",4,INDEX(E:E,ROW()-1)="u16",1,INDEX(E:E,ROW()-1)="u32",2,INDEX(E:E,ROW()-1)="u64",4,INDEX(E:E,ROW()-1)="f32",2,INDEX(E:E,ROW()-1)="f64",4)</f>
        <v>118</v>
      </c>
      <c r="E119" s="18" t="s">
        <v>34</v>
      </c>
      <c r="F119" s="21" t="s">
        <v>236</v>
      </c>
      <c r="G119" s="20" t="s">
        <v>23</v>
      </c>
      <c r="H119" s="20" t="s">
        <v>23</v>
      </c>
      <c r="I119" s="20" t="s">
        <v>35</v>
      </c>
      <c r="J119" s="10" t="s">
        <v>25</v>
      </c>
      <c r="K119" s="10" t="s">
        <v>26</v>
      </c>
      <c r="L119" s="10" t="s">
        <v>27</v>
      </c>
      <c r="M119" s="18" t="s">
        <v>28</v>
      </c>
      <c r="N119" s="10"/>
      <c r="O119" s="21" t="s">
        <v>237</v>
      </c>
      <c r="P119" s="19"/>
      <c r="Q119" s="29">
        <f t="shared" si="4"/>
        <v>1</v>
      </c>
      <c r="R119" s="10" t="str">
        <f t="shared" si="2"/>
        <v>P00.118</v>
      </c>
    </row>
    <row r="120" spans="1:18">
      <c r="A120" s="17"/>
      <c r="B120" s="17"/>
      <c r="C120" s="17"/>
      <c r="D120" s="10">
        <f>INDEX(D:D,ROW()-1)+_xlfn.IFS(INDEX(E:E,ROW()-1)="s16",1,INDEX(E:E,ROW()-1)="s32",2,INDEX(E:E,ROW()-1)="s64",4,INDEX(E:E,ROW()-1)="u16",1,INDEX(E:E,ROW()-1)="u32",2,INDEX(E:E,ROW()-1)="u64",4,INDEX(E:E,ROW()-1)="f32",2,INDEX(E:E,ROW()-1)="f64",4)</f>
        <v>119</v>
      </c>
      <c r="E120" s="18" t="s">
        <v>20</v>
      </c>
      <c r="F120" s="21" t="s">
        <v>238</v>
      </c>
      <c r="G120" s="20" t="s">
        <v>23</v>
      </c>
      <c r="H120" s="20" t="s">
        <v>23</v>
      </c>
      <c r="I120" s="20" t="s">
        <v>24</v>
      </c>
      <c r="J120" s="10" t="s">
        <v>25</v>
      </c>
      <c r="K120" s="10" t="s">
        <v>26</v>
      </c>
      <c r="L120" s="10" t="s">
        <v>27</v>
      </c>
      <c r="M120" s="18" t="s">
        <v>28</v>
      </c>
      <c r="N120" s="10"/>
      <c r="O120" s="21" t="s">
        <v>239</v>
      </c>
      <c r="P120" s="19"/>
      <c r="Q120" s="29">
        <f t="shared" si="4"/>
        <v>1</v>
      </c>
      <c r="R120" s="10" t="str">
        <f t="shared" si="2"/>
        <v>P00.119</v>
      </c>
    </row>
    <row r="121" spans="1:18">
      <c r="A121" s="17"/>
      <c r="B121" s="17"/>
      <c r="C121" s="17"/>
      <c r="D121" s="10">
        <f>INDEX(D:D,ROW()-1)+_xlfn.IFS(INDEX(E:E,ROW()-1)="s16",1,INDEX(E:E,ROW()-1)="s32",2,INDEX(E:E,ROW()-1)="s64",4,INDEX(E:E,ROW()-1)="u16",1,INDEX(E:E,ROW()-1)="u32",2,INDEX(E:E,ROW()-1)="u64",4,INDEX(E:E,ROW()-1)="f32",2,INDEX(E:E,ROW()-1)="f64",4)</f>
        <v>121</v>
      </c>
      <c r="E121" s="18" t="s">
        <v>34</v>
      </c>
      <c r="F121" s="21" t="s">
        <v>240</v>
      </c>
      <c r="G121" s="20" t="s">
        <v>23</v>
      </c>
      <c r="H121" s="20" t="s">
        <v>23</v>
      </c>
      <c r="I121" s="20" t="s">
        <v>35</v>
      </c>
      <c r="J121" s="10" t="s">
        <v>25</v>
      </c>
      <c r="K121" s="10" t="s">
        <v>26</v>
      </c>
      <c r="L121" s="10" t="s">
        <v>27</v>
      </c>
      <c r="M121" s="18" t="s">
        <v>28</v>
      </c>
      <c r="N121" s="10"/>
      <c r="O121" s="21" t="s">
        <v>241</v>
      </c>
      <c r="P121" s="19"/>
      <c r="Q121" s="29">
        <f t="shared" si="4"/>
        <v>1</v>
      </c>
      <c r="R121" s="10" t="str">
        <f t="shared" si="2"/>
        <v>P00.121</v>
      </c>
    </row>
    <row r="122" spans="1:18">
      <c r="A122" s="17"/>
      <c r="B122" s="17"/>
      <c r="C122" s="17"/>
      <c r="D122" s="10">
        <f>INDEX(D:D,ROW()-1)+_xlfn.IFS(INDEX(E:E,ROW()-1)="s16",1,INDEX(E:E,ROW()-1)="s32",2,INDEX(E:E,ROW()-1)="s64",4,INDEX(E:E,ROW()-1)="u16",1,INDEX(E:E,ROW()-1)="u32",2,INDEX(E:E,ROW()-1)="u64",4,INDEX(E:E,ROW()-1)="f32",2,INDEX(E:E,ROW()-1)="f64",4)</f>
        <v>122</v>
      </c>
      <c r="E122" s="18" t="s">
        <v>34</v>
      </c>
      <c r="F122" s="21" t="s">
        <v>242</v>
      </c>
      <c r="G122" s="20" t="s">
        <v>23</v>
      </c>
      <c r="H122" s="20" t="s">
        <v>23</v>
      </c>
      <c r="I122" s="20" t="s">
        <v>35</v>
      </c>
      <c r="J122" s="10" t="s">
        <v>25</v>
      </c>
      <c r="K122" s="10" t="s">
        <v>26</v>
      </c>
      <c r="L122" s="10" t="s">
        <v>27</v>
      </c>
      <c r="M122" s="18" t="s">
        <v>28</v>
      </c>
      <c r="N122" s="10"/>
      <c r="O122" s="21" t="s">
        <v>243</v>
      </c>
      <c r="P122" s="19"/>
      <c r="Q122" s="29">
        <f t="shared" si="4"/>
        <v>1</v>
      </c>
      <c r="R122" s="10" t="str">
        <f t="shared" si="2"/>
        <v>P00.122</v>
      </c>
    </row>
    <row r="123" spans="1:18">
      <c r="A123" s="17"/>
      <c r="B123" s="17"/>
      <c r="C123" s="17"/>
      <c r="D123" s="10">
        <f>INDEX(D:D,ROW()-1)+_xlfn.IFS(INDEX(E:E,ROW()-1)="s16",1,INDEX(E:E,ROW()-1)="s32",2,INDEX(E:E,ROW()-1)="s64",4,INDEX(E:E,ROW()-1)="u16",1,INDEX(E:E,ROW()-1)="u32",2,INDEX(E:E,ROW()-1)="u64",4,INDEX(E:E,ROW()-1)="f32",2,INDEX(E:E,ROW()-1)="f64",4)</f>
        <v>123</v>
      </c>
      <c r="E123" s="18" t="s">
        <v>20</v>
      </c>
      <c r="F123" s="21" t="s">
        <v>244</v>
      </c>
      <c r="G123" s="20" t="s">
        <v>23</v>
      </c>
      <c r="H123" s="20" t="s">
        <v>23</v>
      </c>
      <c r="I123" s="20" t="s">
        <v>24</v>
      </c>
      <c r="J123" s="10" t="s">
        <v>25</v>
      </c>
      <c r="K123" s="10" t="s">
        <v>26</v>
      </c>
      <c r="L123" s="10" t="s">
        <v>27</v>
      </c>
      <c r="M123" s="18" t="s">
        <v>28</v>
      </c>
      <c r="N123" s="10"/>
      <c r="O123" s="21" t="s">
        <v>245</v>
      </c>
      <c r="P123" s="19"/>
      <c r="Q123" s="29">
        <f t="shared" si="4"/>
        <v>1</v>
      </c>
      <c r="R123" s="18" t="str">
        <f t="shared" si="2"/>
        <v>P00.123</v>
      </c>
    </row>
    <row r="124" spans="1:18">
      <c r="A124" s="17"/>
      <c r="B124" s="17"/>
      <c r="C124" s="17"/>
      <c r="D124" s="10">
        <f>INDEX(D:D,ROW()-1)+_xlfn.IFS(INDEX(E:E,ROW()-1)="s16",1,INDEX(E:E,ROW()-1)="s32",2,INDEX(E:E,ROW()-1)="s64",4,INDEX(E:E,ROW()-1)="u16",1,INDEX(E:E,ROW()-1)="u32",2,INDEX(E:E,ROW()-1)="u64",4,INDEX(E:E,ROW()-1)="f32",2,INDEX(E:E,ROW()-1)="f64",4)</f>
        <v>125</v>
      </c>
      <c r="E124" s="18" t="s">
        <v>34</v>
      </c>
      <c r="F124" s="21" t="s">
        <v>246</v>
      </c>
      <c r="G124" s="20" t="s">
        <v>23</v>
      </c>
      <c r="H124" s="20" t="s">
        <v>23</v>
      </c>
      <c r="I124" s="20" t="s">
        <v>35</v>
      </c>
      <c r="J124" s="10" t="s">
        <v>25</v>
      </c>
      <c r="K124" s="10" t="s">
        <v>26</v>
      </c>
      <c r="L124" s="10" t="s">
        <v>27</v>
      </c>
      <c r="M124" s="18" t="s">
        <v>28</v>
      </c>
      <c r="N124" s="10"/>
      <c r="O124" s="21" t="s">
        <v>247</v>
      </c>
      <c r="P124" s="19"/>
      <c r="Q124" s="29">
        <f t="shared" si="4"/>
        <v>1</v>
      </c>
      <c r="R124" s="18" t="str">
        <f t="shared" si="2"/>
        <v>P00.125</v>
      </c>
    </row>
    <row r="125" spans="1:18">
      <c r="A125" s="17"/>
      <c r="B125" s="17"/>
      <c r="C125" s="17"/>
      <c r="D125" s="10">
        <f>INDEX(D:D,ROW()-1)+_xlfn.IFS(INDEX(E:E,ROW()-1)="s16",1,INDEX(E:E,ROW()-1)="s32",2,INDEX(E:E,ROW()-1)="s64",4,INDEX(E:E,ROW()-1)="u16",1,INDEX(E:E,ROW()-1)="u32",2,INDEX(E:E,ROW()-1)="u64",4,INDEX(E:E,ROW()-1)="f32",2,INDEX(E:E,ROW()-1)="f64",4)</f>
        <v>126</v>
      </c>
      <c r="E125" s="18" t="s">
        <v>34</v>
      </c>
      <c r="F125" s="21" t="s">
        <v>248</v>
      </c>
      <c r="G125" s="20" t="s">
        <v>23</v>
      </c>
      <c r="H125" s="20" t="s">
        <v>23</v>
      </c>
      <c r="I125" s="20" t="s">
        <v>35</v>
      </c>
      <c r="J125" s="10" t="s">
        <v>25</v>
      </c>
      <c r="K125" s="10" t="s">
        <v>26</v>
      </c>
      <c r="L125" s="10" t="s">
        <v>27</v>
      </c>
      <c r="M125" s="18" t="s">
        <v>28</v>
      </c>
      <c r="N125" s="10"/>
      <c r="O125" s="21" t="s">
        <v>249</v>
      </c>
      <c r="P125" s="19"/>
      <c r="Q125" s="29">
        <f t="shared" si="4"/>
        <v>1</v>
      </c>
      <c r="R125" s="18" t="str">
        <f t="shared" si="2"/>
        <v>P00.126</v>
      </c>
    </row>
    <row r="126" spans="1:18">
      <c r="A126" s="17"/>
      <c r="B126" s="17"/>
      <c r="C126" s="17"/>
      <c r="D126" s="10">
        <f>INDEX(D:D,ROW()-1)+_xlfn.IFS(INDEX(E:E,ROW()-1)="s16",1,INDEX(E:E,ROW()-1)="s32",2,INDEX(E:E,ROW()-1)="s64",4,INDEX(E:E,ROW()-1)="u16",1,INDEX(E:E,ROW()-1)="u32",2,INDEX(E:E,ROW()-1)="u64",4,INDEX(E:E,ROW()-1)="f32",2,INDEX(E:E,ROW()-1)="f64",4)</f>
        <v>127</v>
      </c>
      <c r="E126" s="18" t="s">
        <v>20</v>
      </c>
      <c r="F126" s="21" t="s">
        <v>250</v>
      </c>
      <c r="G126" s="20" t="s">
        <v>23</v>
      </c>
      <c r="H126" s="20" t="s">
        <v>23</v>
      </c>
      <c r="I126" s="20" t="s">
        <v>24</v>
      </c>
      <c r="J126" s="10" t="s">
        <v>25</v>
      </c>
      <c r="K126" s="10" t="s">
        <v>26</v>
      </c>
      <c r="L126" s="10" t="s">
        <v>27</v>
      </c>
      <c r="M126" s="18" t="s">
        <v>28</v>
      </c>
      <c r="N126" s="10"/>
      <c r="O126" s="21" t="s">
        <v>251</v>
      </c>
      <c r="P126" s="19"/>
      <c r="Q126" s="29">
        <f t="shared" si="4"/>
        <v>1</v>
      </c>
      <c r="R126" s="18" t="str">
        <f t="shared" si="2"/>
        <v>P00.127</v>
      </c>
    </row>
    <row r="127" spans="1:18">
      <c r="A127" s="17"/>
      <c r="B127" s="17"/>
      <c r="C127" s="17"/>
      <c r="D127" s="10">
        <f>INDEX(D:D,ROW()-1)+_xlfn.IFS(INDEX(E:E,ROW()-1)="s16",1,INDEX(E:E,ROW()-1)="s32",2,INDEX(E:E,ROW()-1)="s64",4,INDEX(E:E,ROW()-1)="u16",1,INDEX(E:E,ROW()-1)="u32",2,INDEX(E:E,ROW()-1)="u64",4,INDEX(E:E,ROW()-1)="f32",2,INDEX(E:E,ROW()-1)="f64",4)</f>
        <v>129</v>
      </c>
      <c r="E127" s="18" t="s">
        <v>34</v>
      </c>
      <c r="F127" s="21" t="s">
        <v>252</v>
      </c>
      <c r="G127" s="20" t="s">
        <v>23</v>
      </c>
      <c r="H127" s="20" t="s">
        <v>23</v>
      </c>
      <c r="I127" s="20" t="s">
        <v>35</v>
      </c>
      <c r="J127" s="10" t="s">
        <v>25</v>
      </c>
      <c r="K127" s="10" t="s">
        <v>26</v>
      </c>
      <c r="L127" s="10" t="s">
        <v>27</v>
      </c>
      <c r="M127" s="18" t="s">
        <v>28</v>
      </c>
      <c r="N127" s="10"/>
      <c r="O127" s="21" t="s">
        <v>253</v>
      </c>
      <c r="P127" s="19"/>
      <c r="Q127" s="29">
        <f t="shared" si="4"/>
        <v>1</v>
      </c>
      <c r="R127" s="18" t="str">
        <f t="shared" si="2"/>
        <v>P01.129</v>
      </c>
    </row>
    <row r="128" spans="1:18">
      <c r="A128" s="17"/>
      <c r="B128" s="17"/>
      <c r="C128" s="17"/>
      <c r="D128" s="10">
        <f>INDEX(D:D,ROW()-1)+_xlfn.IFS(INDEX(E:E,ROW()-1)="s16",1,INDEX(E:E,ROW()-1)="s32",2,INDEX(E:E,ROW()-1)="s64",4,INDEX(E:E,ROW()-1)="u16",1,INDEX(E:E,ROW()-1)="u32",2,INDEX(E:E,ROW()-1)="u64",4,INDEX(E:E,ROW()-1)="f32",2,INDEX(E:E,ROW()-1)="f64",4)</f>
        <v>130</v>
      </c>
      <c r="E128" s="18" t="s">
        <v>34</v>
      </c>
      <c r="F128" s="21" t="s">
        <v>254</v>
      </c>
      <c r="G128" s="20" t="s">
        <v>23</v>
      </c>
      <c r="H128" s="20" t="s">
        <v>23</v>
      </c>
      <c r="I128" s="20" t="s">
        <v>35</v>
      </c>
      <c r="J128" s="10" t="s">
        <v>25</v>
      </c>
      <c r="K128" s="10" t="s">
        <v>26</v>
      </c>
      <c r="L128" s="10" t="s">
        <v>27</v>
      </c>
      <c r="M128" s="18" t="s">
        <v>28</v>
      </c>
      <c r="N128" s="10"/>
      <c r="O128" s="21" t="s">
        <v>255</v>
      </c>
      <c r="P128" s="19"/>
      <c r="Q128" s="29">
        <f t="shared" si="4"/>
        <v>1</v>
      </c>
      <c r="R128" s="18" t="str">
        <f t="shared" si="2"/>
        <v>P01.130</v>
      </c>
    </row>
    <row r="129" spans="1:18">
      <c r="A129" s="17"/>
      <c r="B129" s="17"/>
      <c r="C129" s="17"/>
      <c r="D129" s="10">
        <f>INDEX(D:D,ROW()-1)+_xlfn.IFS(INDEX(E:E,ROW()-1)="s16",1,INDEX(E:E,ROW()-1)="s32",2,INDEX(E:E,ROW()-1)="s64",4,INDEX(E:E,ROW()-1)="u16",1,INDEX(E:E,ROW()-1)="u32",2,INDEX(E:E,ROW()-1)="u64",4,INDEX(E:E,ROW()-1)="f32",2,INDEX(E:E,ROW()-1)="f64",4)</f>
        <v>131</v>
      </c>
      <c r="E129" s="18" t="s">
        <v>20</v>
      </c>
      <c r="F129" s="21" t="s">
        <v>256</v>
      </c>
      <c r="G129" s="20" t="s">
        <v>23</v>
      </c>
      <c r="H129" s="20" t="s">
        <v>23</v>
      </c>
      <c r="I129" s="20" t="s">
        <v>24</v>
      </c>
      <c r="J129" s="10" t="s">
        <v>25</v>
      </c>
      <c r="K129" s="10" t="s">
        <v>26</v>
      </c>
      <c r="L129" s="10" t="s">
        <v>27</v>
      </c>
      <c r="M129" s="18" t="s">
        <v>28</v>
      </c>
      <c r="N129" s="10"/>
      <c r="O129" s="21" t="s">
        <v>257</v>
      </c>
      <c r="P129" s="19"/>
      <c r="Q129" s="29">
        <f t="shared" si="4"/>
        <v>1</v>
      </c>
      <c r="R129" s="18" t="str">
        <f t="shared" si="2"/>
        <v>P01.131</v>
      </c>
    </row>
    <row r="130" spans="1:18">
      <c r="A130" s="17"/>
      <c r="B130" s="17"/>
      <c r="C130" s="17"/>
      <c r="D130" s="10">
        <f>INDEX(D:D,ROW()-1)+_xlfn.IFS(INDEX(E:E,ROW()-1)="s16",1,INDEX(E:E,ROW()-1)="s32",2,INDEX(E:E,ROW()-1)="s64",4,INDEX(E:E,ROW()-1)="u16",1,INDEX(E:E,ROW()-1)="u32",2,INDEX(E:E,ROW()-1)="u64",4,INDEX(E:E,ROW()-1)="f32",2,INDEX(E:E,ROW()-1)="f64",4)</f>
        <v>133</v>
      </c>
      <c r="E130" s="18" t="s">
        <v>34</v>
      </c>
      <c r="F130" s="21" t="s">
        <v>258</v>
      </c>
      <c r="G130" s="20" t="s">
        <v>23</v>
      </c>
      <c r="H130" s="20" t="s">
        <v>23</v>
      </c>
      <c r="I130" s="20" t="s">
        <v>35</v>
      </c>
      <c r="J130" s="10" t="s">
        <v>25</v>
      </c>
      <c r="K130" s="10" t="s">
        <v>26</v>
      </c>
      <c r="L130" s="10" t="s">
        <v>27</v>
      </c>
      <c r="M130" s="18" t="s">
        <v>28</v>
      </c>
      <c r="N130" s="10"/>
      <c r="O130" s="21" t="s">
        <v>259</v>
      </c>
      <c r="P130" s="19"/>
      <c r="Q130" s="29">
        <f t="shared" si="4"/>
        <v>1</v>
      </c>
      <c r="R130" s="18" t="str">
        <f t="shared" si="2"/>
        <v>P01.133</v>
      </c>
    </row>
    <row r="131" spans="1:18">
      <c r="A131" s="17"/>
      <c r="B131" s="17"/>
      <c r="C131" s="17"/>
      <c r="D131" s="10">
        <f>INDEX(D:D,ROW()-1)+_xlfn.IFS(INDEX(E:E,ROW()-1)="s16",1,INDEX(E:E,ROW()-1)="s32",2,INDEX(E:E,ROW()-1)="s64",4,INDEX(E:E,ROW()-1)="u16",1,INDEX(E:E,ROW()-1)="u32",2,INDEX(E:E,ROW()-1)="u64",4,INDEX(E:E,ROW()-1)="f32",2,INDEX(E:E,ROW()-1)="f64",4)</f>
        <v>134</v>
      </c>
      <c r="E131" s="18" t="s">
        <v>34</v>
      </c>
      <c r="F131" s="21" t="s">
        <v>260</v>
      </c>
      <c r="G131" s="20" t="s">
        <v>23</v>
      </c>
      <c r="H131" s="20" t="s">
        <v>23</v>
      </c>
      <c r="I131" s="20" t="s">
        <v>35</v>
      </c>
      <c r="J131" s="10" t="s">
        <v>25</v>
      </c>
      <c r="K131" s="10" t="s">
        <v>26</v>
      </c>
      <c r="L131" s="10" t="s">
        <v>27</v>
      </c>
      <c r="M131" s="18" t="s">
        <v>28</v>
      </c>
      <c r="N131" s="10"/>
      <c r="O131" s="21" t="s">
        <v>261</v>
      </c>
      <c r="P131" s="19"/>
      <c r="Q131" s="29">
        <f t="shared" si="4"/>
        <v>1</v>
      </c>
      <c r="R131" s="18" t="str">
        <f t="shared" si="2"/>
        <v>P01.134</v>
      </c>
    </row>
    <row r="132" spans="1:18">
      <c r="A132" s="17"/>
      <c r="B132" s="17"/>
      <c r="C132" s="17"/>
      <c r="D132" s="10">
        <f>INDEX(D:D,ROW()-1)+_xlfn.IFS(INDEX(E:E,ROW()-1)="s16",1,INDEX(E:E,ROW()-1)="s32",2,INDEX(E:E,ROW()-1)="s64",4,INDEX(E:E,ROW()-1)="u16",1,INDEX(E:E,ROW()-1)="u32",2,INDEX(E:E,ROW()-1)="u64",4,INDEX(E:E,ROW()-1)="f32",2,INDEX(E:E,ROW()-1)="f64",4)</f>
        <v>135</v>
      </c>
      <c r="E132" s="18" t="s">
        <v>20</v>
      </c>
      <c r="F132" s="21" t="s">
        <v>262</v>
      </c>
      <c r="G132" s="20" t="s">
        <v>23</v>
      </c>
      <c r="H132" s="20" t="s">
        <v>23</v>
      </c>
      <c r="I132" s="20" t="s">
        <v>24</v>
      </c>
      <c r="J132" s="10" t="s">
        <v>25</v>
      </c>
      <c r="K132" s="10" t="s">
        <v>26</v>
      </c>
      <c r="L132" s="10" t="s">
        <v>27</v>
      </c>
      <c r="M132" s="18" t="s">
        <v>28</v>
      </c>
      <c r="N132" s="10"/>
      <c r="O132" s="21" t="s">
        <v>263</v>
      </c>
      <c r="P132" s="19"/>
      <c r="Q132" s="29">
        <f t="shared" si="4"/>
        <v>1</v>
      </c>
      <c r="R132" s="18" t="str">
        <f t="shared" si="2"/>
        <v>P01.135</v>
      </c>
    </row>
    <row r="133" spans="1:18">
      <c r="A133" s="17"/>
      <c r="B133" s="17"/>
      <c r="C133" s="17"/>
      <c r="D133" s="10">
        <f>INDEX(D:D,ROW()-1)+_xlfn.IFS(INDEX(E:E,ROW()-1)="s16",1,INDEX(E:E,ROW()-1)="s32",2,INDEX(E:E,ROW()-1)="s64",4,INDEX(E:E,ROW()-1)="u16",1,INDEX(E:E,ROW()-1)="u32",2,INDEX(E:E,ROW()-1)="u64",4,INDEX(E:E,ROW()-1)="f32",2,INDEX(E:E,ROW()-1)="f64",4)</f>
        <v>137</v>
      </c>
      <c r="E133" s="18" t="s">
        <v>34</v>
      </c>
      <c r="F133" s="21" t="s">
        <v>264</v>
      </c>
      <c r="G133" s="20" t="s">
        <v>23</v>
      </c>
      <c r="H133" s="20" t="s">
        <v>23</v>
      </c>
      <c r="I133" s="20" t="s">
        <v>35</v>
      </c>
      <c r="J133" s="10" t="s">
        <v>25</v>
      </c>
      <c r="K133" s="10" t="s">
        <v>26</v>
      </c>
      <c r="L133" s="10" t="s">
        <v>27</v>
      </c>
      <c r="M133" s="18" t="s">
        <v>28</v>
      </c>
      <c r="N133" s="10"/>
      <c r="O133" s="21" t="s">
        <v>265</v>
      </c>
      <c r="P133" s="19"/>
      <c r="Q133" s="29">
        <f t="shared" si="4"/>
        <v>1</v>
      </c>
      <c r="R133" s="18" t="str">
        <f t="shared" si="2"/>
        <v>P01.137</v>
      </c>
    </row>
    <row r="134" spans="1:18">
      <c r="A134" s="17"/>
      <c r="B134" s="17"/>
      <c r="C134" s="17"/>
      <c r="D134" s="10">
        <f>INDEX(D:D,ROW()-1)+_xlfn.IFS(INDEX(E:E,ROW()-1)="s16",1,INDEX(E:E,ROW()-1)="s32",2,INDEX(E:E,ROW()-1)="s64",4,INDEX(E:E,ROW()-1)="u16",1,INDEX(E:E,ROW()-1)="u32",2,INDEX(E:E,ROW()-1)="u64",4,INDEX(E:E,ROW()-1)="f32",2,INDEX(E:E,ROW()-1)="f64",4)</f>
        <v>138</v>
      </c>
      <c r="E134" s="18" t="s">
        <v>34</v>
      </c>
      <c r="F134" s="21" t="s">
        <v>266</v>
      </c>
      <c r="G134" s="20" t="s">
        <v>23</v>
      </c>
      <c r="H134" s="20" t="s">
        <v>23</v>
      </c>
      <c r="I134" s="20" t="s">
        <v>35</v>
      </c>
      <c r="J134" s="10" t="s">
        <v>25</v>
      </c>
      <c r="K134" s="10" t="s">
        <v>26</v>
      </c>
      <c r="L134" s="10" t="s">
        <v>27</v>
      </c>
      <c r="M134" s="18" t="s">
        <v>28</v>
      </c>
      <c r="N134" s="10"/>
      <c r="O134" s="21" t="s">
        <v>267</v>
      </c>
      <c r="P134" s="19"/>
      <c r="Q134" s="29">
        <f t="shared" si="4"/>
        <v>1</v>
      </c>
      <c r="R134" s="18" t="str">
        <f t="shared" ref="R134:R160" si="5">"P"&amp;TEXT(ROUND(D134/256,0),"00")&amp;"."&amp;TEXT(MOD(D134,256),"000")</f>
        <v>P01.138</v>
      </c>
    </row>
    <row r="135" spans="1:18">
      <c r="A135" s="17"/>
      <c r="B135" s="17"/>
      <c r="C135" s="17"/>
      <c r="D135" s="10">
        <f>INDEX(D:D,ROW()-1)+_xlfn.IFS(INDEX(E:E,ROW()-1)="s16",1,INDEX(E:E,ROW()-1)="s32",2,INDEX(E:E,ROW()-1)="s64",4,INDEX(E:E,ROW()-1)="u16",1,INDEX(E:E,ROW()-1)="u32",2,INDEX(E:E,ROW()-1)="u64",4,INDEX(E:E,ROW()-1)="f32",2,INDEX(E:E,ROW()-1)="f64",4)</f>
        <v>139</v>
      </c>
      <c r="E135" s="18" t="s">
        <v>20</v>
      </c>
      <c r="F135" s="21" t="s">
        <v>268</v>
      </c>
      <c r="G135" s="20" t="s">
        <v>23</v>
      </c>
      <c r="H135" s="20" t="s">
        <v>23</v>
      </c>
      <c r="I135" s="20" t="s">
        <v>24</v>
      </c>
      <c r="J135" s="10" t="s">
        <v>25</v>
      </c>
      <c r="K135" s="10" t="s">
        <v>26</v>
      </c>
      <c r="L135" s="10" t="s">
        <v>27</v>
      </c>
      <c r="M135" s="18" t="s">
        <v>28</v>
      </c>
      <c r="N135" s="10"/>
      <c r="O135" s="21" t="s">
        <v>269</v>
      </c>
      <c r="P135" s="19"/>
      <c r="Q135" s="29">
        <f t="shared" si="4"/>
        <v>1</v>
      </c>
      <c r="R135" s="18" t="str">
        <f t="shared" si="5"/>
        <v>P01.139</v>
      </c>
    </row>
    <row r="136" spans="1:18">
      <c r="A136" s="17"/>
      <c r="B136" s="17"/>
      <c r="C136" s="17"/>
      <c r="D136" s="10">
        <f>INDEX(D:D,ROW()-1)+_xlfn.IFS(INDEX(E:E,ROW()-1)="s16",1,INDEX(E:E,ROW()-1)="s32",2,INDEX(E:E,ROW()-1)="s64",4,INDEX(E:E,ROW()-1)="u16",1,INDEX(E:E,ROW()-1)="u32",2,INDEX(E:E,ROW()-1)="u64",4,INDEX(E:E,ROW()-1)="f32",2,INDEX(E:E,ROW()-1)="f64",4)</f>
        <v>141</v>
      </c>
      <c r="E136" s="18" t="s">
        <v>34</v>
      </c>
      <c r="F136" s="21" t="s">
        <v>270</v>
      </c>
      <c r="G136" s="20" t="s">
        <v>23</v>
      </c>
      <c r="H136" s="20" t="s">
        <v>23</v>
      </c>
      <c r="I136" s="20" t="s">
        <v>35</v>
      </c>
      <c r="J136" s="10" t="s">
        <v>25</v>
      </c>
      <c r="K136" s="10" t="s">
        <v>26</v>
      </c>
      <c r="L136" s="10" t="s">
        <v>27</v>
      </c>
      <c r="M136" s="18" t="s">
        <v>28</v>
      </c>
      <c r="N136" s="10"/>
      <c r="O136" s="21" t="s">
        <v>271</v>
      </c>
      <c r="P136" s="19"/>
      <c r="Q136" s="29">
        <f t="shared" si="4"/>
        <v>1</v>
      </c>
      <c r="R136" s="18" t="str">
        <f t="shared" si="5"/>
        <v>P01.141</v>
      </c>
    </row>
    <row r="137" spans="1:18">
      <c r="A137" s="17"/>
      <c r="B137" s="17"/>
      <c r="C137" s="17"/>
      <c r="D137" s="10">
        <f>INDEX(D:D,ROW()-1)+_xlfn.IFS(INDEX(E:E,ROW()-1)="s16",1,INDEX(E:E,ROW()-1)="s32",2,INDEX(E:E,ROW()-1)="s64",4,INDEX(E:E,ROW()-1)="u16",1,INDEX(E:E,ROW()-1)="u32",2,INDEX(E:E,ROW()-1)="u64",4,INDEX(E:E,ROW()-1)="f32",2,INDEX(E:E,ROW()-1)="f64",4)</f>
        <v>142</v>
      </c>
      <c r="E137" s="18" t="s">
        <v>34</v>
      </c>
      <c r="F137" s="21" t="s">
        <v>272</v>
      </c>
      <c r="G137" s="20" t="s">
        <v>23</v>
      </c>
      <c r="H137" s="20" t="s">
        <v>23</v>
      </c>
      <c r="I137" s="20" t="s">
        <v>35</v>
      </c>
      <c r="J137" s="10" t="s">
        <v>25</v>
      </c>
      <c r="K137" s="10" t="s">
        <v>26</v>
      </c>
      <c r="L137" s="10" t="s">
        <v>27</v>
      </c>
      <c r="M137" s="18" t="s">
        <v>28</v>
      </c>
      <c r="N137" s="10"/>
      <c r="O137" s="21" t="s">
        <v>273</v>
      </c>
      <c r="P137" s="19"/>
      <c r="Q137" s="29">
        <f t="shared" si="4"/>
        <v>1</v>
      </c>
      <c r="R137" s="18" t="str">
        <f t="shared" si="5"/>
        <v>P01.142</v>
      </c>
    </row>
    <row r="138" spans="1:18">
      <c r="A138" s="17"/>
      <c r="B138" s="17"/>
      <c r="C138" s="17"/>
      <c r="D138" s="10">
        <f>INDEX(D:D,ROW()-1)+_xlfn.IFS(INDEX(E:E,ROW()-1)="s16",1,INDEX(E:E,ROW()-1)="s32",2,INDEX(E:E,ROW()-1)="s64",4,INDEX(E:E,ROW()-1)="u16",1,INDEX(E:E,ROW()-1)="u32",2,INDEX(E:E,ROW()-1)="u64",4,INDEX(E:E,ROW()-1)="f32",2,INDEX(E:E,ROW()-1)="f64",4)</f>
        <v>143</v>
      </c>
      <c r="E138" s="18" t="s">
        <v>20</v>
      </c>
      <c r="F138" s="21" t="s">
        <v>274</v>
      </c>
      <c r="G138" s="20" t="s">
        <v>23</v>
      </c>
      <c r="H138" s="20" t="s">
        <v>23</v>
      </c>
      <c r="I138" s="20" t="s">
        <v>24</v>
      </c>
      <c r="J138" s="10" t="s">
        <v>25</v>
      </c>
      <c r="K138" s="10" t="s">
        <v>26</v>
      </c>
      <c r="L138" s="10" t="s">
        <v>27</v>
      </c>
      <c r="M138" s="18" t="s">
        <v>28</v>
      </c>
      <c r="N138" s="10"/>
      <c r="O138" s="21" t="s">
        <v>275</v>
      </c>
      <c r="P138" s="19"/>
      <c r="Q138" s="29">
        <f t="shared" si="4"/>
        <v>1</v>
      </c>
      <c r="R138" s="18" t="str">
        <f t="shared" si="5"/>
        <v>P01.143</v>
      </c>
    </row>
    <row r="139" spans="1:18">
      <c r="A139" s="17"/>
      <c r="B139" s="17"/>
      <c r="C139" s="17"/>
      <c r="D139" s="10">
        <f>INDEX(D:D,ROW()-1)+_xlfn.IFS(INDEX(E:E,ROW()-1)="s16",1,INDEX(E:E,ROW()-1)="s32",2,INDEX(E:E,ROW()-1)="s64",4,INDEX(E:E,ROW()-1)="u16",1,INDEX(E:E,ROW()-1)="u32",2,INDEX(E:E,ROW()-1)="u64",4,INDEX(E:E,ROW()-1)="f32",2,INDEX(E:E,ROW()-1)="f64",4)</f>
        <v>145</v>
      </c>
      <c r="E139" s="18" t="s">
        <v>34</v>
      </c>
      <c r="F139" s="21" t="s">
        <v>276</v>
      </c>
      <c r="G139" s="20" t="s">
        <v>23</v>
      </c>
      <c r="H139" s="20" t="s">
        <v>23</v>
      </c>
      <c r="I139" s="20" t="s">
        <v>35</v>
      </c>
      <c r="J139" s="10" t="s">
        <v>25</v>
      </c>
      <c r="K139" s="10" t="s">
        <v>26</v>
      </c>
      <c r="L139" s="10" t="s">
        <v>27</v>
      </c>
      <c r="M139" s="18" t="s">
        <v>28</v>
      </c>
      <c r="N139" s="10"/>
      <c r="O139" s="21" t="s">
        <v>277</v>
      </c>
      <c r="P139" s="19"/>
      <c r="Q139" s="29">
        <f t="shared" si="4"/>
        <v>1</v>
      </c>
      <c r="R139" s="18" t="str">
        <f t="shared" si="5"/>
        <v>P01.145</v>
      </c>
    </row>
    <row r="140" spans="1:18">
      <c r="A140" s="17"/>
      <c r="B140" s="17"/>
      <c r="C140" s="17"/>
      <c r="D140" s="10">
        <f>INDEX(D:D,ROW()-1)+_xlfn.IFS(INDEX(E:E,ROW()-1)="s16",1,INDEX(E:E,ROW()-1)="s32",2,INDEX(E:E,ROW()-1)="s64",4,INDEX(E:E,ROW()-1)="u16",1,INDEX(E:E,ROW()-1)="u32",2,INDEX(E:E,ROW()-1)="u64",4,INDEX(E:E,ROW()-1)="f32",2,INDEX(E:E,ROW()-1)="f64",4)</f>
        <v>146</v>
      </c>
      <c r="E140" s="18" t="s">
        <v>34</v>
      </c>
      <c r="F140" s="21" t="s">
        <v>278</v>
      </c>
      <c r="G140" s="20" t="s">
        <v>23</v>
      </c>
      <c r="H140" s="20" t="s">
        <v>23</v>
      </c>
      <c r="I140" s="20" t="s">
        <v>35</v>
      </c>
      <c r="J140" s="10" t="s">
        <v>25</v>
      </c>
      <c r="K140" s="10" t="s">
        <v>26</v>
      </c>
      <c r="L140" s="10" t="s">
        <v>27</v>
      </c>
      <c r="M140" s="18" t="s">
        <v>28</v>
      </c>
      <c r="N140" s="10"/>
      <c r="O140" s="21" t="s">
        <v>279</v>
      </c>
      <c r="P140" s="19"/>
      <c r="Q140" s="29">
        <f t="shared" si="4"/>
        <v>1</v>
      </c>
      <c r="R140" s="18" t="str">
        <f t="shared" si="5"/>
        <v>P01.146</v>
      </c>
    </row>
    <row r="141" spans="1:18">
      <c r="A141" s="17"/>
      <c r="B141" s="17"/>
      <c r="C141" s="17"/>
      <c r="D141" s="10">
        <f>INDEX(D:D,ROW()-1)+_xlfn.IFS(INDEX(E:E,ROW()-1)="s16",1,INDEX(E:E,ROW()-1)="s32",2,INDEX(E:E,ROW()-1)="s64",4,INDEX(E:E,ROW()-1)="u16",1,INDEX(E:E,ROW()-1)="u32",2,INDEX(E:E,ROW()-1)="u64",4,INDEX(E:E,ROW()-1)="f32",2,INDEX(E:E,ROW()-1)="f64",4)</f>
        <v>147</v>
      </c>
      <c r="E141" s="18" t="s">
        <v>20</v>
      </c>
      <c r="F141" s="21" t="s">
        <v>280</v>
      </c>
      <c r="G141" s="20" t="s">
        <v>23</v>
      </c>
      <c r="H141" s="20" t="s">
        <v>23</v>
      </c>
      <c r="I141" s="20" t="s">
        <v>24</v>
      </c>
      <c r="J141" s="10" t="s">
        <v>25</v>
      </c>
      <c r="K141" s="10" t="s">
        <v>26</v>
      </c>
      <c r="L141" s="10" t="s">
        <v>27</v>
      </c>
      <c r="M141" s="18" t="s">
        <v>28</v>
      </c>
      <c r="N141" s="10"/>
      <c r="O141" s="21" t="s">
        <v>281</v>
      </c>
      <c r="P141" s="19"/>
      <c r="Q141" s="29">
        <f t="shared" si="4"/>
        <v>1</v>
      </c>
      <c r="R141" s="18" t="str">
        <f t="shared" si="5"/>
        <v>P01.147</v>
      </c>
    </row>
    <row r="142" spans="1:18">
      <c r="A142" s="17"/>
      <c r="B142" s="17"/>
      <c r="C142" s="17"/>
      <c r="D142" s="10">
        <f>INDEX(D:D,ROW()-1)+_xlfn.IFS(INDEX(E:E,ROW()-1)="s16",1,INDEX(E:E,ROW()-1)="s32",2,INDEX(E:E,ROW()-1)="s64",4,INDEX(E:E,ROW()-1)="u16",1,INDEX(E:E,ROW()-1)="u32",2,INDEX(E:E,ROW()-1)="u64",4,INDEX(E:E,ROW()-1)="f32",2,INDEX(E:E,ROW()-1)="f64",4)</f>
        <v>149</v>
      </c>
      <c r="E142" s="18" t="s">
        <v>34</v>
      </c>
      <c r="F142" s="21" t="s">
        <v>282</v>
      </c>
      <c r="G142" s="20" t="s">
        <v>23</v>
      </c>
      <c r="H142" s="20" t="s">
        <v>23</v>
      </c>
      <c r="I142" s="20" t="s">
        <v>35</v>
      </c>
      <c r="J142" s="10" t="s">
        <v>25</v>
      </c>
      <c r="K142" s="10" t="s">
        <v>26</v>
      </c>
      <c r="L142" s="10" t="s">
        <v>27</v>
      </c>
      <c r="M142" s="18" t="s">
        <v>28</v>
      </c>
      <c r="N142" s="10"/>
      <c r="O142" s="21" t="s">
        <v>283</v>
      </c>
      <c r="P142" s="19"/>
      <c r="Q142" s="29">
        <f t="shared" si="4"/>
        <v>1</v>
      </c>
      <c r="R142" s="18" t="str">
        <f t="shared" si="5"/>
        <v>P01.149</v>
      </c>
    </row>
    <row r="143" spans="1:18">
      <c r="A143" s="17"/>
      <c r="B143" s="17"/>
      <c r="C143" s="17"/>
      <c r="D143" s="10">
        <f>INDEX(D:D,ROW()-1)+_xlfn.IFS(INDEX(E:E,ROW()-1)="s16",1,INDEX(E:E,ROW()-1)="s32",2,INDEX(E:E,ROW()-1)="s64",4,INDEX(E:E,ROW()-1)="u16",1,INDEX(E:E,ROW()-1)="u32",2,INDEX(E:E,ROW()-1)="u64",4,INDEX(E:E,ROW()-1)="f32",2,INDEX(E:E,ROW()-1)="f64",4)</f>
        <v>150</v>
      </c>
      <c r="E143" s="18" t="s">
        <v>34</v>
      </c>
      <c r="F143" s="21" t="s">
        <v>284</v>
      </c>
      <c r="G143" s="20" t="s">
        <v>23</v>
      </c>
      <c r="H143" s="20" t="s">
        <v>23</v>
      </c>
      <c r="I143" s="20" t="s">
        <v>35</v>
      </c>
      <c r="J143" s="10" t="s">
        <v>25</v>
      </c>
      <c r="K143" s="10" t="s">
        <v>26</v>
      </c>
      <c r="L143" s="10" t="s">
        <v>27</v>
      </c>
      <c r="M143" s="18" t="s">
        <v>28</v>
      </c>
      <c r="N143" s="10"/>
      <c r="O143" s="21" t="s">
        <v>285</v>
      </c>
      <c r="P143" s="19"/>
      <c r="Q143" s="29">
        <f t="shared" si="4"/>
        <v>1</v>
      </c>
      <c r="R143" s="18" t="str">
        <f t="shared" si="5"/>
        <v>P01.150</v>
      </c>
    </row>
    <row r="144" spans="1:18">
      <c r="A144" s="17"/>
      <c r="B144" s="17"/>
      <c r="C144" s="17"/>
      <c r="D144" s="10">
        <f>INDEX(D:D,ROW()-1)+_xlfn.IFS(INDEX(E:E,ROW()-1)="s16",1,INDEX(E:E,ROW()-1)="s32",2,INDEX(E:E,ROW()-1)="s64",4,INDEX(E:E,ROW()-1)="u16",1,INDEX(E:E,ROW()-1)="u32",2,INDEX(E:E,ROW()-1)="u64",4,INDEX(E:E,ROW()-1)="f32",2,INDEX(E:E,ROW()-1)="f64",4)</f>
        <v>151</v>
      </c>
      <c r="E144" s="18" t="s">
        <v>20</v>
      </c>
      <c r="F144" s="21" t="s">
        <v>286</v>
      </c>
      <c r="G144" s="20" t="s">
        <v>23</v>
      </c>
      <c r="H144" s="20" t="s">
        <v>23</v>
      </c>
      <c r="I144" s="20" t="s">
        <v>24</v>
      </c>
      <c r="J144" s="10" t="s">
        <v>25</v>
      </c>
      <c r="K144" s="10" t="s">
        <v>26</v>
      </c>
      <c r="L144" s="10" t="s">
        <v>27</v>
      </c>
      <c r="M144" s="18" t="s">
        <v>28</v>
      </c>
      <c r="N144" s="10"/>
      <c r="O144" s="21" t="s">
        <v>287</v>
      </c>
      <c r="P144" s="19"/>
      <c r="Q144" s="29">
        <f t="shared" si="4"/>
        <v>1</v>
      </c>
      <c r="R144" s="18" t="str">
        <f t="shared" si="5"/>
        <v>P01.151</v>
      </c>
    </row>
    <row r="145" spans="1:18">
      <c r="A145" s="17"/>
      <c r="B145" s="17"/>
      <c r="C145" s="17"/>
      <c r="D145" s="10">
        <f>INDEX(D:D,ROW()-1)+_xlfn.IFS(INDEX(E:E,ROW()-1)="s16",1,INDEX(E:E,ROW()-1)="s32",2,INDEX(E:E,ROW()-1)="s64",4,INDEX(E:E,ROW()-1)="u16",1,INDEX(E:E,ROW()-1)="u32",2,INDEX(E:E,ROW()-1)="u64",4,INDEX(E:E,ROW()-1)="f32",2,INDEX(E:E,ROW()-1)="f64",4)</f>
        <v>153</v>
      </c>
      <c r="E145" s="18" t="s">
        <v>34</v>
      </c>
      <c r="F145" s="21" t="s">
        <v>288</v>
      </c>
      <c r="G145" s="20" t="s">
        <v>23</v>
      </c>
      <c r="H145" s="20" t="s">
        <v>23</v>
      </c>
      <c r="I145" s="20" t="s">
        <v>35</v>
      </c>
      <c r="J145" s="10" t="s">
        <v>25</v>
      </c>
      <c r="K145" s="10" t="s">
        <v>26</v>
      </c>
      <c r="L145" s="10" t="s">
        <v>27</v>
      </c>
      <c r="M145" s="18" t="s">
        <v>28</v>
      </c>
      <c r="N145" s="10"/>
      <c r="O145" s="21" t="s">
        <v>289</v>
      </c>
      <c r="P145" s="19"/>
      <c r="Q145" s="29">
        <f t="shared" si="4"/>
        <v>1</v>
      </c>
      <c r="R145" s="18" t="str">
        <f t="shared" si="5"/>
        <v>P01.153</v>
      </c>
    </row>
    <row r="146" spans="1:18">
      <c r="A146" s="17"/>
      <c r="B146" s="17"/>
      <c r="C146" s="17"/>
      <c r="D146" s="10">
        <f>INDEX(D:D,ROW()-1)+_xlfn.IFS(INDEX(E:E,ROW()-1)="s16",1,INDEX(E:E,ROW()-1)="s32",2,INDEX(E:E,ROW()-1)="s64",4,INDEX(E:E,ROW()-1)="u16",1,INDEX(E:E,ROW()-1)="u32",2,INDEX(E:E,ROW()-1)="u64",4,INDEX(E:E,ROW()-1)="f32",2,INDEX(E:E,ROW()-1)="f64",4)</f>
        <v>154</v>
      </c>
      <c r="E146" s="18" t="s">
        <v>34</v>
      </c>
      <c r="F146" s="21" t="s">
        <v>290</v>
      </c>
      <c r="G146" s="20" t="s">
        <v>23</v>
      </c>
      <c r="H146" s="20" t="s">
        <v>23</v>
      </c>
      <c r="I146" s="20" t="s">
        <v>35</v>
      </c>
      <c r="J146" s="10" t="s">
        <v>25</v>
      </c>
      <c r="K146" s="10" t="s">
        <v>26</v>
      </c>
      <c r="L146" s="10" t="s">
        <v>27</v>
      </c>
      <c r="M146" s="18" t="s">
        <v>28</v>
      </c>
      <c r="N146" s="10"/>
      <c r="O146" s="21" t="s">
        <v>291</v>
      </c>
      <c r="P146" s="19"/>
      <c r="Q146" s="29">
        <f t="shared" ref="Q146:Q177" si="6">IF(OR(F146="",LEFT(TRIM(F146),3)=E146),1,0)</f>
        <v>1</v>
      </c>
      <c r="R146" s="18" t="str">
        <f t="shared" si="5"/>
        <v>P01.154</v>
      </c>
    </row>
    <row r="147" spans="1:18">
      <c r="A147" s="17"/>
      <c r="B147" s="17"/>
      <c r="C147" s="17"/>
      <c r="D147" s="10">
        <f>INDEX(D:D,ROW()-1)+_xlfn.IFS(INDEX(E:E,ROW()-1)="s16",1,INDEX(E:E,ROW()-1)="s32",2,INDEX(E:E,ROW()-1)="s64",4,INDEX(E:E,ROW()-1)="u16",1,INDEX(E:E,ROW()-1)="u32",2,INDEX(E:E,ROW()-1)="u64",4,INDEX(E:E,ROW()-1)="f32",2,INDEX(E:E,ROW()-1)="f64",4)</f>
        <v>155</v>
      </c>
      <c r="E147" s="18" t="s">
        <v>20</v>
      </c>
      <c r="F147" s="21" t="s">
        <v>292</v>
      </c>
      <c r="G147" s="20" t="s">
        <v>23</v>
      </c>
      <c r="H147" s="20" t="s">
        <v>23</v>
      </c>
      <c r="I147" s="20" t="s">
        <v>24</v>
      </c>
      <c r="J147" s="10" t="s">
        <v>25</v>
      </c>
      <c r="K147" s="10" t="s">
        <v>26</v>
      </c>
      <c r="L147" s="10" t="s">
        <v>27</v>
      </c>
      <c r="M147" s="18" t="s">
        <v>28</v>
      </c>
      <c r="N147" s="10"/>
      <c r="O147" s="21" t="s">
        <v>293</v>
      </c>
      <c r="P147" s="19"/>
      <c r="Q147" s="29">
        <f t="shared" si="6"/>
        <v>1</v>
      </c>
      <c r="R147" s="18" t="str">
        <f t="shared" si="5"/>
        <v>P01.155</v>
      </c>
    </row>
    <row r="148" spans="1:18">
      <c r="A148" s="17"/>
      <c r="B148" s="17"/>
      <c r="C148" s="17"/>
      <c r="D148" s="10">
        <f>INDEX(D:D,ROW()-1)+_xlfn.IFS(INDEX(E:E,ROW()-1)="s16",1,INDEX(E:E,ROW()-1)="s32",2,INDEX(E:E,ROW()-1)="s64",4,INDEX(E:E,ROW()-1)="u16",1,INDEX(E:E,ROW()-1)="u32",2,INDEX(E:E,ROW()-1)="u64",4,INDEX(E:E,ROW()-1)="f32",2,INDEX(E:E,ROW()-1)="f64",4)</f>
        <v>157</v>
      </c>
      <c r="E148" s="18" t="s">
        <v>34</v>
      </c>
      <c r="F148" s="21" t="s">
        <v>294</v>
      </c>
      <c r="G148" s="20" t="s">
        <v>23</v>
      </c>
      <c r="H148" s="20" t="s">
        <v>23</v>
      </c>
      <c r="I148" s="20" t="s">
        <v>35</v>
      </c>
      <c r="J148" s="10" t="s">
        <v>25</v>
      </c>
      <c r="K148" s="10" t="s">
        <v>26</v>
      </c>
      <c r="L148" s="10" t="s">
        <v>27</v>
      </c>
      <c r="M148" s="18" t="s">
        <v>28</v>
      </c>
      <c r="N148" s="10"/>
      <c r="O148" s="21" t="s">
        <v>295</v>
      </c>
      <c r="P148" s="19"/>
      <c r="Q148" s="29">
        <f t="shared" si="6"/>
        <v>1</v>
      </c>
      <c r="R148" s="18" t="str">
        <f t="shared" si="5"/>
        <v>P01.157</v>
      </c>
    </row>
    <row r="149" spans="1:18">
      <c r="A149" s="17"/>
      <c r="B149" s="17"/>
      <c r="C149" s="17"/>
      <c r="D149" s="10">
        <f>INDEX(D:D,ROW()-1)+_xlfn.IFS(INDEX(E:E,ROW()-1)="s16",1,INDEX(E:E,ROW()-1)="s32",2,INDEX(E:E,ROW()-1)="s64",4,INDEX(E:E,ROW()-1)="u16",1,INDEX(E:E,ROW()-1)="u32",2,INDEX(E:E,ROW()-1)="u64",4,INDEX(E:E,ROW()-1)="f32",2,INDEX(E:E,ROW()-1)="f64",4)</f>
        <v>158</v>
      </c>
      <c r="E149" s="18" t="s">
        <v>34</v>
      </c>
      <c r="F149" s="21" t="s">
        <v>296</v>
      </c>
      <c r="G149" s="20" t="s">
        <v>23</v>
      </c>
      <c r="H149" s="20" t="s">
        <v>23</v>
      </c>
      <c r="I149" s="20" t="s">
        <v>35</v>
      </c>
      <c r="J149" s="10" t="s">
        <v>25</v>
      </c>
      <c r="K149" s="10" t="s">
        <v>26</v>
      </c>
      <c r="L149" s="10" t="s">
        <v>27</v>
      </c>
      <c r="M149" s="18" t="s">
        <v>28</v>
      </c>
      <c r="N149" s="10"/>
      <c r="O149" s="21" t="s">
        <v>297</v>
      </c>
      <c r="P149" s="19"/>
      <c r="Q149" s="29">
        <f t="shared" si="6"/>
        <v>1</v>
      </c>
      <c r="R149" s="18" t="str">
        <f t="shared" si="5"/>
        <v>P01.158</v>
      </c>
    </row>
    <row r="150" spans="1:18">
      <c r="A150" s="17"/>
      <c r="B150" s="17"/>
      <c r="C150" s="17"/>
      <c r="D150" s="10">
        <f>INDEX(D:D,ROW()-1)+_xlfn.IFS(INDEX(E:E,ROW()-1)="s16",1,INDEX(E:E,ROW()-1)="s32",2,INDEX(E:E,ROW()-1)="s64",4,INDEX(E:E,ROW()-1)="u16",1,INDEX(E:E,ROW()-1)="u32",2,INDEX(E:E,ROW()-1)="u64",4,INDEX(E:E,ROW()-1)="f32",2,INDEX(E:E,ROW()-1)="f64",4)</f>
        <v>159</v>
      </c>
      <c r="E150" s="18" t="s">
        <v>20</v>
      </c>
      <c r="F150" s="21" t="s">
        <v>298</v>
      </c>
      <c r="G150" s="20" t="s">
        <v>23</v>
      </c>
      <c r="H150" s="20" t="s">
        <v>23</v>
      </c>
      <c r="I150" s="20" t="s">
        <v>24</v>
      </c>
      <c r="J150" s="10" t="s">
        <v>25</v>
      </c>
      <c r="K150" s="10" t="s">
        <v>26</v>
      </c>
      <c r="L150" s="10" t="s">
        <v>27</v>
      </c>
      <c r="M150" s="18" t="s">
        <v>28</v>
      </c>
      <c r="N150" s="10"/>
      <c r="O150" s="21" t="s">
        <v>299</v>
      </c>
      <c r="P150" s="19"/>
      <c r="Q150" s="29">
        <f t="shared" si="6"/>
        <v>1</v>
      </c>
      <c r="R150" s="18" t="str">
        <f t="shared" si="5"/>
        <v>P01.159</v>
      </c>
    </row>
    <row r="151" spans="1:18">
      <c r="A151" s="17"/>
      <c r="B151" s="17"/>
      <c r="C151" s="17"/>
      <c r="D151" s="10">
        <f>INDEX(D:D,ROW()-1)+_xlfn.IFS(INDEX(E:E,ROW()-1)="s16",1,INDEX(E:E,ROW()-1)="s32",2,INDEX(E:E,ROW()-1)="s64",4,INDEX(E:E,ROW()-1)="u16",1,INDEX(E:E,ROW()-1)="u32",2,INDEX(E:E,ROW()-1)="u64",4,INDEX(E:E,ROW()-1)="f32",2,INDEX(E:E,ROW()-1)="f64",4)</f>
        <v>161</v>
      </c>
      <c r="E151" s="18" t="s">
        <v>34</v>
      </c>
      <c r="F151" s="21" t="s">
        <v>300</v>
      </c>
      <c r="G151" s="20" t="s">
        <v>23</v>
      </c>
      <c r="H151" s="20" t="s">
        <v>23</v>
      </c>
      <c r="I151" s="20" t="s">
        <v>35</v>
      </c>
      <c r="J151" s="10" t="s">
        <v>25</v>
      </c>
      <c r="K151" s="10" t="s">
        <v>26</v>
      </c>
      <c r="L151" s="10" t="s">
        <v>27</v>
      </c>
      <c r="M151" s="18" t="s">
        <v>28</v>
      </c>
      <c r="N151" s="10"/>
      <c r="O151" s="21" t="s">
        <v>301</v>
      </c>
      <c r="P151" s="19"/>
      <c r="Q151" s="29">
        <f t="shared" si="6"/>
        <v>1</v>
      </c>
      <c r="R151" s="18" t="str">
        <f t="shared" si="5"/>
        <v>P01.161</v>
      </c>
    </row>
    <row r="152" spans="1:18">
      <c r="A152" s="17"/>
      <c r="B152" s="17"/>
      <c r="C152" s="17"/>
      <c r="D152" s="10">
        <f>INDEX(D:D,ROW()-1)+_xlfn.IFS(INDEX(E:E,ROW()-1)="s16",1,INDEX(E:E,ROW()-1)="s32",2,INDEX(E:E,ROW()-1)="s64",4,INDEX(E:E,ROW()-1)="u16",1,INDEX(E:E,ROW()-1)="u32",2,INDEX(E:E,ROW()-1)="u64",4,INDEX(E:E,ROW()-1)="f32",2,INDEX(E:E,ROW()-1)="f64",4)</f>
        <v>162</v>
      </c>
      <c r="E152" s="18" t="s">
        <v>34</v>
      </c>
      <c r="F152" s="21" t="s">
        <v>302</v>
      </c>
      <c r="G152" s="20" t="s">
        <v>23</v>
      </c>
      <c r="H152" s="20" t="s">
        <v>23</v>
      </c>
      <c r="I152" s="20" t="s">
        <v>35</v>
      </c>
      <c r="J152" s="10" t="s">
        <v>25</v>
      </c>
      <c r="K152" s="10" t="s">
        <v>26</v>
      </c>
      <c r="L152" s="10" t="s">
        <v>27</v>
      </c>
      <c r="M152" s="18" t="s">
        <v>28</v>
      </c>
      <c r="N152" s="10"/>
      <c r="O152" s="21" t="s">
        <v>303</v>
      </c>
      <c r="P152" s="19"/>
      <c r="Q152" s="29">
        <f t="shared" si="6"/>
        <v>1</v>
      </c>
      <c r="R152" s="18" t="str">
        <f t="shared" si="5"/>
        <v>P01.162</v>
      </c>
    </row>
    <row r="153" spans="1:18">
      <c r="A153" s="17"/>
      <c r="B153" s="17"/>
      <c r="C153" s="17"/>
      <c r="D153" s="10">
        <f>INDEX(D:D,ROW()-1)+_xlfn.IFS(INDEX(E:E,ROW()-1)="s16",1,INDEX(E:E,ROW()-1)="s32",2,INDEX(E:E,ROW()-1)="s64",4,INDEX(E:E,ROW()-1)="u16",1,INDEX(E:E,ROW()-1)="u32",2,INDEX(E:E,ROW()-1)="u64",4,INDEX(E:E,ROW()-1)="f32",2,INDEX(E:E,ROW()-1)="f64",4)</f>
        <v>163</v>
      </c>
      <c r="E153" s="18" t="s">
        <v>20</v>
      </c>
      <c r="F153" s="21" t="s">
        <v>304</v>
      </c>
      <c r="G153" s="20" t="s">
        <v>23</v>
      </c>
      <c r="H153" s="20" t="s">
        <v>23</v>
      </c>
      <c r="I153" s="20" t="s">
        <v>24</v>
      </c>
      <c r="J153" s="10" t="s">
        <v>25</v>
      </c>
      <c r="K153" s="10" t="s">
        <v>26</v>
      </c>
      <c r="L153" s="10" t="s">
        <v>27</v>
      </c>
      <c r="M153" s="18" t="s">
        <v>28</v>
      </c>
      <c r="N153" s="10"/>
      <c r="O153" s="21" t="s">
        <v>305</v>
      </c>
      <c r="P153" s="19"/>
      <c r="Q153" s="29">
        <f t="shared" si="6"/>
        <v>1</v>
      </c>
      <c r="R153" s="18" t="str">
        <f t="shared" si="5"/>
        <v>P01.163</v>
      </c>
    </row>
    <row r="154" spans="1:18">
      <c r="A154" s="17"/>
      <c r="B154" s="17"/>
      <c r="C154" s="17"/>
      <c r="D154" s="10">
        <f>INDEX(D:D,ROW()-1)+_xlfn.IFS(INDEX(E:E,ROW()-1)="s16",1,INDEX(E:E,ROW()-1)="s32",2,INDEX(E:E,ROW()-1)="s64",4,INDEX(E:E,ROW()-1)="u16",1,INDEX(E:E,ROW()-1)="u32",2,INDEX(E:E,ROW()-1)="u64",4,INDEX(E:E,ROW()-1)="f32",2,INDEX(E:E,ROW()-1)="f64",4)</f>
        <v>165</v>
      </c>
      <c r="E154" s="18" t="s">
        <v>34</v>
      </c>
      <c r="F154" s="21" t="s">
        <v>306</v>
      </c>
      <c r="G154" s="20" t="s">
        <v>23</v>
      </c>
      <c r="H154" s="20" t="s">
        <v>23</v>
      </c>
      <c r="I154" s="20" t="s">
        <v>35</v>
      </c>
      <c r="J154" s="10" t="s">
        <v>25</v>
      </c>
      <c r="K154" s="10" t="s">
        <v>26</v>
      </c>
      <c r="L154" s="10" t="s">
        <v>27</v>
      </c>
      <c r="M154" s="18" t="s">
        <v>28</v>
      </c>
      <c r="N154" s="10"/>
      <c r="O154" s="21" t="s">
        <v>307</v>
      </c>
      <c r="P154" s="19"/>
      <c r="Q154" s="29">
        <f t="shared" si="6"/>
        <v>1</v>
      </c>
      <c r="R154" s="10" t="str">
        <f t="shared" si="5"/>
        <v>P01.165</v>
      </c>
    </row>
    <row r="155" spans="1:18">
      <c r="A155" s="17"/>
      <c r="B155" s="17"/>
      <c r="C155" s="17"/>
      <c r="D155" s="10">
        <f>INDEX(D:D,ROW()-1)+_xlfn.IFS(INDEX(E:E,ROW()-1)="s16",1,INDEX(E:E,ROW()-1)="s32",2,INDEX(E:E,ROW()-1)="s64",4,INDEX(E:E,ROW()-1)="u16",1,INDEX(E:E,ROW()-1)="u32",2,INDEX(E:E,ROW()-1)="u64",4,INDEX(E:E,ROW()-1)="f32",2,INDEX(E:E,ROW()-1)="f64",4)</f>
        <v>166</v>
      </c>
      <c r="E155" s="18" t="s">
        <v>34</v>
      </c>
      <c r="F155" s="21" t="s">
        <v>308</v>
      </c>
      <c r="G155" s="20" t="s">
        <v>23</v>
      </c>
      <c r="H155" s="20" t="s">
        <v>23</v>
      </c>
      <c r="I155" s="20" t="s">
        <v>35</v>
      </c>
      <c r="J155" s="10" t="s">
        <v>25</v>
      </c>
      <c r="K155" s="10" t="s">
        <v>26</v>
      </c>
      <c r="L155" s="10" t="s">
        <v>27</v>
      </c>
      <c r="M155" s="18" t="s">
        <v>28</v>
      </c>
      <c r="N155" s="10"/>
      <c r="O155" s="21" t="s">
        <v>309</v>
      </c>
      <c r="P155" s="19"/>
      <c r="Q155" s="29">
        <f t="shared" si="6"/>
        <v>1</v>
      </c>
      <c r="R155" s="10" t="str">
        <f t="shared" si="5"/>
        <v>P01.166</v>
      </c>
    </row>
    <row r="156" spans="1:18">
      <c r="A156" s="17"/>
      <c r="B156" s="17"/>
      <c r="C156" s="17"/>
      <c r="D156" s="10">
        <f>INDEX(D:D,ROW()-1)+_xlfn.IFS(INDEX(E:E,ROW()-1)="s16",1,INDEX(E:E,ROW()-1)="s32",2,INDEX(E:E,ROW()-1)="s64",4,INDEX(E:E,ROW()-1)="u16",1,INDEX(E:E,ROW()-1)="u32",2,INDEX(E:E,ROW()-1)="u64",4,INDEX(E:E,ROW()-1)="f32",2,INDEX(E:E,ROW()-1)="f64",4)</f>
        <v>167</v>
      </c>
      <c r="E156" s="18" t="s">
        <v>20</v>
      </c>
      <c r="F156" s="21" t="s">
        <v>310</v>
      </c>
      <c r="G156" s="20" t="s">
        <v>23</v>
      </c>
      <c r="H156" s="20" t="s">
        <v>23</v>
      </c>
      <c r="I156" s="20" t="s">
        <v>24</v>
      </c>
      <c r="J156" s="10" t="s">
        <v>25</v>
      </c>
      <c r="K156" s="10" t="s">
        <v>26</v>
      </c>
      <c r="L156" s="10" t="s">
        <v>27</v>
      </c>
      <c r="M156" s="18" t="s">
        <v>28</v>
      </c>
      <c r="N156" s="10"/>
      <c r="O156" s="21" t="s">
        <v>311</v>
      </c>
      <c r="P156" s="19"/>
      <c r="Q156" s="29">
        <f t="shared" si="6"/>
        <v>1</v>
      </c>
      <c r="R156" s="10" t="str">
        <f t="shared" si="5"/>
        <v>P01.167</v>
      </c>
    </row>
    <row r="157" spans="1:18">
      <c r="A157" s="17"/>
      <c r="B157" s="17"/>
      <c r="C157" s="17"/>
      <c r="D157" s="10">
        <f>INDEX(D:D,ROW()-1)+_xlfn.IFS(INDEX(E:E,ROW()-1)="s16",1,INDEX(E:E,ROW()-1)="s32",2,INDEX(E:E,ROW()-1)="s64",4,INDEX(E:E,ROW()-1)="u16",1,INDEX(E:E,ROW()-1)="u32",2,INDEX(E:E,ROW()-1)="u64",4,INDEX(E:E,ROW()-1)="f32",2,INDEX(E:E,ROW()-1)="f64",4)</f>
        <v>169</v>
      </c>
      <c r="E157" s="18" t="s">
        <v>34</v>
      </c>
      <c r="F157" s="21" t="s">
        <v>312</v>
      </c>
      <c r="G157" s="20" t="s">
        <v>23</v>
      </c>
      <c r="H157" s="20" t="s">
        <v>23</v>
      </c>
      <c r="I157" s="20" t="s">
        <v>35</v>
      </c>
      <c r="J157" s="10" t="s">
        <v>25</v>
      </c>
      <c r="K157" s="10" t="s">
        <v>26</v>
      </c>
      <c r="L157" s="10" t="s">
        <v>27</v>
      </c>
      <c r="M157" s="18" t="s">
        <v>28</v>
      </c>
      <c r="N157" s="10"/>
      <c r="O157" s="21" t="s">
        <v>313</v>
      </c>
      <c r="P157" s="19"/>
      <c r="Q157" s="29">
        <f t="shared" si="6"/>
        <v>1</v>
      </c>
      <c r="R157" s="10" t="str">
        <f t="shared" si="5"/>
        <v>P01.169</v>
      </c>
    </row>
    <row r="158" spans="1:18">
      <c r="A158" s="17"/>
      <c r="B158" s="17"/>
      <c r="C158" s="17"/>
      <c r="D158" s="10">
        <f>INDEX(D:D,ROW()-1)+_xlfn.IFS(INDEX(E:E,ROW()-1)="s16",1,INDEX(E:E,ROW()-1)="s32",2,INDEX(E:E,ROW()-1)="s64",4,INDEX(E:E,ROW()-1)="u16",1,INDEX(E:E,ROW()-1)="u32",2,INDEX(E:E,ROW()-1)="u64",4,INDEX(E:E,ROW()-1)="f32",2,INDEX(E:E,ROW()-1)="f64",4)</f>
        <v>170</v>
      </c>
      <c r="E158" s="18" t="s">
        <v>34</v>
      </c>
      <c r="F158" s="21" t="s">
        <v>314</v>
      </c>
      <c r="G158" s="20" t="s">
        <v>23</v>
      </c>
      <c r="H158" s="20" t="s">
        <v>23</v>
      </c>
      <c r="I158" s="20" t="s">
        <v>35</v>
      </c>
      <c r="J158" s="10" t="s">
        <v>25</v>
      </c>
      <c r="K158" s="10" t="s">
        <v>26</v>
      </c>
      <c r="L158" s="10" t="s">
        <v>27</v>
      </c>
      <c r="M158" s="18" t="s">
        <v>28</v>
      </c>
      <c r="N158" s="10"/>
      <c r="O158" s="21" t="s">
        <v>315</v>
      </c>
      <c r="P158" s="19"/>
      <c r="Q158" s="29">
        <f t="shared" si="6"/>
        <v>1</v>
      </c>
      <c r="R158" s="10" t="str">
        <f t="shared" si="5"/>
        <v>P01.170</v>
      </c>
    </row>
    <row r="159" spans="1:18">
      <c r="A159" s="17"/>
      <c r="B159" s="17"/>
      <c r="C159" s="17"/>
      <c r="D159" s="10">
        <f>INDEX(D:D,ROW()-1)+_xlfn.IFS(INDEX(E:E,ROW()-1)="s16",1,INDEX(E:E,ROW()-1)="s32",2,INDEX(E:E,ROW()-1)="s64",4,INDEX(E:E,ROW()-1)="u16",1,INDEX(E:E,ROW()-1)="u32",2,INDEX(E:E,ROW()-1)="u64",4,INDEX(E:E,ROW()-1)="f32",2,INDEX(E:E,ROW()-1)="f64",4)</f>
        <v>171</v>
      </c>
      <c r="E159" s="18" t="s">
        <v>20</v>
      </c>
      <c r="F159" s="21" t="s">
        <v>316</v>
      </c>
      <c r="G159" s="20" t="s">
        <v>23</v>
      </c>
      <c r="H159" s="20" t="s">
        <v>23</v>
      </c>
      <c r="I159" s="20" t="s">
        <v>24</v>
      </c>
      <c r="J159" s="10" t="s">
        <v>25</v>
      </c>
      <c r="K159" s="10" t="s">
        <v>26</v>
      </c>
      <c r="L159" s="10" t="s">
        <v>27</v>
      </c>
      <c r="M159" s="18" t="s">
        <v>28</v>
      </c>
      <c r="N159" s="10"/>
      <c r="O159" s="21" t="s">
        <v>317</v>
      </c>
      <c r="P159" s="19"/>
      <c r="Q159" s="29">
        <f t="shared" si="6"/>
        <v>1</v>
      </c>
      <c r="R159" s="10" t="str">
        <f t="shared" si="5"/>
        <v>P01.171</v>
      </c>
    </row>
    <row r="160" spans="1:18">
      <c r="A160" s="17"/>
      <c r="B160" s="17"/>
      <c r="C160" s="17"/>
      <c r="D160" s="10">
        <f>INDEX(D:D,ROW()-1)+_xlfn.IFS(INDEX(E:E,ROW()-1)="s16",1,INDEX(E:E,ROW()-1)="s32",2,INDEX(E:E,ROW()-1)="s64",4,INDEX(E:E,ROW()-1)="u16",1,INDEX(E:E,ROW()-1)="u32",2,INDEX(E:E,ROW()-1)="u64",4,INDEX(E:E,ROW()-1)="f32",2,INDEX(E:E,ROW()-1)="f64",4)</f>
        <v>173</v>
      </c>
      <c r="E160" s="18" t="s">
        <v>34</v>
      </c>
      <c r="F160" s="21" t="s">
        <v>318</v>
      </c>
      <c r="G160" s="20" t="s">
        <v>23</v>
      </c>
      <c r="H160" s="20" t="s">
        <v>23</v>
      </c>
      <c r="I160" s="20" t="s">
        <v>35</v>
      </c>
      <c r="J160" s="10" t="s">
        <v>25</v>
      </c>
      <c r="K160" s="10" t="s">
        <v>26</v>
      </c>
      <c r="L160" s="10" t="s">
        <v>27</v>
      </c>
      <c r="M160" s="18" t="s">
        <v>28</v>
      </c>
      <c r="N160" s="10"/>
      <c r="O160" s="21" t="s">
        <v>319</v>
      </c>
      <c r="P160" s="19"/>
      <c r="Q160" s="29">
        <f t="shared" si="6"/>
        <v>1</v>
      </c>
      <c r="R160" s="10" t="str">
        <f t="shared" si="5"/>
        <v>P01.173</v>
      </c>
    </row>
    <row r="161" spans="1:18">
      <c r="A161" s="17"/>
      <c r="B161" s="17"/>
      <c r="C161" s="17"/>
      <c r="D161" s="10">
        <f>INDEX(D:D,ROW()-1)+_xlfn.IFS(INDEX(E:E,ROW()-1)="s16",1,INDEX(E:E,ROW()-1)="s32",2,INDEX(E:E,ROW()-1)="s64",4,INDEX(E:E,ROW()-1)="u16",1,INDEX(E:E,ROW()-1)="u32",2,INDEX(E:E,ROW()-1)="u64",4,INDEX(E:E,ROW()-1)="f32",2,INDEX(E:E,ROW()-1)="f64",4)</f>
        <v>174</v>
      </c>
      <c r="E161" s="18" t="s">
        <v>34</v>
      </c>
      <c r="F161" s="21" t="s">
        <v>320</v>
      </c>
      <c r="G161" s="20" t="s">
        <v>23</v>
      </c>
      <c r="H161" s="20" t="s">
        <v>23</v>
      </c>
      <c r="I161" s="20" t="s">
        <v>35</v>
      </c>
      <c r="J161" s="10" t="s">
        <v>25</v>
      </c>
      <c r="K161" s="10" t="s">
        <v>26</v>
      </c>
      <c r="L161" s="10" t="s">
        <v>27</v>
      </c>
      <c r="M161" s="18" t="s">
        <v>28</v>
      </c>
      <c r="N161" s="10"/>
      <c r="O161" s="21" t="s">
        <v>321</v>
      </c>
      <c r="P161" s="19"/>
      <c r="Q161" s="29">
        <f t="shared" si="6"/>
        <v>1</v>
      </c>
      <c r="R161" s="10" t="str">
        <f t="shared" ref="R161:R167" si="7">"P"&amp;TEXT(ROUND(D161/256,0),"00")&amp;"."&amp;TEXT(MOD(D161,256),"000")</f>
        <v>P01.174</v>
      </c>
    </row>
    <row r="162" spans="1:18">
      <c r="A162" s="17"/>
      <c r="B162" s="17"/>
      <c r="C162" s="17"/>
      <c r="D162" s="10">
        <f>INDEX(D:D,ROW()-1)+_xlfn.IFS(INDEX(E:E,ROW()-1)="s16",1,INDEX(E:E,ROW()-1)="s32",2,INDEX(E:E,ROW()-1)="s64",4,INDEX(E:E,ROW()-1)="u16",1,INDEX(E:E,ROW()-1)="u32",2,INDEX(E:E,ROW()-1)="u64",4,INDEX(E:E,ROW()-1)="f32",2,INDEX(E:E,ROW()-1)="f64",4)</f>
        <v>175</v>
      </c>
      <c r="E162" s="18" t="s">
        <v>20</v>
      </c>
      <c r="F162" s="21" t="s">
        <v>322</v>
      </c>
      <c r="G162" s="20" t="s">
        <v>23</v>
      </c>
      <c r="H162" s="20" t="s">
        <v>23</v>
      </c>
      <c r="I162" s="20" t="s">
        <v>24</v>
      </c>
      <c r="J162" s="10" t="s">
        <v>25</v>
      </c>
      <c r="K162" s="10" t="s">
        <v>26</v>
      </c>
      <c r="L162" s="10" t="s">
        <v>27</v>
      </c>
      <c r="M162" s="18" t="s">
        <v>28</v>
      </c>
      <c r="N162" s="10"/>
      <c r="O162" s="21" t="s">
        <v>323</v>
      </c>
      <c r="P162" s="19"/>
      <c r="Q162" s="29">
        <f t="shared" si="6"/>
        <v>1</v>
      </c>
      <c r="R162" s="10" t="str">
        <f t="shared" si="7"/>
        <v>P01.175</v>
      </c>
    </row>
    <row r="163" spans="1:18">
      <c r="A163" s="17"/>
      <c r="B163" s="17"/>
      <c r="C163" s="17"/>
      <c r="D163" s="10">
        <f>INDEX(D:D,ROW()-1)+_xlfn.IFS(INDEX(E:E,ROW()-1)="s16",1,INDEX(E:E,ROW()-1)="s32",2,INDEX(E:E,ROW()-1)="s64",4,INDEX(E:E,ROW()-1)="u16",1,INDEX(E:E,ROW()-1)="u32",2,INDEX(E:E,ROW()-1)="u64",4,INDEX(E:E,ROW()-1)="f32",2,INDEX(E:E,ROW()-1)="f64",4)</f>
        <v>177</v>
      </c>
      <c r="E163" s="18" t="s">
        <v>34</v>
      </c>
      <c r="F163" s="19"/>
      <c r="G163" s="20" t="s">
        <v>23</v>
      </c>
      <c r="H163" s="20" t="s">
        <v>23</v>
      </c>
      <c r="I163" s="20" t="s">
        <v>35</v>
      </c>
      <c r="J163" s="10" t="s">
        <v>25</v>
      </c>
      <c r="K163" s="10" t="s">
        <v>26</v>
      </c>
      <c r="L163" s="10" t="s">
        <v>30</v>
      </c>
      <c r="M163" s="18" t="s">
        <v>28</v>
      </c>
      <c r="N163" s="10"/>
      <c r="O163" s="19"/>
      <c r="P163" s="19"/>
      <c r="Q163" s="29">
        <f t="shared" si="6"/>
        <v>1</v>
      </c>
      <c r="R163" s="10" t="str">
        <f t="shared" si="7"/>
        <v>P01.177</v>
      </c>
    </row>
    <row r="164" spans="1:18">
      <c r="A164" s="17"/>
      <c r="B164" s="17"/>
      <c r="C164" s="17"/>
      <c r="D164" s="10">
        <f>INDEX(D:D,ROW()-1)+_xlfn.IFS(INDEX(E:E,ROW()-1)="s16",1,INDEX(E:E,ROW()-1)="s32",2,INDEX(E:E,ROW()-1)="s64",4,INDEX(E:E,ROW()-1)="u16",1,INDEX(E:E,ROW()-1)="u32",2,INDEX(E:E,ROW()-1)="u64",4,INDEX(E:E,ROW()-1)="f32",2,INDEX(E:E,ROW()-1)="f64",4)</f>
        <v>178</v>
      </c>
      <c r="E164" s="18" t="s">
        <v>34</v>
      </c>
      <c r="F164" s="19"/>
      <c r="G164" s="20" t="s">
        <v>23</v>
      </c>
      <c r="H164" s="20" t="s">
        <v>23</v>
      </c>
      <c r="I164" s="20" t="s">
        <v>35</v>
      </c>
      <c r="J164" s="10" t="s">
        <v>25</v>
      </c>
      <c r="K164" s="10" t="s">
        <v>26</v>
      </c>
      <c r="L164" s="10" t="s">
        <v>30</v>
      </c>
      <c r="M164" s="18" t="s">
        <v>28</v>
      </c>
      <c r="N164" s="10"/>
      <c r="O164" s="19"/>
      <c r="P164" s="19"/>
      <c r="Q164" s="29">
        <f t="shared" si="6"/>
        <v>1</v>
      </c>
      <c r="R164" s="10" t="str">
        <f t="shared" si="7"/>
        <v>P01.178</v>
      </c>
    </row>
    <row r="165" spans="1:18">
      <c r="A165" s="17"/>
      <c r="B165" s="17"/>
      <c r="C165" s="17"/>
      <c r="D165" s="10">
        <f>INDEX(D:D,ROW()-1)+_xlfn.IFS(INDEX(E:E,ROW()-1)="s16",1,INDEX(E:E,ROW()-1)="s32",2,INDEX(E:E,ROW()-1)="s64",4,INDEX(E:E,ROW()-1)="u16",1,INDEX(E:E,ROW()-1)="u32",2,INDEX(E:E,ROW()-1)="u64",4,INDEX(E:E,ROW()-1)="f32",2,INDEX(E:E,ROW()-1)="f64",4)</f>
        <v>179</v>
      </c>
      <c r="E165" s="18" t="s">
        <v>34</v>
      </c>
      <c r="F165" s="19"/>
      <c r="G165" s="20" t="s">
        <v>23</v>
      </c>
      <c r="H165" s="20" t="s">
        <v>23</v>
      </c>
      <c r="I165" s="20" t="s">
        <v>35</v>
      </c>
      <c r="J165" s="10" t="s">
        <v>25</v>
      </c>
      <c r="K165" s="10" t="s">
        <v>26</v>
      </c>
      <c r="L165" s="10" t="s">
        <v>30</v>
      </c>
      <c r="M165" s="18" t="s">
        <v>28</v>
      </c>
      <c r="N165" s="10"/>
      <c r="O165" s="19"/>
      <c r="P165" s="19"/>
      <c r="Q165" s="29">
        <f t="shared" si="6"/>
        <v>1</v>
      </c>
      <c r="R165" s="10" t="str">
        <f t="shared" si="7"/>
        <v>P01.179</v>
      </c>
    </row>
    <row r="166" spans="1:18">
      <c r="A166" s="10">
        <v>3</v>
      </c>
      <c r="B166" s="10" t="s">
        <v>324</v>
      </c>
      <c r="C166" s="10" t="s">
        <v>325</v>
      </c>
      <c r="D166" s="10">
        <f>INDEX(D:D,ROW()-1)+_xlfn.IFS(INDEX(E:E,ROW()-1)="s16",1,INDEX(E:E,ROW()-1)="s32",2,INDEX(E:E,ROW()-1)="s64",4,INDEX(E:E,ROW()-1)="u16",1,INDEX(E:E,ROW()-1)="u32",2,INDEX(E:E,ROW()-1)="u64",4,INDEX(E:E,ROW()-1)="f32",2,INDEX(E:E,ROW()-1)="f64",4)</f>
        <v>180</v>
      </c>
      <c r="E166" s="18" t="s">
        <v>34</v>
      </c>
      <c r="F166" s="19" t="s">
        <v>326</v>
      </c>
      <c r="G166" s="20" t="s">
        <v>327</v>
      </c>
      <c r="H166" s="20" t="s">
        <v>23</v>
      </c>
      <c r="I166" s="20" t="s">
        <v>35</v>
      </c>
      <c r="J166" s="10" t="s">
        <v>25</v>
      </c>
      <c r="K166" s="10" t="s">
        <v>26</v>
      </c>
      <c r="L166" s="10" t="s">
        <v>30</v>
      </c>
      <c r="M166" s="18" t="s">
        <v>28</v>
      </c>
      <c r="N166" s="10"/>
      <c r="O166" s="19" t="s">
        <v>328</v>
      </c>
      <c r="P166" s="19" t="s">
        <v>329</v>
      </c>
      <c r="Q166" s="29">
        <f t="shared" si="6"/>
        <v>1</v>
      </c>
      <c r="R166" s="10" t="str">
        <f t="shared" si="7"/>
        <v>P01.180</v>
      </c>
    </row>
    <row r="167" spans="1:18">
      <c r="A167" s="10"/>
      <c r="B167" s="10"/>
      <c r="C167" s="10"/>
      <c r="D167" s="10">
        <f>INDEX(D:D,ROW()-1)+_xlfn.IFS(INDEX(E:E,ROW()-1)="s16",1,INDEX(E:E,ROW()-1)="s32",2,INDEX(E:E,ROW()-1)="s64",4,INDEX(E:E,ROW()-1)="u16",1,INDEX(E:E,ROW()-1)="u32",2,INDEX(E:E,ROW()-1)="u64",4,INDEX(E:E,ROW()-1)="f32",2,INDEX(E:E,ROW()-1)="f64",4)</f>
        <v>181</v>
      </c>
      <c r="E167" s="18" t="s">
        <v>34</v>
      </c>
      <c r="F167" s="19" t="s">
        <v>330</v>
      </c>
      <c r="G167" s="20" t="s">
        <v>331</v>
      </c>
      <c r="H167" s="20" t="s">
        <v>23</v>
      </c>
      <c r="I167" s="20" t="s">
        <v>35</v>
      </c>
      <c r="J167" s="10" t="s">
        <v>25</v>
      </c>
      <c r="K167" s="10" t="s">
        <v>26</v>
      </c>
      <c r="L167" s="10" t="s">
        <v>30</v>
      </c>
      <c r="M167" s="18" t="s">
        <v>28</v>
      </c>
      <c r="N167" s="10"/>
      <c r="O167" s="19" t="s">
        <v>332</v>
      </c>
      <c r="P167" s="19" t="s">
        <v>333</v>
      </c>
      <c r="Q167" s="29">
        <f t="shared" si="6"/>
        <v>1</v>
      </c>
      <c r="R167" s="10" t="str">
        <f t="shared" si="7"/>
        <v>P01.181</v>
      </c>
    </row>
    <row r="168" spans="1:18">
      <c r="A168" s="10"/>
      <c r="B168" s="10"/>
      <c r="C168" s="10"/>
      <c r="D168" s="10">
        <f>INDEX(D:D,ROW()-1)+_xlfn.IFS(INDEX(E:E,ROW()-1)="s16",1,INDEX(E:E,ROW()-1)="s32",2,INDEX(E:E,ROW()-1)="s64",4,INDEX(E:E,ROW()-1)="u16",1,INDEX(E:E,ROW()-1)="u32",2,INDEX(E:E,ROW()-1)="u64",4,INDEX(E:E,ROW()-1)="f32",2,INDEX(E:E,ROW()-1)="f64",4)</f>
        <v>182</v>
      </c>
      <c r="E168" s="18" t="s">
        <v>34</v>
      </c>
      <c r="F168" s="19"/>
      <c r="G168" s="20" t="s">
        <v>23</v>
      </c>
      <c r="H168" s="20" t="s">
        <v>23</v>
      </c>
      <c r="I168" s="20" t="s">
        <v>35</v>
      </c>
      <c r="J168" s="10" t="s">
        <v>25</v>
      </c>
      <c r="K168" s="10" t="s">
        <v>26</v>
      </c>
      <c r="L168" s="10" t="s">
        <v>30</v>
      </c>
      <c r="M168" s="18" t="s">
        <v>28</v>
      </c>
      <c r="N168" s="10"/>
      <c r="O168" s="19"/>
      <c r="P168" s="19"/>
      <c r="Q168" s="29">
        <f t="shared" si="6"/>
        <v>1</v>
      </c>
      <c r="R168" s="10" t="str">
        <f t="shared" ref="R166:R198" si="8">"P"&amp;TEXT(ROUND(D168/256,0),"00")&amp;"."&amp;TEXT(MOD(D168,256),"000")</f>
        <v>P01.182</v>
      </c>
    </row>
    <row r="169" spans="1:18">
      <c r="A169" s="10"/>
      <c r="B169" s="10"/>
      <c r="C169" s="10"/>
      <c r="D169" s="10">
        <f>INDEX(D:D,ROW()-1)+_xlfn.IFS(INDEX(E:E,ROW()-1)="s16",1,INDEX(E:E,ROW()-1)="s32",2,INDEX(E:E,ROW()-1)="s64",4,INDEX(E:E,ROW()-1)="u16",1,INDEX(E:E,ROW()-1)="u32",2,INDEX(E:E,ROW()-1)="u64",4,INDEX(E:E,ROW()-1)="f32",2,INDEX(E:E,ROW()-1)="f64",4)</f>
        <v>183</v>
      </c>
      <c r="E169" s="18" t="s">
        <v>34</v>
      </c>
      <c r="F169" s="19"/>
      <c r="G169" s="20" t="s">
        <v>23</v>
      </c>
      <c r="H169" s="20" t="s">
        <v>23</v>
      </c>
      <c r="I169" s="20" t="s">
        <v>35</v>
      </c>
      <c r="J169" s="10" t="s">
        <v>25</v>
      </c>
      <c r="K169" s="10" t="s">
        <v>26</v>
      </c>
      <c r="L169" s="10" t="s">
        <v>30</v>
      </c>
      <c r="M169" s="18" t="s">
        <v>28</v>
      </c>
      <c r="N169" s="10"/>
      <c r="O169" s="19"/>
      <c r="P169" s="19"/>
      <c r="Q169" s="29">
        <f t="shared" si="6"/>
        <v>1</v>
      </c>
      <c r="R169" s="10" t="str">
        <f t="shared" si="8"/>
        <v>P01.183</v>
      </c>
    </row>
    <row r="170" spans="1:18">
      <c r="A170" s="10"/>
      <c r="B170" s="10"/>
      <c r="C170" s="10"/>
      <c r="D170" s="10">
        <f>INDEX(D:D,ROW()-1)+_xlfn.IFS(INDEX(E:E,ROW()-1)="s16",1,INDEX(E:E,ROW()-1)="s32",2,INDEX(E:E,ROW()-1)="s64",4,INDEX(E:E,ROW()-1)="u16",1,INDEX(E:E,ROW()-1)="u32",2,INDEX(E:E,ROW()-1)="u64",4,INDEX(E:E,ROW()-1)="f32",2,INDEX(E:E,ROW()-1)="f64",4)</f>
        <v>184</v>
      </c>
      <c r="E170" s="18" t="s">
        <v>34</v>
      </c>
      <c r="F170" s="19"/>
      <c r="G170" s="20" t="s">
        <v>23</v>
      </c>
      <c r="H170" s="20" t="s">
        <v>23</v>
      </c>
      <c r="I170" s="20" t="s">
        <v>35</v>
      </c>
      <c r="J170" s="10" t="s">
        <v>25</v>
      </c>
      <c r="K170" s="10" t="s">
        <v>26</v>
      </c>
      <c r="L170" s="10" t="s">
        <v>30</v>
      </c>
      <c r="M170" s="18" t="s">
        <v>28</v>
      </c>
      <c r="N170" s="10"/>
      <c r="O170" s="19"/>
      <c r="P170" s="19"/>
      <c r="Q170" s="29">
        <f t="shared" si="6"/>
        <v>1</v>
      </c>
      <c r="R170" s="10" t="str">
        <f t="shared" si="8"/>
        <v>P01.184</v>
      </c>
    </row>
    <row r="171" ht="66" spans="1:18">
      <c r="A171" s="10"/>
      <c r="B171" s="10"/>
      <c r="C171" s="10"/>
      <c r="D171" s="10">
        <f>INDEX(D:D,ROW()-1)+_xlfn.IFS(INDEX(E:E,ROW()-1)="s16",1,INDEX(E:E,ROW()-1)="s32",2,INDEX(E:E,ROW()-1)="s64",4,INDEX(E:E,ROW()-1)="u16",1,INDEX(E:E,ROW()-1)="u32",2,INDEX(E:E,ROW()-1)="u64",4,INDEX(E:E,ROW()-1)="f32",2,INDEX(E:E,ROW()-1)="f64",4)</f>
        <v>185</v>
      </c>
      <c r="E171" s="18" t="s">
        <v>34</v>
      </c>
      <c r="F171" s="19" t="s">
        <v>334</v>
      </c>
      <c r="G171" s="20" t="s">
        <v>23</v>
      </c>
      <c r="H171" s="20" t="s">
        <v>23</v>
      </c>
      <c r="I171" s="20" t="s">
        <v>335</v>
      </c>
      <c r="J171" s="10" t="s">
        <v>25</v>
      </c>
      <c r="K171" s="10" t="s">
        <v>26</v>
      </c>
      <c r="L171" s="10" t="s">
        <v>30</v>
      </c>
      <c r="M171" s="18" t="s">
        <v>28</v>
      </c>
      <c r="N171" s="10"/>
      <c r="O171" s="19" t="s">
        <v>325</v>
      </c>
      <c r="P171" s="24" t="s">
        <v>336</v>
      </c>
      <c r="Q171" s="29">
        <f t="shared" si="6"/>
        <v>0</v>
      </c>
      <c r="R171" s="10" t="str">
        <f t="shared" si="8"/>
        <v>P01.185</v>
      </c>
    </row>
    <row r="172" spans="1:18">
      <c r="A172" s="10"/>
      <c r="B172" s="10"/>
      <c r="C172" s="10"/>
      <c r="D172" s="10">
        <f>INDEX(D:D,ROW()-1)+_xlfn.IFS(INDEX(E:E,ROW()-1)="s16",1,INDEX(E:E,ROW()-1)="s32",2,INDEX(E:E,ROW()-1)="s64",4,INDEX(E:E,ROW()-1)="u16",1,INDEX(E:E,ROW()-1)="u32",2,INDEX(E:E,ROW()-1)="u64",4,INDEX(E:E,ROW()-1)="f32",2,INDEX(E:E,ROW()-1)="f64",4)</f>
        <v>186</v>
      </c>
      <c r="E172" s="18" t="s">
        <v>20</v>
      </c>
      <c r="F172" s="21" t="s">
        <v>337</v>
      </c>
      <c r="G172" s="20" t="s">
        <v>23</v>
      </c>
      <c r="H172" s="20" t="s">
        <v>23</v>
      </c>
      <c r="I172" s="20" t="s">
        <v>24</v>
      </c>
      <c r="J172" s="10" t="s">
        <v>172</v>
      </c>
      <c r="K172" s="10" t="s">
        <v>26</v>
      </c>
      <c r="L172" s="10" t="s">
        <v>27</v>
      </c>
      <c r="M172" s="18" t="s">
        <v>28</v>
      </c>
      <c r="N172" s="10"/>
      <c r="O172" s="21" t="s">
        <v>338</v>
      </c>
      <c r="P172" s="19"/>
      <c r="Q172" s="29">
        <f t="shared" si="6"/>
        <v>1</v>
      </c>
      <c r="R172" s="18" t="str">
        <f t="shared" si="8"/>
        <v>P01.186</v>
      </c>
    </row>
    <row r="173" spans="1:18">
      <c r="A173" s="10"/>
      <c r="B173" s="10"/>
      <c r="C173" s="10"/>
      <c r="D173" s="10">
        <f>INDEX(D:D,ROW()-1)+_xlfn.IFS(INDEX(E:E,ROW()-1)="s16",1,INDEX(E:E,ROW()-1)="s32",2,INDEX(E:E,ROW()-1)="s64",4,INDEX(E:E,ROW()-1)="u16",1,INDEX(E:E,ROW()-1)="u32",2,INDEX(E:E,ROW()-1)="u64",4,INDEX(E:E,ROW()-1)="f32",2,INDEX(E:E,ROW()-1)="f64",4)</f>
        <v>188</v>
      </c>
      <c r="E173" s="18" t="s">
        <v>34</v>
      </c>
      <c r="F173" s="19"/>
      <c r="G173" s="20" t="s">
        <v>23</v>
      </c>
      <c r="H173" s="20" t="s">
        <v>23</v>
      </c>
      <c r="I173" s="20" t="s">
        <v>35</v>
      </c>
      <c r="J173" s="10" t="s">
        <v>25</v>
      </c>
      <c r="K173" s="10" t="s">
        <v>26</v>
      </c>
      <c r="L173" s="10" t="s">
        <v>30</v>
      </c>
      <c r="M173" s="18" t="s">
        <v>28</v>
      </c>
      <c r="N173" s="10"/>
      <c r="O173" s="19"/>
      <c r="P173" s="19"/>
      <c r="Q173" s="29">
        <f t="shared" si="6"/>
        <v>1</v>
      </c>
      <c r="R173" s="10" t="str">
        <f t="shared" si="8"/>
        <v>P01.188</v>
      </c>
    </row>
    <row r="174" spans="1:18">
      <c r="A174" s="10"/>
      <c r="B174" s="10"/>
      <c r="C174" s="10"/>
      <c r="D174" s="10">
        <f>INDEX(D:D,ROW()-1)+_xlfn.IFS(INDEX(E:E,ROW()-1)="s16",1,INDEX(E:E,ROW()-1)="s32",2,INDEX(E:E,ROW()-1)="s64",4,INDEX(E:E,ROW()-1)="u16",1,INDEX(E:E,ROW()-1)="u32",2,INDEX(E:E,ROW()-1)="u64",4,INDEX(E:E,ROW()-1)="f32",2,INDEX(E:E,ROW()-1)="f64",4)</f>
        <v>189</v>
      </c>
      <c r="E174" s="18" t="s">
        <v>34</v>
      </c>
      <c r="F174" s="19"/>
      <c r="G174" s="20" t="s">
        <v>23</v>
      </c>
      <c r="H174" s="20" t="s">
        <v>23</v>
      </c>
      <c r="I174" s="20" t="s">
        <v>35</v>
      </c>
      <c r="J174" s="10" t="s">
        <v>25</v>
      </c>
      <c r="K174" s="10" t="s">
        <v>26</v>
      </c>
      <c r="L174" s="10" t="s">
        <v>30</v>
      </c>
      <c r="M174" s="18" t="s">
        <v>28</v>
      </c>
      <c r="N174" s="10"/>
      <c r="O174" s="19"/>
      <c r="P174" s="19"/>
      <c r="Q174" s="29">
        <f t="shared" si="6"/>
        <v>1</v>
      </c>
      <c r="R174" s="10" t="str">
        <f t="shared" si="8"/>
        <v>P01.189</v>
      </c>
    </row>
    <row r="175" spans="1:18">
      <c r="A175" s="10"/>
      <c r="B175" s="10"/>
      <c r="C175" s="10"/>
      <c r="D175" s="10">
        <f>INDEX(D:D,ROW()-1)+_xlfn.IFS(INDEX(E:E,ROW()-1)="s16",1,INDEX(E:E,ROW()-1)="s32",2,INDEX(E:E,ROW()-1)="s64",4,INDEX(E:E,ROW()-1)="u16",1,INDEX(E:E,ROW()-1)="u32",2,INDEX(E:E,ROW()-1)="u64",4,INDEX(E:E,ROW()-1)="f32",2,INDEX(E:E,ROW()-1)="f64",4)</f>
        <v>190</v>
      </c>
      <c r="E175" s="18" t="s">
        <v>34</v>
      </c>
      <c r="F175" s="21" t="s">
        <v>339</v>
      </c>
      <c r="G175" s="20" t="s">
        <v>23</v>
      </c>
      <c r="H175" s="20" t="s">
        <v>23</v>
      </c>
      <c r="I175" s="20" t="s">
        <v>35</v>
      </c>
      <c r="J175" s="10" t="s">
        <v>25</v>
      </c>
      <c r="K175" s="10" t="s">
        <v>26</v>
      </c>
      <c r="L175" s="10" t="s">
        <v>30</v>
      </c>
      <c r="M175" s="18" t="s">
        <v>28</v>
      </c>
      <c r="N175" s="10"/>
      <c r="O175" s="21" t="s">
        <v>340</v>
      </c>
      <c r="P175" s="19"/>
      <c r="Q175" s="29">
        <f t="shared" si="6"/>
        <v>1</v>
      </c>
      <c r="R175" s="18" t="str">
        <f t="shared" si="8"/>
        <v>P01.190</v>
      </c>
    </row>
    <row r="176" spans="1:18">
      <c r="A176" s="10"/>
      <c r="B176" s="10"/>
      <c r="C176" s="10"/>
      <c r="D176" s="10">
        <f>INDEX(D:D,ROW()-1)+_xlfn.IFS(INDEX(E:E,ROW()-1)="s16",1,INDEX(E:E,ROW()-1)="s32",2,INDEX(E:E,ROW()-1)="s64",4,INDEX(E:E,ROW()-1)="u16",1,INDEX(E:E,ROW()-1)="u32",2,INDEX(E:E,ROW()-1)="u64",4,INDEX(E:E,ROW()-1)="f32",2,INDEX(E:E,ROW()-1)="f64",4)</f>
        <v>191</v>
      </c>
      <c r="E176" s="18" t="s">
        <v>34</v>
      </c>
      <c r="F176" s="21" t="s">
        <v>341</v>
      </c>
      <c r="G176" s="20" t="s">
        <v>23</v>
      </c>
      <c r="H176" s="20" t="s">
        <v>23</v>
      </c>
      <c r="I176" s="20" t="s">
        <v>35</v>
      </c>
      <c r="J176" s="10" t="s">
        <v>25</v>
      </c>
      <c r="K176" s="10" t="s">
        <v>26</v>
      </c>
      <c r="L176" s="10" t="s">
        <v>30</v>
      </c>
      <c r="M176" s="18" t="s">
        <v>28</v>
      </c>
      <c r="N176" s="10"/>
      <c r="O176" s="21" t="s">
        <v>342</v>
      </c>
      <c r="P176" s="19"/>
      <c r="Q176" s="29">
        <f t="shared" si="6"/>
        <v>1</v>
      </c>
      <c r="R176" s="18" t="str">
        <f t="shared" si="8"/>
        <v>P01.191</v>
      </c>
    </row>
    <row r="177" spans="1:18">
      <c r="A177" s="10"/>
      <c r="B177" s="10"/>
      <c r="C177" s="10"/>
      <c r="D177" s="10">
        <f>INDEX(D:D,ROW()-1)+_xlfn.IFS(INDEX(E:E,ROW()-1)="s16",1,INDEX(E:E,ROW()-1)="s32",2,INDEX(E:E,ROW()-1)="s64",4,INDEX(E:E,ROW()-1)="u16",1,INDEX(E:E,ROW()-1)="u32",2,INDEX(E:E,ROW()-1)="u64",4,INDEX(E:E,ROW()-1)="f32",2,INDEX(E:E,ROW()-1)="f64",4)</f>
        <v>192</v>
      </c>
      <c r="E177" s="18" t="s">
        <v>34</v>
      </c>
      <c r="F177" s="19"/>
      <c r="G177" s="20" t="s">
        <v>23</v>
      </c>
      <c r="H177" s="20" t="s">
        <v>23</v>
      </c>
      <c r="I177" s="20" t="s">
        <v>35</v>
      </c>
      <c r="J177" s="10" t="s">
        <v>25</v>
      </c>
      <c r="K177" s="10" t="s">
        <v>26</v>
      </c>
      <c r="L177" s="10" t="s">
        <v>30</v>
      </c>
      <c r="M177" s="18" t="s">
        <v>28</v>
      </c>
      <c r="N177" s="10"/>
      <c r="O177" s="19"/>
      <c r="P177" s="19"/>
      <c r="Q177" s="29">
        <f t="shared" si="6"/>
        <v>1</v>
      </c>
      <c r="R177" s="10" t="str">
        <f t="shared" si="8"/>
        <v>P01.192</v>
      </c>
    </row>
    <row r="178" spans="1:18">
      <c r="A178" s="10"/>
      <c r="B178" s="10"/>
      <c r="C178" s="10"/>
      <c r="D178" s="10">
        <f>INDEX(D:D,ROW()-1)+_xlfn.IFS(INDEX(E:E,ROW()-1)="s16",1,INDEX(E:E,ROW()-1)="s32",2,INDEX(E:E,ROW()-1)="s64",4,INDEX(E:E,ROW()-1)="u16",1,INDEX(E:E,ROW()-1)="u32",2,INDEX(E:E,ROW()-1)="u64",4,INDEX(E:E,ROW()-1)="f32",2,INDEX(E:E,ROW()-1)="f64",4)</f>
        <v>193</v>
      </c>
      <c r="E178" s="18" t="s">
        <v>34</v>
      </c>
      <c r="F178" s="21" t="s">
        <v>343</v>
      </c>
      <c r="G178" s="20" t="s">
        <v>23</v>
      </c>
      <c r="H178" s="20" t="s">
        <v>23</v>
      </c>
      <c r="I178" s="20" t="s">
        <v>35</v>
      </c>
      <c r="J178" s="10" t="s">
        <v>129</v>
      </c>
      <c r="K178" s="10" t="s">
        <v>26</v>
      </c>
      <c r="L178" s="10" t="s">
        <v>30</v>
      </c>
      <c r="M178" s="18" t="s">
        <v>28</v>
      </c>
      <c r="N178" s="10"/>
      <c r="O178" s="21" t="s">
        <v>344</v>
      </c>
      <c r="P178" s="19"/>
      <c r="Q178" s="29">
        <f t="shared" ref="Q178:Q209" si="9">IF(OR(F178="",LEFT(TRIM(F178),3)=E178),1,0)</f>
        <v>1</v>
      </c>
      <c r="R178" s="18" t="str">
        <f t="shared" si="8"/>
        <v>P01.193</v>
      </c>
    </row>
    <row r="179" spans="1:18">
      <c r="A179" s="10"/>
      <c r="B179" s="10"/>
      <c r="C179" s="10"/>
      <c r="D179" s="10">
        <f>INDEX(D:D,ROW()-1)+_xlfn.IFS(INDEX(E:E,ROW()-1)="s16",1,INDEX(E:E,ROW()-1)="s32",2,INDEX(E:E,ROW()-1)="s64",4,INDEX(E:E,ROW()-1)="u16",1,INDEX(E:E,ROW()-1)="u32",2,INDEX(E:E,ROW()-1)="u64",4,INDEX(E:E,ROW()-1)="f32",2,INDEX(E:E,ROW()-1)="f64",4)</f>
        <v>194</v>
      </c>
      <c r="E179" s="18" t="s">
        <v>34</v>
      </c>
      <c r="F179" s="21" t="s">
        <v>345</v>
      </c>
      <c r="G179" s="20" t="s">
        <v>23</v>
      </c>
      <c r="H179" s="20" t="s">
        <v>23</v>
      </c>
      <c r="I179" s="20" t="s">
        <v>35</v>
      </c>
      <c r="J179" s="10" t="s">
        <v>129</v>
      </c>
      <c r="K179" s="10" t="s">
        <v>26</v>
      </c>
      <c r="L179" s="10" t="s">
        <v>30</v>
      </c>
      <c r="M179" s="18" t="s">
        <v>28</v>
      </c>
      <c r="N179" s="10"/>
      <c r="O179" s="21" t="s">
        <v>346</v>
      </c>
      <c r="P179" s="19"/>
      <c r="Q179" s="29">
        <f t="shared" si="9"/>
        <v>1</v>
      </c>
      <c r="R179" s="18" t="str">
        <f t="shared" si="8"/>
        <v>P01.194</v>
      </c>
    </row>
    <row r="180" spans="1:18">
      <c r="A180" s="10"/>
      <c r="B180" s="10"/>
      <c r="C180" s="10"/>
      <c r="D180" s="10">
        <f>INDEX(D:D,ROW()-1)+_xlfn.IFS(INDEX(E:E,ROW()-1)="s16",1,INDEX(E:E,ROW()-1)="s32",2,INDEX(E:E,ROW()-1)="s64",4,INDEX(E:E,ROW()-1)="u16",1,INDEX(E:E,ROW()-1)="u32",2,INDEX(E:E,ROW()-1)="u64",4,INDEX(E:E,ROW()-1)="f32",2,INDEX(E:E,ROW()-1)="f64",4)</f>
        <v>195</v>
      </c>
      <c r="E180" s="18" t="s">
        <v>91</v>
      </c>
      <c r="F180" s="21" t="s">
        <v>347</v>
      </c>
      <c r="G180" s="20" t="s">
        <v>23</v>
      </c>
      <c r="H180" s="20" t="s">
        <v>93</v>
      </c>
      <c r="I180" s="20" t="s">
        <v>94</v>
      </c>
      <c r="J180" s="10" t="s">
        <v>129</v>
      </c>
      <c r="K180" s="10" t="s">
        <v>26</v>
      </c>
      <c r="L180" s="10" t="s">
        <v>30</v>
      </c>
      <c r="M180" s="18" t="s">
        <v>28</v>
      </c>
      <c r="N180" s="10"/>
      <c r="O180" s="21" t="s">
        <v>348</v>
      </c>
      <c r="P180" s="19"/>
      <c r="Q180" s="29">
        <f t="shared" si="9"/>
        <v>1</v>
      </c>
      <c r="R180" s="18" t="str">
        <f t="shared" si="8"/>
        <v>P01.195</v>
      </c>
    </row>
    <row r="181" spans="1:18">
      <c r="A181" s="10"/>
      <c r="B181" s="10"/>
      <c r="C181" s="10"/>
      <c r="D181" s="10">
        <f>INDEX(D:D,ROW()-1)+_xlfn.IFS(INDEX(E:E,ROW()-1)="s16",1,INDEX(E:E,ROW()-1)="s32",2,INDEX(E:E,ROW()-1)="s64",4,INDEX(E:E,ROW()-1)="u16",1,INDEX(E:E,ROW()-1)="u32",2,INDEX(E:E,ROW()-1)="u64",4,INDEX(E:E,ROW()-1)="f32",2,INDEX(E:E,ROW()-1)="f64",4)</f>
        <v>196</v>
      </c>
      <c r="E181" s="18" t="s">
        <v>91</v>
      </c>
      <c r="F181" s="21" t="s">
        <v>349</v>
      </c>
      <c r="G181" s="20" t="s">
        <v>23</v>
      </c>
      <c r="H181" s="20" t="s">
        <v>93</v>
      </c>
      <c r="I181" s="20" t="s">
        <v>94</v>
      </c>
      <c r="J181" s="10" t="s">
        <v>129</v>
      </c>
      <c r="K181" s="10" t="s">
        <v>26</v>
      </c>
      <c r="L181" s="10" t="s">
        <v>30</v>
      </c>
      <c r="M181" s="18" t="s">
        <v>28</v>
      </c>
      <c r="N181" s="10"/>
      <c r="O181" s="21" t="s">
        <v>350</v>
      </c>
      <c r="P181" s="19"/>
      <c r="Q181" s="29">
        <f t="shared" si="9"/>
        <v>1</v>
      </c>
      <c r="R181" s="18" t="str">
        <f t="shared" si="8"/>
        <v>P01.196</v>
      </c>
    </row>
    <row r="182" spans="1:18">
      <c r="A182" s="10"/>
      <c r="B182" s="10"/>
      <c r="C182" s="10"/>
      <c r="D182" s="10">
        <f>INDEX(D:D,ROW()-1)+_xlfn.IFS(INDEX(E:E,ROW()-1)="s16",1,INDEX(E:E,ROW()-1)="s32",2,INDEX(E:E,ROW()-1)="s64",4,INDEX(E:E,ROW()-1)="u16",1,INDEX(E:E,ROW()-1)="u32",2,INDEX(E:E,ROW()-1)="u64",4,INDEX(E:E,ROW()-1)="f32",2,INDEX(E:E,ROW()-1)="f64",4)</f>
        <v>197</v>
      </c>
      <c r="E182" s="18" t="s">
        <v>91</v>
      </c>
      <c r="F182" s="21" t="s">
        <v>351</v>
      </c>
      <c r="G182" s="20" t="s">
        <v>23</v>
      </c>
      <c r="H182" s="20" t="s">
        <v>93</v>
      </c>
      <c r="I182" s="20" t="s">
        <v>94</v>
      </c>
      <c r="J182" s="10" t="s">
        <v>129</v>
      </c>
      <c r="K182" s="10" t="s">
        <v>26</v>
      </c>
      <c r="L182" s="10" t="s">
        <v>30</v>
      </c>
      <c r="M182" s="18" t="s">
        <v>28</v>
      </c>
      <c r="N182" s="10"/>
      <c r="O182" s="21" t="s">
        <v>352</v>
      </c>
      <c r="P182" s="19"/>
      <c r="Q182" s="29">
        <f t="shared" si="9"/>
        <v>1</v>
      </c>
      <c r="R182" s="18" t="str">
        <f t="shared" si="8"/>
        <v>P01.197</v>
      </c>
    </row>
    <row r="183" spans="1:18">
      <c r="A183" s="10"/>
      <c r="B183" s="10"/>
      <c r="C183" s="10"/>
      <c r="D183" s="10">
        <f>INDEX(D:D,ROW()-1)+_xlfn.IFS(INDEX(E:E,ROW()-1)="s16",1,INDEX(E:E,ROW()-1)="s32",2,INDEX(E:E,ROW()-1)="s64",4,INDEX(E:E,ROW()-1)="u16",1,INDEX(E:E,ROW()-1)="u32",2,INDEX(E:E,ROW()-1)="u64",4,INDEX(E:E,ROW()-1)="f32",2,INDEX(E:E,ROW()-1)="f64",4)</f>
        <v>198</v>
      </c>
      <c r="E183" s="18" t="s">
        <v>34</v>
      </c>
      <c r="F183" s="21" t="s">
        <v>353</v>
      </c>
      <c r="G183" s="20" t="s">
        <v>23</v>
      </c>
      <c r="H183" s="20" t="s">
        <v>23</v>
      </c>
      <c r="I183" s="20" t="s">
        <v>35</v>
      </c>
      <c r="J183" s="10" t="s">
        <v>129</v>
      </c>
      <c r="K183" s="10" t="s">
        <v>26</v>
      </c>
      <c r="L183" s="10" t="s">
        <v>30</v>
      </c>
      <c r="M183" s="18" t="s">
        <v>28</v>
      </c>
      <c r="N183" s="10"/>
      <c r="O183" s="21" t="s">
        <v>354</v>
      </c>
      <c r="P183" s="19"/>
      <c r="Q183" s="29">
        <f t="shared" si="9"/>
        <v>1</v>
      </c>
      <c r="R183" s="18" t="str">
        <f t="shared" si="8"/>
        <v>P01.198</v>
      </c>
    </row>
    <row r="184" spans="1:18">
      <c r="A184" s="10"/>
      <c r="B184" s="10"/>
      <c r="C184" s="10"/>
      <c r="D184" s="10">
        <f>INDEX(D:D,ROW()-1)+_xlfn.IFS(INDEX(E:E,ROW()-1)="s16",1,INDEX(E:E,ROW()-1)="s32",2,INDEX(E:E,ROW()-1)="s64",4,INDEX(E:E,ROW()-1)="u16",1,INDEX(E:E,ROW()-1)="u32",2,INDEX(E:E,ROW()-1)="u64",4,INDEX(E:E,ROW()-1)="f32",2,INDEX(E:E,ROW()-1)="f64",4)</f>
        <v>199</v>
      </c>
      <c r="E184" s="18" t="s">
        <v>34</v>
      </c>
      <c r="F184" s="21" t="s">
        <v>355</v>
      </c>
      <c r="G184" s="20" t="s">
        <v>23</v>
      </c>
      <c r="H184" s="20" t="s">
        <v>23</v>
      </c>
      <c r="I184" s="20" t="s">
        <v>35</v>
      </c>
      <c r="J184" s="10" t="s">
        <v>129</v>
      </c>
      <c r="K184" s="10" t="s">
        <v>26</v>
      </c>
      <c r="L184" s="10" t="s">
        <v>30</v>
      </c>
      <c r="M184" s="18" t="s">
        <v>28</v>
      </c>
      <c r="N184" s="10"/>
      <c r="O184" s="21" t="s">
        <v>356</v>
      </c>
      <c r="P184" s="19"/>
      <c r="Q184" s="29">
        <f t="shared" si="9"/>
        <v>1</v>
      </c>
      <c r="R184" s="18" t="str">
        <f t="shared" si="8"/>
        <v>P01.199</v>
      </c>
    </row>
    <row r="185" spans="1:18">
      <c r="A185" s="10"/>
      <c r="B185" s="10"/>
      <c r="C185" s="10"/>
      <c r="D185" s="10">
        <f>INDEX(D:D,ROW()-1)+_xlfn.IFS(INDEX(E:E,ROW()-1)="s16",1,INDEX(E:E,ROW()-1)="s32",2,INDEX(E:E,ROW()-1)="s64",4,INDEX(E:E,ROW()-1)="u16",1,INDEX(E:E,ROW()-1)="u32",2,INDEX(E:E,ROW()-1)="u64",4,INDEX(E:E,ROW()-1)="f32",2,INDEX(E:E,ROW()-1)="f64",4)</f>
        <v>200</v>
      </c>
      <c r="E185" s="18" t="s">
        <v>91</v>
      </c>
      <c r="F185" s="21" t="s">
        <v>357</v>
      </c>
      <c r="G185" s="20" t="s">
        <v>23</v>
      </c>
      <c r="H185" s="20" t="s">
        <v>93</v>
      </c>
      <c r="I185" s="20" t="s">
        <v>94</v>
      </c>
      <c r="J185" s="10" t="s">
        <v>358</v>
      </c>
      <c r="K185" s="10" t="s">
        <v>26</v>
      </c>
      <c r="L185" s="10" t="s">
        <v>30</v>
      </c>
      <c r="M185" s="18" t="s">
        <v>28</v>
      </c>
      <c r="N185" s="10"/>
      <c r="O185" s="23" t="s">
        <v>359</v>
      </c>
      <c r="P185" s="19"/>
      <c r="Q185" s="29">
        <f t="shared" si="9"/>
        <v>1</v>
      </c>
      <c r="R185" s="18" t="str">
        <f t="shared" si="8"/>
        <v>P01.200</v>
      </c>
    </row>
    <row r="186" spans="1:18">
      <c r="A186" s="10"/>
      <c r="B186" s="10"/>
      <c r="C186" s="10"/>
      <c r="D186" s="10">
        <f>INDEX(D:D,ROW()-1)+_xlfn.IFS(INDEX(E:E,ROW()-1)="s16",1,INDEX(E:E,ROW()-1)="s32",2,INDEX(E:E,ROW()-1)="s64",4,INDEX(E:E,ROW()-1)="u16",1,INDEX(E:E,ROW()-1)="u32",2,INDEX(E:E,ROW()-1)="u64",4,INDEX(E:E,ROW()-1)="f32",2,INDEX(E:E,ROW()-1)="f64",4)</f>
        <v>201</v>
      </c>
      <c r="E186" s="18" t="s">
        <v>91</v>
      </c>
      <c r="F186" s="21" t="s">
        <v>360</v>
      </c>
      <c r="G186" s="20" t="s">
        <v>23</v>
      </c>
      <c r="H186" s="20" t="s">
        <v>93</v>
      </c>
      <c r="I186" s="20" t="s">
        <v>94</v>
      </c>
      <c r="J186" s="10" t="s">
        <v>358</v>
      </c>
      <c r="K186" s="10" t="s">
        <v>26</v>
      </c>
      <c r="L186" s="10" t="s">
        <v>30</v>
      </c>
      <c r="M186" s="18" t="s">
        <v>28</v>
      </c>
      <c r="N186" s="10"/>
      <c r="O186" s="21" t="s">
        <v>361</v>
      </c>
      <c r="P186" s="19"/>
      <c r="Q186" s="29">
        <f t="shared" si="9"/>
        <v>1</v>
      </c>
      <c r="R186" s="18" t="str">
        <f t="shared" si="8"/>
        <v>P01.201</v>
      </c>
    </row>
    <row r="187" spans="1:18">
      <c r="A187" s="10"/>
      <c r="B187" s="10"/>
      <c r="C187" s="10"/>
      <c r="D187" s="10">
        <f>INDEX(D:D,ROW()-1)+_xlfn.IFS(INDEX(E:E,ROW()-1)="s16",1,INDEX(E:E,ROW()-1)="s32",2,INDEX(E:E,ROW()-1)="s64",4,INDEX(E:E,ROW()-1)="u16",1,INDEX(E:E,ROW()-1)="u32",2,INDEX(E:E,ROW()-1)="u64",4,INDEX(E:E,ROW()-1)="f32",2,INDEX(E:E,ROW()-1)="f64",4)</f>
        <v>202</v>
      </c>
      <c r="E187" s="18" t="s">
        <v>91</v>
      </c>
      <c r="F187" s="21" t="s">
        <v>362</v>
      </c>
      <c r="G187" s="20" t="s">
        <v>23</v>
      </c>
      <c r="H187" s="20" t="s">
        <v>93</v>
      </c>
      <c r="I187" s="20" t="s">
        <v>35</v>
      </c>
      <c r="J187" s="10" t="s">
        <v>358</v>
      </c>
      <c r="K187" s="10" t="s">
        <v>26</v>
      </c>
      <c r="L187" s="10" t="s">
        <v>30</v>
      </c>
      <c r="M187" s="18" t="s">
        <v>28</v>
      </c>
      <c r="N187" s="10"/>
      <c r="O187" s="21" t="s">
        <v>363</v>
      </c>
      <c r="P187" s="19"/>
      <c r="Q187" s="29">
        <f t="shared" si="9"/>
        <v>1</v>
      </c>
      <c r="R187" s="10" t="str">
        <f t="shared" si="8"/>
        <v>P01.202</v>
      </c>
    </row>
    <row r="188" spans="1:18">
      <c r="A188" s="10"/>
      <c r="B188" s="10"/>
      <c r="C188" s="10"/>
      <c r="D188" s="10">
        <f>INDEX(D:D,ROW()-1)+_xlfn.IFS(INDEX(E:E,ROW()-1)="s16",1,INDEX(E:E,ROW()-1)="s32",2,INDEX(E:E,ROW()-1)="s64",4,INDEX(E:E,ROW()-1)="u16",1,INDEX(E:E,ROW()-1)="u32",2,INDEX(E:E,ROW()-1)="u64",4,INDEX(E:E,ROW()-1)="f32",2,INDEX(E:E,ROW()-1)="f64",4)</f>
        <v>203</v>
      </c>
      <c r="E188" s="18" t="s">
        <v>34</v>
      </c>
      <c r="F188" s="19"/>
      <c r="G188" s="20" t="s">
        <v>23</v>
      </c>
      <c r="H188" s="20" t="s">
        <v>23</v>
      </c>
      <c r="I188" s="20" t="s">
        <v>35</v>
      </c>
      <c r="J188" s="10" t="s">
        <v>25</v>
      </c>
      <c r="K188" s="10" t="s">
        <v>26</v>
      </c>
      <c r="L188" s="10" t="s">
        <v>30</v>
      </c>
      <c r="M188" s="18" t="s">
        <v>28</v>
      </c>
      <c r="N188" s="10"/>
      <c r="O188" s="19"/>
      <c r="P188" s="19"/>
      <c r="Q188" s="29">
        <f t="shared" si="9"/>
        <v>1</v>
      </c>
      <c r="R188" s="10" t="str">
        <f t="shared" si="8"/>
        <v>P01.203</v>
      </c>
    </row>
    <row r="189" spans="1:18">
      <c r="A189" s="10"/>
      <c r="B189" s="10"/>
      <c r="C189" s="10"/>
      <c r="D189" s="10">
        <f>INDEX(D:D,ROW()-1)+_xlfn.IFS(INDEX(E:E,ROW()-1)="s16",1,INDEX(E:E,ROW()-1)="s32",2,INDEX(E:E,ROW()-1)="s64",4,INDEX(E:E,ROW()-1)="u16",1,INDEX(E:E,ROW()-1)="u32",2,INDEX(E:E,ROW()-1)="u64",4,INDEX(E:E,ROW()-1)="f32",2,INDEX(E:E,ROW()-1)="f64",4)</f>
        <v>204</v>
      </c>
      <c r="E189" s="18" t="s">
        <v>34</v>
      </c>
      <c r="F189" s="19"/>
      <c r="G189" s="20" t="s">
        <v>23</v>
      </c>
      <c r="H189" s="20" t="s">
        <v>23</v>
      </c>
      <c r="I189" s="20" t="s">
        <v>35</v>
      </c>
      <c r="J189" s="10" t="s">
        <v>25</v>
      </c>
      <c r="K189" s="10" t="s">
        <v>26</v>
      </c>
      <c r="L189" s="10" t="s">
        <v>30</v>
      </c>
      <c r="M189" s="18" t="s">
        <v>28</v>
      </c>
      <c r="N189" s="10"/>
      <c r="O189" s="19"/>
      <c r="P189" s="19"/>
      <c r="Q189" s="29">
        <f t="shared" si="9"/>
        <v>1</v>
      </c>
      <c r="R189" s="10" t="str">
        <f t="shared" si="8"/>
        <v>P01.204</v>
      </c>
    </row>
    <row r="190" spans="1:18">
      <c r="A190" s="10"/>
      <c r="B190" s="10"/>
      <c r="C190" s="10"/>
      <c r="D190" s="10">
        <f>INDEX(D:D,ROW()-1)+_xlfn.IFS(INDEX(E:E,ROW()-1)="s16",1,INDEX(E:E,ROW()-1)="s32",2,INDEX(E:E,ROW()-1)="s64",4,INDEX(E:E,ROW()-1)="u16",1,INDEX(E:E,ROW()-1)="u32",2,INDEX(E:E,ROW()-1)="u64",4,INDEX(E:E,ROW()-1)="f32",2,INDEX(E:E,ROW()-1)="f64",4)</f>
        <v>205</v>
      </c>
      <c r="E190" s="18" t="s">
        <v>34</v>
      </c>
      <c r="F190" s="21" t="s">
        <v>364</v>
      </c>
      <c r="G190" s="20" t="s">
        <v>23</v>
      </c>
      <c r="H190" s="20" t="s">
        <v>23</v>
      </c>
      <c r="I190" s="20" t="s">
        <v>35</v>
      </c>
      <c r="J190" s="10" t="s">
        <v>365</v>
      </c>
      <c r="K190" s="10" t="s">
        <v>26</v>
      </c>
      <c r="L190" s="10" t="s">
        <v>30</v>
      </c>
      <c r="M190" s="18" t="s">
        <v>28</v>
      </c>
      <c r="N190" s="10"/>
      <c r="O190" s="21" t="s">
        <v>366</v>
      </c>
      <c r="P190" s="19"/>
      <c r="Q190" s="29">
        <f t="shared" si="9"/>
        <v>1</v>
      </c>
      <c r="R190" s="18" t="str">
        <f t="shared" si="8"/>
        <v>P01.205</v>
      </c>
    </row>
    <row r="191" spans="1:18">
      <c r="A191" s="10"/>
      <c r="B191" s="10"/>
      <c r="C191" s="10"/>
      <c r="D191" s="10">
        <f>INDEX(D:D,ROW()-1)+_xlfn.IFS(INDEX(E:E,ROW()-1)="s16",1,INDEX(E:E,ROW()-1)="s32",2,INDEX(E:E,ROW()-1)="s64",4,INDEX(E:E,ROW()-1)="u16",1,INDEX(E:E,ROW()-1)="u32",2,INDEX(E:E,ROW()-1)="u64",4,INDEX(E:E,ROW()-1)="f32",2,INDEX(E:E,ROW()-1)="f64",4)</f>
        <v>206</v>
      </c>
      <c r="E191" s="18" t="s">
        <v>34</v>
      </c>
      <c r="F191" s="21" t="s">
        <v>367</v>
      </c>
      <c r="G191" s="20" t="s">
        <v>23</v>
      </c>
      <c r="H191" s="20" t="s">
        <v>23</v>
      </c>
      <c r="I191" s="20" t="s">
        <v>35</v>
      </c>
      <c r="J191" s="10" t="s">
        <v>365</v>
      </c>
      <c r="K191" s="10" t="s">
        <v>26</v>
      </c>
      <c r="L191" s="10" t="s">
        <v>30</v>
      </c>
      <c r="M191" s="18" t="s">
        <v>28</v>
      </c>
      <c r="N191" s="10"/>
      <c r="O191" s="21" t="s">
        <v>368</v>
      </c>
      <c r="P191" s="19"/>
      <c r="Q191" s="29">
        <f t="shared" si="9"/>
        <v>1</v>
      </c>
      <c r="R191" s="18" t="str">
        <f t="shared" si="8"/>
        <v>P01.206</v>
      </c>
    </row>
    <row r="192" spans="1:18">
      <c r="A192" s="10"/>
      <c r="B192" s="10"/>
      <c r="C192" s="10"/>
      <c r="D192" s="10">
        <f>INDEX(D:D,ROW()-1)+_xlfn.IFS(INDEX(E:E,ROW()-1)="s16",1,INDEX(E:E,ROW()-1)="s32",2,INDEX(E:E,ROW()-1)="s64",4,INDEX(E:E,ROW()-1)="u16",1,INDEX(E:E,ROW()-1)="u32",2,INDEX(E:E,ROW()-1)="u64",4,INDEX(E:E,ROW()-1)="f32",2,INDEX(E:E,ROW()-1)="f64",4)</f>
        <v>207</v>
      </c>
      <c r="E192" s="18" t="s">
        <v>91</v>
      </c>
      <c r="F192" s="21" t="s">
        <v>369</v>
      </c>
      <c r="G192" s="20" t="s">
        <v>23</v>
      </c>
      <c r="H192" s="20" t="s">
        <v>93</v>
      </c>
      <c r="I192" s="20" t="s">
        <v>94</v>
      </c>
      <c r="J192" s="10" t="s">
        <v>365</v>
      </c>
      <c r="K192" s="10" t="s">
        <v>26</v>
      </c>
      <c r="L192" s="10" t="s">
        <v>30</v>
      </c>
      <c r="M192" s="18" t="s">
        <v>28</v>
      </c>
      <c r="N192" s="10"/>
      <c r="O192" s="21" t="s">
        <v>370</v>
      </c>
      <c r="P192" s="19"/>
      <c r="Q192" s="29">
        <f t="shared" si="9"/>
        <v>1</v>
      </c>
      <c r="R192" s="18" t="str">
        <f t="shared" si="8"/>
        <v>P01.207</v>
      </c>
    </row>
    <row r="193" spans="1:18">
      <c r="A193" s="10"/>
      <c r="B193" s="10"/>
      <c r="C193" s="10"/>
      <c r="D193" s="10">
        <f>INDEX(D:D,ROW()-1)+_xlfn.IFS(INDEX(E:E,ROW()-1)="s16",1,INDEX(E:E,ROW()-1)="s32",2,INDEX(E:E,ROW()-1)="s64",4,INDEX(E:E,ROW()-1)="u16",1,INDEX(E:E,ROW()-1)="u32",2,INDEX(E:E,ROW()-1)="u64",4,INDEX(E:E,ROW()-1)="f32",2,INDEX(E:E,ROW()-1)="f64",4)</f>
        <v>208</v>
      </c>
      <c r="E193" s="18" t="s">
        <v>91</v>
      </c>
      <c r="F193" s="21" t="s">
        <v>371</v>
      </c>
      <c r="G193" s="20" t="s">
        <v>23</v>
      </c>
      <c r="H193" s="20" t="s">
        <v>93</v>
      </c>
      <c r="I193" s="20" t="s">
        <v>94</v>
      </c>
      <c r="J193" s="10" t="s">
        <v>365</v>
      </c>
      <c r="K193" s="10" t="s">
        <v>26</v>
      </c>
      <c r="L193" s="10" t="s">
        <v>30</v>
      </c>
      <c r="M193" s="18" t="s">
        <v>28</v>
      </c>
      <c r="N193" s="10"/>
      <c r="O193" s="21" t="s">
        <v>372</v>
      </c>
      <c r="P193" s="19"/>
      <c r="Q193" s="29">
        <f t="shared" si="9"/>
        <v>1</v>
      </c>
      <c r="R193" s="18" t="str">
        <f t="shared" si="8"/>
        <v>P01.208</v>
      </c>
    </row>
    <row r="194" spans="1:18">
      <c r="A194" s="10"/>
      <c r="B194" s="10"/>
      <c r="C194" s="10"/>
      <c r="D194" s="10">
        <f>INDEX(D:D,ROW()-1)+_xlfn.IFS(INDEX(E:E,ROW()-1)="s16",1,INDEX(E:E,ROW()-1)="s32",2,INDEX(E:E,ROW()-1)="s64",4,INDEX(E:E,ROW()-1)="u16",1,INDEX(E:E,ROW()-1)="u32",2,INDEX(E:E,ROW()-1)="u64",4,INDEX(E:E,ROW()-1)="f32",2,INDEX(E:E,ROW()-1)="f64",4)</f>
        <v>209</v>
      </c>
      <c r="E194" s="18" t="s">
        <v>91</v>
      </c>
      <c r="F194" s="21" t="s">
        <v>373</v>
      </c>
      <c r="G194" s="20" t="s">
        <v>23</v>
      </c>
      <c r="H194" s="20" t="s">
        <v>93</v>
      </c>
      <c r="I194" s="20" t="s">
        <v>94</v>
      </c>
      <c r="J194" s="10" t="s">
        <v>365</v>
      </c>
      <c r="K194" s="10" t="s">
        <v>26</v>
      </c>
      <c r="L194" s="10" t="s">
        <v>30</v>
      </c>
      <c r="M194" s="18" t="s">
        <v>28</v>
      </c>
      <c r="N194" s="10"/>
      <c r="O194" s="21" t="s">
        <v>374</v>
      </c>
      <c r="P194" s="19"/>
      <c r="Q194" s="29">
        <f t="shared" si="9"/>
        <v>1</v>
      </c>
      <c r="R194" s="18" t="str">
        <f t="shared" si="8"/>
        <v>P01.209</v>
      </c>
    </row>
    <row r="195" spans="1:18">
      <c r="A195" s="10"/>
      <c r="B195" s="10"/>
      <c r="C195" s="10"/>
      <c r="D195" s="10">
        <f>INDEX(D:D,ROW()-1)+_xlfn.IFS(INDEX(E:E,ROW()-1)="s16",1,INDEX(E:E,ROW()-1)="s32",2,INDEX(E:E,ROW()-1)="s64",4,INDEX(E:E,ROW()-1)="u16",1,INDEX(E:E,ROW()-1)="u32",2,INDEX(E:E,ROW()-1)="u64",4,INDEX(E:E,ROW()-1)="f32",2,INDEX(E:E,ROW()-1)="f64",4)</f>
        <v>210</v>
      </c>
      <c r="E195" s="18" t="s">
        <v>91</v>
      </c>
      <c r="F195" s="21" t="s">
        <v>375</v>
      </c>
      <c r="G195" s="20" t="s">
        <v>23</v>
      </c>
      <c r="H195" s="20" t="s">
        <v>93</v>
      </c>
      <c r="I195" s="20" t="s">
        <v>94</v>
      </c>
      <c r="J195" s="10" t="s">
        <v>365</v>
      </c>
      <c r="K195" s="10" t="s">
        <v>26</v>
      </c>
      <c r="L195" s="10" t="s">
        <v>30</v>
      </c>
      <c r="M195" s="18" t="s">
        <v>28</v>
      </c>
      <c r="N195" s="10"/>
      <c r="O195" s="21" t="s">
        <v>376</v>
      </c>
      <c r="P195" s="19"/>
      <c r="Q195" s="29">
        <f t="shared" si="9"/>
        <v>1</v>
      </c>
      <c r="R195" s="10" t="str">
        <f t="shared" si="8"/>
        <v>P01.210</v>
      </c>
    </row>
    <row r="196" spans="1:18">
      <c r="A196" s="10"/>
      <c r="B196" s="10"/>
      <c r="C196" s="10"/>
      <c r="D196" s="10">
        <f>INDEX(D:D,ROW()-1)+_xlfn.IFS(INDEX(E:E,ROW()-1)="s16",1,INDEX(E:E,ROW()-1)="s32",2,INDEX(E:E,ROW()-1)="s64",4,INDEX(E:E,ROW()-1)="u16",1,INDEX(E:E,ROW()-1)="u32",2,INDEX(E:E,ROW()-1)="u64",4,INDEX(E:E,ROW()-1)="f32",2,INDEX(E:E,ROW()-1)="f64",4)</f>
        <v>211</v>
      </c>
      <c r="E196" s="18" t="s">
        <v>91</v>
      </c>
      <c r="F196" s="21" t="s">
        <v>377</v>
      </c>
      <c r="G196" s="20" t="s">
        <v>23</v>
      </c>
      <c r="H196" s="20" t="s">
        <v>93</v>
      </c>
      <c r="I196" s="20" t="s">
        <v>94</v>
      </c>
      <c r="J196" s="10" t="s">
        <v>365</v>
      </c>
      <c r="K196" s="10" t="s">
        <v>26</v>
      </c>
      <c r="L196" s="10" t="s">
        <v>30</v>
      </c>
      <c r="M196" s="18" t="s">
        <v>28</v>
      </c>
      <c r="N196" s="10"/>
      <c r="O196" s="21" t="s">
        <v>378</v>
      </c>
      <c r="P196" s="19"/>
      <c r="Q196" s="29">
        <f t="shared" si="9"/>
        <v>1</v>
      </c>
      <c r="R196" s="10" t="str">
        <f t="shared" si="8"/>
        <v>P01.211</v>
      </c>
    </row>
    <row r="197" spans="1:18">
      <c r="A197" s="10"/>
      <c r="B197" s="10"/>
      <c r="C197" s="10"/>
      <c r="D197" s="10">
        <f>INDEX(D:D,ROW()-1)+_xlfn.IFS(INDEX(E:E,ROW()-1)="s16",1,INDEX(E:E,ROW()-1)="s32",2,INDEX(E:E,ROW()-1)="s64",4,INDEX(E:E,ROW()-1)="u16",1,INDEX(E:E,ROW()-1)="u32",2,INDEX(E:E,ROW()-1)="u64",4,INDEX(E:E,ROW()-1)="f32",2,INDEX(E:E,ROW()-1)="f64",4)</f>
        <v>212</v>
      </c>
      <c r="E197" s="18" t="s">
        <v>91</v>
      </c>
      <c r="F197" s="21" t="s">
        <v>379</v>
      </c>
      <c r="G197" s="20" t="s">
        <v>23</v>
      </c>
      <c r="H197" s="20" t="s">
        <v>93</v>
      </c>
      <c r="I197" s="20" t="s">
        <v>94</v>
      </c>
      <c r="J197" s="10" t="s">
        <v>365</v>
      </c>
      <c r="K197" s="10" t="s">
        <v>26</v>
      </c>
      <c r="L197" s="10" t="s">
        <v>30</v>
      </c>
      <c r="M197" s="18" t="s">
        <v>28</v>
      </c>
      <c r="N197" s="10"/>
      <c r="O197" s="21" t="s">
        <v>380</v>
      </c>
      <c r="P197" s="19"/>
      <c r="Q197" s="29">
        <f t="shared" si="9"/>
        <v>1</v>
      </c>
      <c r="R197" s="10" t="str">
        <f t="shared" si="8"/>
        <v>P01.212</v>
      </c>
    </row>
    <row r="198" spans="1:18">
      <c r="A198" s="10"/>
      <c r="B198" s="10"/>
      <c r="C198" s="10"/>
      <c r="D198" s="10">
        <f>INDEX(D:D,ROW()-1)+_xlfn.IFS(INDEX(E:E,ROW()-1)="s16",1,INDEX(E:E,ROW()-1)="s32",2,INDEX(E:E,ROW()-1)="s64",4,INDEX(E:E,ROW()-1)="u16",1,INDEX(E:E,ROW()-1)="u32",2,INDEX(E:E,ROW()-1)="u64",4,INDEX(E:E,ROW()-1)="f32",2,INDEX(E:E,ROW()-1)="f64",4)</f>
        <v>213</v>
      </c>
      <c r="E198" s="18" t="s">
        <v>34</v>
      </c>
      <c r="F198" s="19"/>
      <c r="G198" s="20" t="s">
        <v>23</v>
      </c>
      <c r="H198" s="20" t="s">
        <v>23</v>
      </c>
      <c r="I198" s="20" t="s">
        <v>35</v>
      </c>
      <c r="J198" s="10" t="s">
        <v>25</v>
      </c>
      <c r="K198" s="10" t="s">
        <v>26</v>
      </c>
      <c r="L198" s="10" t="s">
        <v>30</v>
      </c>
      <c r="M198" s="18" t="s">
        <v>28</v>
      </c>
      <c r="N198" s="10"/>
      <c r="O198" s="19"/>
      <c r="P198" s="19"/>
      <c r="Q198" s="29">
        <f t="shared" si="9"/>
        <v>1</v>
      </c>
      <c r="R198" s="10" t="str">
        <f t="shared" si="8"/>
        <v>P01.213</v>
      </c>
    </row>
    <row r="199" spans="1:18">
      <c r="A199" s="10"/>
      <c r="B199" s="10"/>
      <c r="C199" s="10"/>
      <c r="D199" s="10">
        <f>INDEX(D:D,ROW()-1)+_xlfn.IFS(INDEX(E:E,ROW()-1)="s16",1,INDEX(E:E,ROW()-1)="s32",2,INDEX(E:E,ROW()-1)="s64",4,INDEX(E:E,ROW()-1)="u16",1,INDEX(E:E,ROW()-1)="u32",2,INDEX(E:E,ROW()-1)="u64",4,INDEX(E:E,ROW()-1)="f32",2,INDEX(E:E,ROW()-1)="f64",4)</f>
        <v>214</v>
      </c>
      <c r="E199" s="18" t="s">
        <v>34</v>
      </c>
      <c r="F199" s="19"/>
      <c r="G199" s="20" t="s">
        <v>23</v>
      </c>
      <c r="H199" s="20" t="s">
        <v>23</v>
      </c>
      <c r="I199" s="20" t="s">
        <v>35</v>
      </c>
      <c r="J199" s="10" t="s">
        <v>25</v>
      </c>
      <c r="K199" s="10" t="s">
        <v>26</v>
      </c>
      <c r="L199" s="10" t="s">
        <v>30</v>
      </c>
      <c r="M199" s="18" t="s">
        <v>28</v>
      </c>
      <c r="N199" s="10"/>
      <c r="O199" s="19"/>
      <c r="P199" s="19"/>
      <c r="Q199" s="29">
        <f t="shared" si="9"/>
        <v>1</v>
      </c>
      <c r="R199" s="10" t="str">
        <f t="shared" ref="R199:R262" si="10">"P"&amp;TEXT(ROUND(D199/256,0),"00")&amp;"."&amp;TEXT(MOD(D199,256),"000")</f>
        <v>P01.214</v>
      </c>
    </row>
    <row r="200" spans="1:18">
      <c r="A200" s="10"/>
      <c r="B200" s="10"/>
      <c r="C200" s="10"/>
      <c r="D200" s="10">
        <f>INDEX(D:D,ROW()-1)+_xlfn.IFS(INDEX(E:E,ROW()-1)="s16",1,INDEX(E:E,ROW()-1)="s32",2,INDEX(E:E,ROW()-1)="s64",4,INDEX(E:E,ROW()-1)="u16",1,INDEX(E:E,ROW()-1)="u32",2,INDEX(E:E,ROW()-1)="u64",4,INDEX(E:E,ROW()-1)="f32",2,INDEX(E:E,ROW()-1)="f64",4)</f>
        <v>215</v>
      </c>
      <c r="E200" s="18" t="s">
        <v>34</v>
      </c>
      <c r="F200" s="21" t="s">
        <v>381</v>
      </c>
      <c r="G200" s="20" t="s">
        <v>23</v>
      </c>
      <c r="H200" s="20" t="s">
        <v>23</v>
      </c>
      <c r="I200" s="20" t="s">
        <v>35</v>
      </c>
      <c r="J200" s="10" t="s">
        <v>25</v>
      </c>
      <c r="K200" s="10" t="s">
        <v>26</v>
      </c>
      <c r="L200" s="10" t="s">
        <v>30</v>
      </c>
      <c r="M200" s="18" t="s">
        <v>28</v>
      </c>
      <c r="N200" s="10"/>
      <c r="O200" s="21" t="s">
        <v>382</v>
      </c>
      <c r="P200" s="19"/>
      <c r="Q200" s="29">
        <f t="shared" si="9"/>
        <v>1</v>
      </c>
      <c r="R200" s="18" t="str">
        <f t="shared" si="10"/>
        <v>P01.215</v>
      </c>
    </row>
    <row r="201" spans="1:18">
      <c r="A201" s="10"/>
      <c r="B201" s="10"/>
      <c r="C201" s="10"/>
      <c r="D201" s="10">
        <f>INDEX(D:D,ROW()-1)+_xlfn.IFS(INDEX(E:E,ROW()-1)="s16",1,INDEX(E:E,ROW()-1)="s32",2,INDEX(E:E,ROW()-1)="s64",4,INDEX(E:E,ROW()-1)="u16",1,INDEX(E:E,ROW()-1)="u32",2,INDEX(E:E,ROW()-1)="u64",4,INDEX(E:E,ROW()-1)="f32",2,INDEX(E:E,ROW()-1)="f64",4)</f>
        <v>216</v>
      </c>
      <c r="E201" s="18" t="s">
        <v>383</v>
      </c>
      <c r="F201" s="21" t="s">
        <v>384</v>
      </c>
      <c r="G201" s="20" t="s">
        <v>23</v>
      </c>
      <c r="H201" s="20" t="s">
        <v>385</v>
      </c>
      <c r="I201" s="20" t="s">
        <v>386</v>
      </c>
      <c r="J201" s="10" t="s">
        <v>387</v>
      </c>
      <c r="K201" s="10" t="s">
        <v>26</v>
      </c>
      <c r="L201" s="10" t="s">
        <v>30</v>
      </c>
      <c r="M201" s="18" t="s">
        <v>28</v>
      </c>
      <c r="N201" s="10"/>
      <c r="O201" s="21" t="s">
        <v>388</v>
      </c>
      <c r="P201" s="19"/>
      <c r="Q201" s="29">
        <f t="shared" si="9"/>
        <v>1</v>
      </c>
      <c r="R201" s="18" t="str">
        <f t="shared" si="10"/>
        <v>P01.216</v>
      </c>
    </row>
    <row r="202" spans="1:18">
      <c r="A202" s="10"/>
      <c r="B202" s="10"/>
      <c r="C202" s="10"/>
      <c r="D202" s="10">
        <f>INDEX(D:D,ROW()-1)+_xlfn.IFS(INDEX(E:E,ROW()-1)="s16",1,INDEX(E:E,ROW()-1)="s32",2,INDEX(E:E,ROW()-1)="s64",4,INDEX(E:E,ROW()-1)="u16",1,INDEX(E:E,ROW()-1)="u32",2,INDEX(E:E,ROW()-1)="u64",4,INDEX(E:E,ROW()-1)="f32",2,INDEX(E:E,ROW()-1)="f64",4)</f>
        <v>220</v>
      </c>
      <c r="E202" s="18" t="s">
        <v>383</v>
      </c>
      <c r="F202" s="21" t="s">
        <v>389</v>
      </c>
      <c r="G202" s="20" t="s">
        <v>23</v>
      </c>
      <c r="H202" s="20" t="s">
        <v>385</v>
      </c>
      <c r="I202" s="20" t="s">
        <v>386</v>
      </c>
      <c r="J202" s="10" t="s">
        <v>387</v>
      </c>
      <c r="K202" s="10" t="s">
        <v>26</v>
      </c>
      <c r="L202" s="10" t="s">
        <v>30</v>
      </c>
      <c r="M202" s="18" t="s">
        <v>28</v>
      </c>
      <c r="N202" s="10"/>
      <c r="O202" s="21" t="s">
        <v>390</v>
      </c>
      <c r="P202" s="19"/>
      <c r="Q202" s="29">
        <f t="shared" si="9"/>
        <v>1</v>
      </c>
      <c r="R202" s="18" t="str">
        <f t="shared" si="10"/>
        <v>P01.220</v>
      </c>
    </row>
    <row r="203" spans="1:18">
      <c r="A203" s="10"/>
      <c r="B203" s="10"/>
      <c r="C203" s="10"/>
      <c r="D203" s="10">
        <f>INDEX(D:D,ROW()-1)+_xlfn.IFS(INDEX(E:E,ROW()-1)="s16",1,INDEX(E:E,ROW()-1)="s32",2,INDEX(E:E,ROW()-1)="s64",4,INDEX(E:E,ROW()-1)="u16",1,INDEX(E:E,ROW()-1)="u32",2,INDEX(E:E,ROW()-1)="u64",4,INDEX(E:E,ROW()-1)="f32",2,INDEX(E:E,ROW()-1)="f64",4)</f>
        <v>224</v>
      </c>
      <c r="E203" s="18" t="s">
        <v>383</v>
      </c>
      <c r="F203" s="21" t="s">
        <v>391</v>
      </c>
      <c r="G203" s="20" t="s">
        <v>23</v>
      </c>
      <c r="H203" s="20" t="s">
        <v>385</v>
      </c>
      <c r="I203" s="20" t="s">
        <v>386</v>
      </c>
      <c r="J203" s="10" t="s">
        <v>387</v>
      </c>
      <c r="K203" s="10" t="s">
        <v>26</v>
      </c>
      <c r="L203" s="10" t="s">
        <v>30</v>
      </c>
      <c r="M203" s="18" t="s">
        <v>28</v>
      </c>
      <c r="N203" s="10"/>
      <c r="O203" s="21" t="s">
        <v>392</v>
      </c>
      <c r="P203" s="19"/>
      <c r="Q203" s="29">
        <f t="shared" si="9"/>
        <v>1</v>
      </c>
      <c r="R203" s="18" t="str">
        <f t="shared" si="10"/>
        <v>P01.224</v>
      </c>
    </row>
    <row r="204" spans="1:18">
      <c r="A204" s="10"/>
      <c r="B204" s="10"/>
      <c r="C204" s="10"/>
      <c r="D204" s="10">
        <f>INDEX(D:D,ROW()-1)+_xlfn.IFS(INDEX(E:E,ROW()-1)="s16",1,INDEX(E:E,ROW()-1)="s32",2,INDEX(E:E,ROW()-1)="s64",4,INDEX(E:E,ROW()-1)="u16",1,INDEX(E:E,ROW()-1)="u32",2,INDEX(E:E,ROW()-1)="u64",4,INDEX(E:E,ROW()-1)="f32",2,INDEX(E:E,ROW()-1)="f64",4)</f>
        <v>228</v>
      </c>
      <c r="E204" s="18" t="s">
        <v>383</v>
      </c>
      <c r="F204" s="21" t="s">
        <v>393</v>
      </c>
      <c r="G204" s="20" t="s">
        <v>23</v>
      </c>
      <c r="H204" s="20" t="s">
        <v>385</v>
      </c>
      <c r="I204" s="20" t="s">
        <v>386</v>
      </c>
      <c r="J204" s="10" t="s">
        <v>387</v>
      </c>
      <c r="K204" s="10" t="s">
        <v>26</v>
      </c>
      <c r="L204" s="10" t="s">
        <v>30</v>
      </c>
      <c r="M204" s="18" t="s">
        <v>28</v>
      </c>
      <c r="N204" s="10"/>
      <c r="O204" s="21" t="s">
        <v>394</v>
      </c>
      <c r="P204" s="19"/>
      <c r="Q204" s="29">
        <f t="shared" si="9"/>
        <v>1</v>
      </c>
      <c r="R204" s="18" t="str">
        <f t="shared" si="10"/>
        <v>P01.228</v>
      </c>
    </row>
    <row r="205" spans="1:18">
      <c r="A205" s="10"/>
      <c r="B205" s="10"/>
      <c r="C205" s="10"/>
      <c r="D205" s="10">
        <f>INDEX(D:D,ROW()-1)+_xlfn.IFS(INDEX(E:E,ROW()-1)="s16",1,INDEX(E:E,ROW()-1)="s32",2,INDEX(E:E,ROW()-1)="s64",4,INDEX(E:E,ROW()-1)="u16",1,INDEX(E:E,ROW()-1)="u32",2,INDEX(E:E,ROW()-1)="u64",4,INDEX(E:E,ROW()-1)="f32",2,INDEX(E:E,ROW()-1)="f64",4)</f>
        <v>232</v>
      </c>
      <c r="E205" s="18" t="s">
        <v>383</v>
      </c>
      <c r="F205" s="21" t="s">
        <v>395</v>
      </c>
      <c r="G205" s="20" t="s">
        <v>23</v>
      </c>
      <c r="H205" s="20" t="s">
        <v>385</v>
      </c>
      <c r="I205" s="20" t="s">
        <v>386</v>
      </c>
      <c r="J205" s="10" t="s">
        <v>387</v>
      </c>
      <c r="K205" s="10" t="s">
        <v>26</v>
      </c>
      <c r="L205" s="10" t="s">
        <v>30</v>
      </c>
      <c r="M205" s="18" t="s">
        <v>28</v>
      </c>
      <c r="N205" s="10"/>
      <c r="O205" s="21" t="s">
        <v>396</v>
      </c>
      <c r="P205" s="19"/>
      <c r="Q205" s="29">
        <f t="shared" si="9"/>
        <v>1</v>
      </c>
      <c r="R205" s="18" t="str">
        <f t="shared" si="10"/>
        <v>P01.232</v>
      </c>
    </row>
    <row r="206" spans="1:18">
      <c r="A206" s="10"/>
      <c r="B206" s="10"/>
      <c r="C206" s="10"/>
      <c r="D206" s="10">
        <f>INDEX(D:D,ROW()-1)+_xlfn.IFS(INDEX(E:E,ROW()-1)="s16",1,INDEX(E:E,ROW()-1)="s32",2,INDEX(E:E,ROW()-1)="s64",4,INDEX(E:E,ROW()-1)="u16",1,INDEX(E:E,ROW()-1)="u32",2,INDEX(E:E,ROW()-1)="u64",4,INDEX(E:E,ROW()-1)="f32",2,INDEX(E:E,ROW()-1)="f64",4)</f>
        <v>236</v>
      </c>
      <c r="E206" s="18" t="s">
        <v>383</v>
      </c>
      <c r="F206" s="21" t="s">
        <v>397</v>
      </c>
      <c r="G206" s="20" t="s">
        <v>23</v>
      </c>
      <c r="H206" s="20" t="s">
        <v>385</v>
      </c>
      <c r="I206" s="20" t="s">
        <v>386</v>
      </c>
      <c r="J206" s="10" t="s">
        <v>387</v>
      </c>
      <c r="K206" s="10" t="s">
        <v>26</v>
      </c>
      <c r="L206" s="10" t="s">
        <v>30</v>
      </c>
      <c r="M206" s="18" t="s">
        <v>28</v>
      </c>
      <c r="N206" s="10"/>
      <c r="O206" s="21" t="s">
        <v>398</v>
      </c>
      <c r="P206" s="19"/>
      <c r="Q206" s="29">
        <f t="shared" si="9"/>
        <v>1</v>
      </c>
      <c r="R206" s="18" t="str">
        <f t="shared" si="10"/>
        <v>P01.236</v>
      </c>
    </row>
    <row r="207" spans="1:18">
      <c r="A207" s="10"/>
      <c r="B207" s="10"/>
      <c r="C207" s="10"/>
      <c r="D207" s="10">
        <f>INDEX(D:D,ROW()-1)+_xlfn.IFS(INDEX(E:E,ROW()-1)="s16",1,INDEX(E:E,ROW()-1)="s32",2,INDEX(E:E,ROW()-1)="s64",4,INDEX(E:E,ROW()-1)="u16",1,INDEX(E:E,ROW()-1)="u32",2,INDEX(E:E,ROW()-1)="u64",4,INDEX(E:E,ROW()-1)="f32",2,INDEX(E:E,ROW()-1)="f64",4)</f>
        <v>240</v>
      </c>
      <c r="E207" s="18" t="s">
        <v>383</v>
      </c>
      <c r="F207" s="21" t="s">
        <v>399</v>
      </c>
      <c r="G207" s="20" t="s">
        <v>23</v>
      </c>
      <c r="H207" s="20" t="s">
        <v>385</v>
      </c>
      <c r="I207" s="20" t="s">
        <v>386</v>
      </c>
      <c r="J207" s="10" t="s">
        <v>387</v>
      </c>
      <c r="K207" s="10" t="s">
        <v>26</v>
      </c>
      <c r="L207" s="10" t="s">
        <v>30</v>
      </c>
      <c r="M207" s="18" t="s">
        <v>28</v>
      </c>
      <c r="N207" s="10"/>
      <c r="O207" s="21" t="s">
        <v>400</v>
      </c>
      <c r="P207" s="19"/>
      <c r="Q207" s="29">
        <f t="shared" si="9"/>
        <v>1</v>
      </c>
      <c r="R207" s="18" t="str">
        <f t="shared" si="10"/>
        <v>P01.240</v>
      </c>
    </row>
    <row r="208" spans="1:18">
      <c r="A208" s="10"/>
      <c r="B208" s="10"/>
      <c r="C208" s="10"/>
      <c r="D208" s="10">
        <f>INDEX(D:D,ROW()-1)+_xlfn.IFS(INDEX(E:E,ROW()-1)="s16",1,INDEX(E:E,ROW()-1)="s32",2,INDEX(E:E,ROW()-1)="s64",4,INDEX(E:E,ROW()-1)="u16",1,INDEX(E:E,ROW()-1)="u32",2,INDEX(E:E,ROW()-1)="u64",4,INDEX(E:E,ROW()-1)="f32",2,INDEX(E:E,ROW()-1)="f64",4)</f>
        <v>244</v>
      </c>
      <c r="E208" s="18" t="s">
        <v>383</v>
      </c>
      <c r="F208" s="21" t="s">
        <v>401</v>
      </c>
      <c r="G208" s="20" t="s">
        <v>23</v>
      </c>
      <c r="H208" s="20" t="s">
        <v>385</v>
      </c>
      <c r="I208" s="20" t="s">
        <v>386</v>
      </c>
      <c r="J208" s="10" t="s">
        <v>387</v>
      </c>
      <c r="K208" s="10" t="s">
        <v>26</v>
      </c>
      <c r="L208" s="10" t="s">
        <v>30</v>
      </c>
      <c r="M208" s="18" t="s">
        <v>28</v>
      </c>
      <c r="N208" s="10"/>
      <c r="O208" s="21" t="s">
        <v>402</v>
      </c>
      <c r="P208" s="19"/>
      <c r="Q208" s="29">
        <f t="shared" si="9"/>
        <v>1</v>
      </c>
      <c r="R208" s="18" t="str">
        <f t="shared" si="10"/>
        <v>P01.244</v>
      </c>
    </row>
    <row r="209" spans="1:18">
      <c r="A209" s="10"/>
      <c r="B209" s="10"/>
      <c r="C209" s="10"/>
      <c r="D209" s="10">
        <f>INDEX(D:D,ROW()-1)+_xlfn.IFS(INDEX(E:E,ROW()-1)="s16",1,INDEX(E:E,ROW()-1)="s32",2,INDEX(E:E,ROW()-1)="s64",4,INDEX(E:E,ROW()-1)="u16",1,INDEX(E:E,ROW()-1)="u32",2,INDEX(E:E,ROW()-1)="u64",4,INDEX(E:E,ROW()-1)="f32",2,INDEX(E:E,ROW()-1)="f64",4)</f>
        <v>248</v>
      </c>
      <c r="E209" s="18" t="s">
        <v>34</v>
      </c>
      <c r="F209" s="19"/>
      <c r="G209" s="20" t="s">
        <v>23</v>
      </c>
      <c r="H209" s="20" t="s">
        <v>23</v>
      </c>
      <c r="I209" s="20" t="s">
        <v>35</v>
      </c>
      <c r="J209" s="10" t="s">
        <v>25</v>
      </c>
      <c r="K209" s="10" t="s">
        <v>26</v>
      </c>
      <c r="L209" s="10" t="s">
        <v>30</v>
      </c>
      <c r="M209" s="18" t="s">
        <v>28</v>
      </c>
      <c r="N209" s="10"/>
      <c r="O209" s="19"/>
      <c r="P209" s="19"/>
      <c r="Q209" s="29">
        <f t="shared" si="9"/>
        <v>1</v>
      </c>
      <c r="R209" s="10" t="str">
        <f t="shared" si="10"/>
        <v>P01.248</v>
      </c>
    </row>
    <row r="210" spans="1:18">
      <c r="A210" s="10"/>
      <c r="B210" s="10"/>
      <c r="C210" s="10"/>
      <c r="D210" s="10">
        <f>INDEX(D:D,ROW()-1)+_xlfn.IFS(INDEX(E:E,ROW()-1)="s16",1,INDEX(E:E,ROW()-1)="s32",2,INDEX(E:E,ROW()-1)="s64",4,INDEX(E:E,ROW()-1)="u16",1,INDEX(E:E,ROW()-1)="u32",2,INDEX(E:E,ROW()-1)="u64",4,INDEX(E:E,ROW()-1)="f32",2,INDEX(E:E,ROW()-1)="f64",4)</f>
        <v>249</v>
      </c>
      <c r="E210" s="18" t="s">
        <v>34</v>
      </c>
      <c r="F210" s="19"/>
      <c r="G210" s="20" t="s">
        <v>23</v>
      </c>
      <c r="H210" s="20" t="s">
        <v>23</v>
      </c>
      <c r="I210" s="20" t="s">
        <v>35</v>
      </c>
      <c r="J210" s="10" t="s">
        <v>25</v>
      </c>
      <c r="K210" s="10" t="s">
        <v>26</v>
      </c>
      <c r="L210" s="10" t="s">
        <v>30</v>
      </c>
      <c r="M210" s="18" t="s">
        <v>28</v>
      </c>
      <c r="N210" s="10"/>
      <c r="O210" s="19"/>
      <c r="P210" s="19"/>
      <c r="Q210" s="29">
        <f t="shared" ref="Q210:Q241" si="11">IF(OR(F210="",LEFT(TRIM(F210),3)=E210),1,0)</f>
        <v>1</v>
      </c>
      <c r="R210" s="10" t="str">
        <f t="shared" si="10"/>
        <v>P01.249</v>
      </c>
    </row>
    <row r="211" spans="1:18">
      <c r="A211" s="10"/>
      <c r="B211" s="10"/>
      <c r="C211" s="10"/>
      <c r="D211" s="10">
        <f>INDEX(D:D,ROW()-1)+_xlfn.IFS(INDEX(E:E,ROW()-1)="s16",1,INDEX(E:E,ROW()-1)="s32",2,INDEX(E:E,ROW()-1)="s64",4,INDEX(E:E,ROW()-1)="u16",1,INDEX(E:E,ROW()-1)="u32",2,INDEX(E:E,ROW()-1)="u64",4,INDEX(E:E,ROW()-1)="f32",2,INDEX(E:E,ROW()-1)="f64",4)</f>
        <v>250</v>
      </c>
      <c r="E211" s="18" t="s">
        <v>34</v>
      </c>
      <c r="F211" s="19"/>
      <c r="G211" s="20" t="s">
        <v>23</v>
      </c>
      <c r="H211" s="20" t="s">
        <v>23</v>
      </c>
      <c r="I211" s="20" t="s">
        <v>35</v>
      </c>
      <c r="J211" s="10" t="s">
        <v>25</v>
      </c>
      <c r="K211" s="10" t="s">
        <v>26</v>
      </c>
      <c r="L211" s="10" t="s">
        <v>30</v>
      </c>
      <c r="M211" s="18" t="s">
        <v>28</v>
      </c>
      <c r="N211" s="10"/>
      <c r="O211" s="19"/>
      <c r="P211" s="19"/>
      <c r="Q211" s="29">
        <f t="shared" si="11"/>
        <v>1</v>
      </c>
      <c r="R211" s="10" t="str">
        <f t="shared" si="10"/>
        <v>P01.250</v>
      </c>
    </row>
    <row r="212" spans="1:18">
      <c r="A212" s="10"/>
      <c r="B212" s="10"/>
      <c r="C212" s="10"/>
      <c r="D212" s="10">
        <f>INDEX(D:D,ROW()-1)+_xlfn.IFS(INDEX(E:E,ROW()-1)="s16",1,INDEX(E:E,ROW()-1)="s32",2,INDEX(E:E,ROW()-1)="s64",4,INDEX(E:E,ROW()-1)="u16",1,INDEX(E:E,ROW()-1)="u32",2,INDEX(E:E,ROW()-1)="u64",4,INDEX(E:E,ROW()-1)="f32",2,INDEX(E:E,ROW()-1)="f64",4)</f>
        <v>251</v>
      </c>
      <c r="E212" s="18" t="s">
        <v>34</v>
      </c>
      <c r="F212" s="19"/>
      <c r="G212" s="20" t="s">
        <v>23</v>
      </c>
      <c r="H212" s="20" t="s">
        <v>23</v>
      </c>
      <c r="I212" s="20" t="s">
        <v>35</v>
      </c>
      <c r="J212" s="10" t="s">
        <v>25</v>
      </c>
      <c r="K212" s="10" t="s">
        <v>26</v>
      </c>
      <c r="L212" s="10" t="s">
        <v>30</v>
      </c>
      <c r="M212" s="18" t="s">
        <v>28</v>
      </c>
      <c r="N212" s="10"/>
      <c r="O212" s="19"/>
      <c r="P212" s="19"/>
      <c r="Q212" s="29">
        <f t="shared" si="11"/>
        <v>1</v>
      </c>
      <c r="R212" s="10" t="str">
        <f t="shared" si="10"/>
        <v>P01.251</v>
      </c>
    </row>
    <row r="213" spans="1:18">
      <c r="A213" s="10"/>
      <c r="B213" s="10"/>
      <c r="C213" s="10"/>
      <c r="D213" s="10">
        <f>INDEX(D:D,ROW()-1)+_xlfn.IFS(INDEX(E:E,ROW()-1)="s16",1,INDEX(E:E,ROW()-1)="s32",2,INDEX(E:E,ROW()-1)="s64",4,INDEX(E:E,ROW()-1)="u16",1,INDEX(E:E,ROW()-1)="u32",2,INDEX(E:E,ROW()-1)="u64",4,INDEX(E:E,ROW()-1)="f32",2,INDEX(E:E,ROW()-1)="f64",4)</f>
        <v>252</v>
      </c>
      <c r="E213" s="18" t="s">
        <v>34</v>
      </c>
      <c r="F213" s="21" t="s">
        <v>403</v>
      </c>
      <c r="G213" s="20" t="s">
        <v>23</v>
      </c>
      <c r="H213" s="20" t="s">
        <v>23</v>
      </c>
      <c r="I213" s="20" t="s">
        <v>404</v>
      </c>
      <c r="J213" s="10" t="s">
        <v>25</v>
      </c>
      <c r="K213" s="10" t="s">
        <v>62</v>
      </c>
      <c r="L213" s="10" t="s">
        <v>30</v>
      </c>
      <c r="M213" s="18" t="s">
        <v>28</v>
      </c>
      <c r="N213" s="10"/>
      <c r="O213" s="21" t="s">
        <v>405</v>
      </c>
      <c r="P213" s="19"/>
      <c r="Q213" s="29">
        <f t="shared" si="11"/>
        <v>1</v>
      </c>
      <c r="R213" s="18" t="str">
        <f t="shared" si="10"/>
        <v>P01.252</v>
      </c>
    </row>
    <row r="214" spans="1:18">
      <c r="A214" s="10"/>
      <c r="B214" s="10"/>
      <c r="C214" s="10"/>
      <c r="D214" s="10">
        <f>INDEX(D:D,ROW()-1)+_xlfn.IFS(INDEX(E:E,ROW()-1)="s16",1,INDEX(E:E,ROW()-1)="s32",2,INDEX(E:E,ROW()-1)="s64",4,INDEX(E:E,ROW()-1)="u16",1,INDEX(E:E,ROW()-1)="u32",2,INDEX(E:E,ROW()-1)="u64",4,INDEX(E:E,ROW()-1)="f32",2,INDEX(E:E,ROW()-1)="f64",4)</f>
        <v>253</v>
      </c>
      <c r="E214" s="18" t="s">
        <v>34</v>
      </c>
      <c r="F214" s="21" t="s">
        <v>406</v>
      </c>
      <c r="G214" s="20" t="s">
        <v>23</v>
      </c>
      <c r="H214" s="20" t="s">
        <v>23</v>
      </c>
      <c r="I214" s="20" t="s">
        <v>35</v>
      </c>
      <c r="J214" s="10" t="s">
        <v>25</v>
      </c>
      <c r="K214" s="10" t="s">
        <v>26</v>
      </c>
      <c r="L214" s="10" t="s">
        <v>30</v>
      </c>
      <c r="M214" s="18" t="s">
        <v>28</v>
      </c>
      <c r="N214" s="10"/>
      <c r="O214" s="21" t="s">
        <v>407</v>
      </c>
      <c r="P214" s="19"/>
      <c r="Q214" s="29">
        <f t="shared" si="11"/>
        <v>1</v>
      </c>
      <c r="R214" s="18" t="str">
        <f t="shared" si="10"/>
        <v>P01.253</v>
      </c>
    </row>
    <row r="215" spans="1:18">
      <c r="A215" s="10"/>
      <c r="B215" s="10"/>
      <c r="C215" s="10"/>
      <c r="D215" s="10">
        <f>INDEX(D:D,ROW()-1)+_xlfn.IFS(INDEX(E:E,ROW()-1)="s16",1,INDEX(E:E,ROW()-1)="s32",2,INDEX(E:E,ROW()-1)="s64",4,INDEX(E:E,ROW()-1)="u16",1,INDEX(E:E,ROW()-1)="u32",2,INDEX(E:E,ROW()-1)="u64",4,INDEX(E:E,ROW()-1)="f32",2,INDEX(E:E,ROW()-1)="f64",4)</f>
        <v>254</v>
      </c>
      <c r="E215" s="18" t="s">
        <v>34</v>
      </c>
      <c r="F215" s="21" t="s">
        <v>408</v>
      </c>
      <c r="G215" s="20" t="s">
        <v>23</v>
      </c>
      <c r="H215" s="20" t="s">
        <v>23</v>
      </c>
      <c r="I215" s="20" t="s">
        <v>35</v>
      </c>
      <c r="J215" s="10" t="s">
        <v>25</v>
      </c>
      <c r="K215" s="10" t="s">
        <v>26</v>
      </c>
      <c r="L215" s="10" t="s">
        <v>30</v>
      </c>
      <c r="M215" s="18" t="s">
        <v>28</v>
      </c>
      <c r="N215" s="10"/>
      <c r="O215" s="21" t="s">
        <v>409</v>
      </c>
      <c r="P215" s="19"/>
      <c r="Q215" s="29">
        <f t="shared" si="11"/>
        <v>1</v>
      </c>
      <c r="R215" s="18" t="str">
        <f t="shared" si="10"/>
        <v>P01.254</v>
      </c>
    </row>
    <row r="216" spans="1:18">
      <c r="A216" s="10"/>
      <c r="B216" s="10"/>
      <c r="C216" s="10"/>
      <c r="D216" s="10">
        <f>INDEX(D:D,ROW()-1)+_xlfn.IFS(INDEX(E:E,ROW()-1)="s16",1,INDEX(E:E,ROW()-1)="s32",2,INDEX(E:E,ROW()-1)="s64",4,INDEX(E:E,ROW()-1)="u16",1,INDEX(E:E,ROW()-1)="u32",2,INDEX(E:E,ROW()-1)="u64",4,INDEX(E:E,ROW()-1)="f32",2,INDEX(E:E,ROW()-1)="f64",4)</f>
        <v>255</v>
      </c>
      <c r="E216" s="18" t="s">
        <v>34</v>
      </c>
      <c r="F216" s="21" t="s">
        <v>410</v>
      </c>
      <c r="G216" s="20" t="s">
        <v>23</v>
      </c>
      <c r="H216" s="20" t="s">
        <v>23</v>
      </c>
      <c r="I216" s="20" t="s">
        <v>35</v>
      </c>
      <c r="J216" s="10" t="s">
        <v>25</v>
      </c>
      <c r="K216" s="10" t="s">
        <v>26</v>
      </c>
      <c r="L216" s="10" t="s">
        <v>30</v>
      </c>
      <c r="M216" s="18" t="s">
        <v>28</v>
      </c>
      <c r="N216" s="10"/>
      <c r="O216" s="21" t="s">
        <v>411</v>
      </c>
      <c r="P216" s="19"/>
      <c r="Q216" s="29">
        <f t="shared" si="11"/>
        <v>1</v>
      </c>
      <c r="R216" s="18" t="str">
        <f t="shared" si="10"/>
        <v>P01.255</v>
      </c>
    </row>
    <row r="217" spans="1:18">
      <c r="A217" s="10"/>
      <c r="B217" s="10"/>
      <c r="C217" s="10"/>
      <c r="D217" s="10">
        <f>INDEX(D:D,ROW()-1)+_xlfn.IFS(INDEX(E:E,ROW()-1)="s16",1,INDEX(E:E,ROW()-1)="s32",2,INDEX(E:E,ROW()-1)="s64",4,INDEX(E:E,ROW()-1)="u16",1,INDEX(E:E,ROW()-1)="u32",2,INDEX(E:E,ROW()-1)="u64",4,INDEX(E:E,ROW()-1)="f32",2,INDEX(E:E,ROW()-1)="f64",4)</f>
        <v>256</v>
      </c>
      <c r="E217" s="18" t="s">
        <v>34</v>
      </c>
      <c r="F217" s="21" t="s">
        <v>412</v>
      </c>
      <c r="G217" s="20" t="s">
        <v>23</v>
      </c>
      <c r="H217" s="20" t="s">
        <v>23</v>
      </c>
      <c r="I217" s="20" t="s">
        <v>35</v>
      </c>
      <c r="J217" s="10" t="s">
        <v>25</v>
      </c>
      <c r="K217" s="10" t="s">
        <v>26</v>
      </c>
      <c r="L217" s="10" t="s">
        <v>30</v>
      </c>
      <c r="M217" s="18" t="s">
        <v>28</v>
      </c>
      <c r="N217" s="10"/>
      <c r="O217" s="21" t="s">
        <v>413</v>
      </c>
      <c r="P217" s="19"/>
      <c r="Q217" s="29">
        <f t="shared" si="11"/>
        <v>1</v>
      </c>
      <c r="R217" s="18" t="str">
        <f t="shared" si="10"/>
        <v>P01.000</v>
      </c>
    </row>
    <row r="218" spans="1:18">
      <c r="A218" s="10"/>
      <c r="B218" s="10"/>
      <c r="C218" s="10"/>
      <c r="D218" s="10">
        <f>INDEX(D:D,ROW()-1)+_xlfn.IFS(INDEX(E:E,ROW()-1)="s16",1,INDEX(E:E,ROW()-1)="s32",2,INDEX(E:E,ROW()-1)="s64",4,INDEX(E:E,ROW()-1)="u16",1,INDEX(E:E,ROW()-1)="u32",2,INDEX(E:E,ROW()-1)="u64",4,INDEX(E:E,ROW()-1)="f32",2,INDEX(E:E,ROW()-1)="f64",4)</f>
        <v>257</v>
      </c>
      <c r="E218" s="18" t="s">
        <v>34</v>
      </c>
      <c r="F218" s="21" t="s">
        <v>414</v>
      </c>
      <c r="G218" s="20" t="s">
        <v>23</v>
      </c>
      <c r="H218" s="20" t="s">
        <v>23</v>
      </c>
      <c r="I218" s="20" t="s">
        <v>35</v>
      </c>
      <c r="J218" s="10" t="s">
        <v>25</v>
      </c>
      <c r="K218" s="10" t="s">
        <v>26</v>
      </c>
      <c r="L218" s="10" t="s">
        <v>30</v>
      </c>
      <c r="M218" s="18" t="s">
        <v>28</v>
      </c>
      <c r="N218" s="10"/>
      <c r="O218" s="21" t="s">
        <v>415</v>
      </c>
      <c r="P218" s="19"/>
      <c r="Q218" s="29">
        <f t="shared" si="11"/>
        <v>1</v>
      </c>
      <c r="R218" s="18" t="str">
        <f t="shared" si="10"/>
        <v>P01.001</v>
      </c>
    </row>
    <row r="219" spans="1:18">
      <c r="A219" s="10"/>
      <c r="B219" s="10"/>
      <c r="C219" s="10"/>
      <c r="D219" s="10">
        <f>INDEX(D:D,ROW()-1)+_xlfn.IFS(INDEX(E:E,ROW()-1)="s16",1,INDEX(E:E,ROW()-1)="s32",2,INDEX(E:E,ROW()-1)="s64",4,INDEX(E:E,ROW()-1)="u16",1,INDEX(E:E,ROW()-1)="u32",2,INDEX(E:E,ROW()-1)="u64",4,INDEX(E:E,ROW()-1)="f32",2,INDEX(E:E,ROW()-1)="f64",4)</f>
        <v>258</v>
      </c>
      <c r="E219" s="18" t="s">
        <v>34</v>
      </c>
      <c r="F219" s="21" t="s">
        <v>416</v>
      </c>
      <c r="G219" s="20" t="s">
        <v>23</v>
      </c>
      <c r="H219" s="20" t="s">
        <v>23</v>
      </c>
      <c r="I219" s="20" t="s">
        <v>35</v>
      </c>
      <c r="J219" s="10" t="s">
        <v>25</v>
      </c>
      <c r="K219" s="10" t="s">
        <v>26</v>
      </c>
      <c r="L219" s="10" t="s">
        <v>30</v>
      </c>
      <c r="M219" s="18" t="s">
        <v>28</v>
      </c>
      <c r="N219" s="10"/>
      <c r="O219" s="21" t="s">
        <v>417</v>
      </c>
      <c r="P219" s="19"/>
      <c r="Q219" s="29">
        <f t="shared" si="11"/>
        <v>1</v>
      </c>
      <c r="R219" s="18" t="str">
        <f t="shared" si="10"/>
        <v>P01.002</v>
      </c>
    </row>
    <row r="220" spans="1:18">
      <c r="A220" s="10"/>
      <c r="B220" s="10"/>
      <c r="C220" s="10"/>
      <c r="D220" s="10">
        <f>INDEX(D:D,ROW()-1)+_xlfn.IFS(INDEX(E:E,ROW()-1)="s16",1,INDEX(E:E,ROW()-1)="s32",2,INDEX(E:E,ROW()-1)="s64",4,INDEX(E:E,ROW()-1)="u16",1,INDEX(E:E,ROW()-1)="u32",2,INDEX(E:E,ROW()-1)="u64",4,INDEX(E:E,ROW()-1)="f32",2,INDEX(E:E,ROW()-1)="f64",4)</f>
        <v>259</v>
      </c>
      <c r="E220" s="18" t="s">
        <v>34</v>
      </c>
      <c r="F220" s="21" t="s">
        <v>418</v>
      </c>
      <c r="G220" s="20" t="s">
        <v>23</v>
      </c>
      <c r="H220" s="20" t="s">
        <v>23</v>
      </c>
      <c r="I220" s="20" t="s">
        <v>35</v>
      </c>
      <c r="J220" s="10" t="s">
        <v>25</v>
      </c>
      <c r="K220" s="10" t="s">
        <v>26</v>
      </c>
      <c r="L220" s="10" t="s">
        <v>30</v>
      </c>
      <c r="M220" s="18" t="s">
        <v>28</v>
      </c>
      <c r="N220" s="10"/>
      <c r="O220" s="21" t="s">
        <v>419</v>
      </c>
      <c r="P220" s="19"/>
      <c r="Q220" s="29">
        <f t="shared" si="11"/>
        <v>1</v>
      </c>
      <c r="R220" s="18" t="str">
        <f t="shared" si="10"/>
        <v>P01.003</v>
      </c>
    </row>
    <row r="221" spans="1:18">
      <c r="A221" s="10"/>
      <c r="B221" s="10"/>
      <c r="C221" s="10"/>
      <c r="D221" s="10">
        <f>INDEX(D:D,ROW()-1)+_xlfn.IFS(INDEX(E:E,ROW()-1)="s16",1,INDEX(E:E,ROW()-1)="s32",2,INDEX(E:E,ROW()-1)="s64",4,INDEX(E:E,ROW()-1)="u16",1,INDEX(E:E,ROW()-1)="u32",2,INDEX(E:E,ROW()-1)="u64",4,INDEX(E:E,ROW()-1)="f32",2,INDEX(E:E,ROW()-1)="f64",4)</f>
        <v>260</v>
      </c>
      <c r="E221" s="18" t="s">
        <v>34</v>
      </c>
      <c r="F221" s="21" t="s">
        <v>420</v>
      </c>
      <c r="G221" s="20" t="s">
        <v>23</v>
      </c>
      <c r="H221" s="20" t="s">
        <v>23</v>
      </c>
      <c r="I221" s="20" t="s">
        <v>35</v>
      </c>
      <c r="J221" s="10" t="s">
        <v>25</v>
      </c>
      <c r="K221" s="10" t="s">
        <v>26</v>
      </c>
      <c r="L221" s="10" t="s">
        <v>30</v>
      </c>
      <c r="M221" s="18" t="s">
        <v>28</v>
      </c>
      <c r="N221" s="10"/>
      <c r="O221" s="21" t="s">
        <v>421</v>
      </c>
      <c r="P221" s="19"/>
      <c r="Q221" s="29">
        <f t="shared" si="11"/>
        <v>1</v>
      </c>
      <c r="R221" s="18" t="str">
        <f t="shared" si="10"/>
        <v>P01.004</v>
      </c>
    </row>
    <row r="222" spans="1:18">
      <c r="A222" s="10"/>
      <c r="B222" s="10"/>
      <c r="C222" s="10"/>
      <c r="D222" s="10">
        <f>INDEX(D:D,ROW()-1)+_xlfn.IFS(INDEX(E:E,ROW()-1)="s16",1,INDEX(E:E,ROW()-1)="s32",2,INDEX(E:E,ROW()-1)="s64",4,INDEX(E:E,ROW()-1)="u16",1,INDEX(E:E,ROW()-1)="u32",2,INDEX(E:E,ROW()-1)="u64",4,INDEX(E:E,ROW()-1)="f32",2,INDEX(E:E,ROW()-1)="f64",4)</f>
        <v>261</v>
      </c>
      <c r="E222" s="18" t="s">
        <v>34</v>
      </c>
      <c r="F222" s="21"/>
      <c r="G222" s="20" t="s">
        <v>23</v>
      </c>
      <c r="H222" s="20" t="s">
        <v>23</v>
      </c>
      <c r="I222" s="20" t="s">
        <v>35</v>
      </c>
      <c r="J222" s="10" t="s">
        <v>25</v>
      </c>
      <c r="K222" s="10" t="s">
        <v>26</v>
      </c>
      <c r="L222" s="10" t="s">
        <v>30</v>
      </c>
      <c r="M222" s="18" t="s">
        <v>28</v>
      </c>
      <c r="N222" s="10"/>
      <c r="O222" s="19"/>
      <c r="P222" s="19"/>
      <c r="Q222" s="29">
        <f t="shared" si="11"/>
        <v>1</v>
      </c>
      <c r="R222" s="10" t="str">
        <f t="shared" si="10"/>
        <v>P01.005</v>
      </c>
    </row>
    <row r="223" spans="1:18">
      <c r="A223" s="10"/>
      <c r="B223" s="10"/>
      <c r="C223" s="10"/>
      <c r="D223" s="10">
        <f>INDEX(D:D,ROW()-1)+_xlfn.IFS(INDEX(E:E,ROW()-1)="s16",1,INDEX(E:E,ROW()-1)="s32",2,INDEX(E:E,ROW()-1)="s64",4,INDEX(E:E,ROW()-1)="u16",1,INDEX(E:E,ROW()-1)="u32",2,INDEX(E:E,ROW()-1)="u64",4,INDEX(E:E,ROW()-1)="f32",2,INDEX(E:E,ROW()-1)="f64",4)</f>
        <v>262</v>
      </c>
      <c r="E223" s="18" t="s">
        <v>34</v>
      </c>
      <c r="F223" s="21"/>
      <c r="G223" s="20" t="s">
        <v>23</v>
      </c>
      <c r="H223" s="20" t="s">
        <v>23</v>
      </c>
      <c r="I223" s="20" t="s">
        <v>35</v>
      </c>
      <c r="J223" s="10" t="s">
        <v>25</v>
      </c>
      <c r="K223" s="10" t="s">
        <v>26</v>
      </c>
      <c r="L223" s="10" t="s">
        <v>30</v>
      </c>
      <c r="M223" s="18" t="s">
        <v>28</v>
      </c>
      <c r="N223" s="10"/>
      <c r="O223" s="19"/>
      <c r="P223" s="19"/>
      <c r="Q223" s="29">
        <f t="shared" si="11"/>
        <v>1</v>
      </c>
      <c r="R223" s="10" t="str">
        <f t="shared" si="10"/>
        <v>P01.006</v>
      </c>
    </row>
    <row r="224" spans="1:18">
      <c r="A224" s="10"/>
      <c r="B224" s="10"/>
      <c r="C224" s="10"/>
      <c r="D224" s="10">
        <f>INDEX(D:D,ROW()-1)+_xlfn.IFS(INDEX(E:E,ROW()-1)="s16",1,INDEX(E:E,ROW()-1)="s32",2,INDEX(E:E,ROW()-1)="s64",4,INDEX(E:E,ROW()-1)="u16",1,INDEX(E:E,ROW()-1)="u32",2,INDEX(E:E,ROW()-1)="u64",4,INDEX(E:E,ROW()-1)="f32",2,INDEX(E:E,ROW()-1)="f64",4)</f>
        <v>263</v>
      </c>
      <c r="E224" s="18" t="s">
        <v>34</v>
      </c>
      <c r="F224" s="21"/>
      <c r="G224" s="20" t="s">
        <v>23</v>
      </c>
      <c r="H224" s="20" t="s">
        <v>23</v>
      </c>
      <c r="I224" s="20" t="s">
        <v>35</v>
      </c>
      <c r="J224" s="10" t="s">
        <v>25</v>
      </c>
      <c r="K224" s="10" t="s">
        <v>26</v>
      </c>
      <c r="L224" s="10" t="s">
        <v>30</v>
      </c>
      <c r="M224" s="18" t="s">
        <v>28</v>
      </c>
      <c r="N224" s="10"/>
      <c r="O224" s="21"/>
      <c r="P224" s="19"/>
      <c r="Q224" s="29">
        <f t="shared" si="11"/>
        <v>1</v>
      </c>
      <c r="R224" s="18" t="str">
        <f t="shared" si="10"/>
        <v>P01.007</v>
      </c>
    </row>
    <row r="225" spans="1:18">
      <c r="A225" s="10"/>
      <c r="B225" s="10"/>
      <c r="C225" s="10"/>
      <c r="D225" s="10">
        <f>INDEX(D:D,ROW()-1)+_xlfn.IFS(INDEX(E:E,ROW()-1)="s16",1,INDEX(E:E,ROW()-1)="s32",2,INDEX(E:E,ROW()-1)="s64",4,INDEX(E:E,ROW()-1)="u16",1,INDEX(E:E,ROW()-1)="u32",2,INDEX(E:E,ROW()-1)="u64",4,INDEX(E:E,ROW()-1)="f32",2,INDEX(E:E,ROW()-1)="f64",4)</f>
        <v>264</v>
      </c>
      <c r="E225" s="18" t="s">
        <v>34</v>
      </c>
      <c r="F225" s="21"/>
      <c r="G225" s="20" t="s">
        <v>23</v>
      </c>
      <c r="H225" s="20" t="s">
        <v>23</v>
      </c>
      <c r="I225" s="20" t="s">
        <v>35</v>
      </c>
      <c r="J225" s="10" t="s">
        <v>25</v>
      </c>
      <c r="K225" s="10" t="s">
        <v>26</v>
      </c>
      <c r="L225" s="10" t="s">
        <v>30</v>
      </c>
      <c r="M225" s="18" t="s">
        <v>28</v>
      </c>
      <c r="N225" s="10"/>
      <c r="O225" s="21"/>
      <c r="P225" s="19"/>
      <c r="Q225" s="29">
        <f t="shared" si="11"/>
        <v>1</v>
      </c>
      <c r="R225" s="18" t="str">
        <f t="shared" si="10"/>
        <v>P01.008</v>
      </c>
    </row>
    <row r="226" spans="1:18">
      <c r="A226" s="10"/>
      <c r="B226" s="10"/>
      <c r="C226" s="10"/>
      <c r="D226" s="10">
        <f>INDEX(D:D,ROW()-1)+_xlfn.IFS(INDEX(E:E,ROW()-1)="s16",1,INDEX(E:E,ROW()-1)="s32",2,INDEX(E:E,ROW()-1)="s64",4,INDEX(E:E,ROW()-1)="u16",1,INDEX(E:E,ROW()-1)="u32",2,INDEX(E:E,ROW()-1)="u64",4,INDEX(E:E,ROW()-1)="f32",2,INDEX(E:E,ROW()-1)="f64",4)</f>
        <v>265</v>
      </c>
      <c r="E226" s="18" t="s">
        <v>34</v>
      </c>
      <c r="F226" s="21"/>
      <c r="G226" s="20" t="s">
        <v>23</v>
      </c>
      <c r="H226" s="20" t="s">
        <v>23</v>
      </c>
      <c r="I226" s="20" t="s">
        <v>35</v>
      </c>
      <c r="J226" s="10" t="s">
        <v>25</v>
      </c>
      <c r="K226" s="10" t="s">
        <v>26</v>
      </c>
      <c r="L226" s="10" t="s">
        <v>30</v>
      </c>
      <c r="M226" s="18" t="s">
        <v>28</v>
      </c>
      <c r="N226" s="10"/>
      <c r="O226" s="21"/>
      <c r="P226" s="19"/>
      <c r="Q226" s="29">
        <f t="shared" si="11"/>
        <v>1</v>
      </c>
      <c r="R226" s="18" t="str">
        <f t="shared" si="10"/>
        <v>P01.009</v>
      </c>
    </row>
    <row r="227" spans="1:18">
      <c r="A227" s="10"/>
      <c r="B227" s="10"/>
      <c r="C227" s="10"/>
      <c r="D227" s="10">
        <f>INDEX(D:D,ROW()-1)+_xlfn.IFS(INDEX(E:E,ROW()-1)="s16",1,INDEX(E:E,ROW()-1)="s32",2,INDEX(E:E,ROW()-1)="s64",4,INDEX(E:E,ROW()-1)="u16",1,INDEX(E:E,ROW()-1)="u32",2,INDEX(E:E,ROW()-1)="u64",4,INDEX(E:E,ROW()-1)="f32",2,INDEX(E:E,ROW()-1)="f64",4)</f>
        <v>266</v>
      </c>
      <c r="E227" s="18" t="s">
        <v>34</v>
      </c>
      <c r="F227" s="21"/>
      <c r="G227" s="20" t="s">
        <v>23</v>
      </c>
      <c r="H227" s="20" t="s">
        <v>23</v>
      </c>
      <c r="I227" s="20" t="s">
        <v>35</v>
      </c>
      <c r="J227" s="10" t="s">
        <v>25</v>
      </c>
      <c r="K227" s="10" t="s">
        <v>26</v>
      </c>
      <c r="L227" s="10" t="s">
        <v>30</v>
      </c>
      <c r="M227" s="18" t="s">
        <v>28</v>
      </c>
      <c r="N227" s="10"/>
      <c r="O227" s="21"/>
      <c r="P227" s="19"/>
      <c r="Q227" s="29">
        <f t="shared" si="11"/>
        <v>1</v>
      </c>
      <c r="R227" s="18" t="str">
        <f t="shared" si="10"/>
        <v>P01.010</v>
      </c>
    </row>
    <row r="228" spans="1:18">
      <c r="A228" s="10"/>
      <c r="B228" s="10"/>
      <c r="C228" s="10"/>
      <c r="D228" s="10">
        <f>INDEX(D:D,ROW()-1)+_xlfn.IFS(INDEX(E:E,ROW()-1)="s16",1,INDEX(E:E,ROW()-1)="s32",2,INDEX(E:E,ROW()-1)="s64",4,INDEX(E:E,ROW()-1)="u16",1,INDEX(E:E,ROW()-1)="u32",2,INDEX(E:E,ROW()-1)="u64",4,INDEX(E:E,ROW()-1)="f32",2,INDEX(E:E,ROW()-1)="f64",4)</f>
        <v>267</v>
      </c>
      <c r="E228" s="18" t="s">
        <v>34</v>
      </c>
      <c r="F228" s="21"/>
      <c r="G228" s="20" t="s">
        <v>23</v>
      </c>
      <c r="H228" s="20" t="s">
        <v>23</v>
      </c>
      <c r="I228" s="20" t="s">
        <v>35</v>
      </c>
      <c r="J228" s="10" t="s">
        <v>25</v>
      </c>
      <c r="K228" s="10" t="s">
        <v>26</v>
      </c>
      <c r="L228" s="10" t="s">
        <v>30</v>
      </c>
      <c r="M228" s="18" t="s">
        <v>28</v>
      </c>
      <c r="N228" s="10"/>
      <c r="O228" s="21"/>
      <c r="P228" s="19"/>
      <c r="Q228" s="29">
        <f t="shared" si="11"/>
        <v>1</v>
      </c>
      <c r="R228" s="18" t="str">
        <f t="shared" si="10"/>
        <v>P01.011</v>
      </c>
    </row>
    <row r="229" spans="1:18">
      <c r="A229" s="10"/>
      <c r="B229" s="10"/>
      <c r="C229" s="10"/>
      <c r="D229" s="10">
        <f>INDEX(D:D,ROW()-1)+_xlfn.IFS(INDEX(E:E,ROW()-1)="s16",1,INDEX(E:E,ROW()-1)="s32",2,INDEX(E:E,ROW()-1)="s64",4,INDEX(E:E,ROW()-1)="u16",1,INDEX(E:E,ROW()-1)="u32",2,INDEX(E:E,ROW()-1)="u64",4,INDEX(E:E,ROW()-1)="f32",2,INDEX(E:E,ROW()-1)="f64",4)</f>
        <v>268</v>
      </c>
      <c r="E229" s="18" t="s">
        <v>34</v>
      </c>
      <c r="F229" s="21"/>
      <c r="G229" s="20" t="s">
        <v>23</v>
      </c>
      <c r="H229" s="20" t="s">
        <v>23</v>
      </c>
      <c r="I229" s="20" t="s">
        <v>35</v>
      </c>
      <c r="J229" s="10" t="s">
        <v>25</v>
      </c>
      <c r="K229" s="10" t="s">
        <v>26</v>
      </c>
      <c r="L229" s="10" t="s">
        <v>30</v>
      </c>
      <c r="M229" s="18" t="s">
        <v>28</v>
      </c>
      <c r="N229" s="10"/>
      <c r="O229" s="21"/>
      <c r="P229" s="19"/>
      <c r="Q229" s="29">
        <f t="shared" si="11"/>
        <v>1</v>
      </c>
      <c r="R229" s="18" t="str">
        <f t="shared" si="10"/>
        <v>P01.012</v>
      </c>
    </row>
    <row r="230" spans="1:18">
      <c r="A230" s="10"/>
      <c r="B230" s="10"/>
      <c r="C230" s="10"/>
      <c r="D230" s="10">
        <f>INDEX(D:D,ROW()-1)+_xlfn.IFS(INDEX(E:E,ROW()-1)="s16",1,INDEX(E:E,ROW()-1)="s32",2,INDEX(E:E,ROW()-1)="s64",4,INDEX(E:E,ROW()-1)="u16",1,INDEX(E:E,ROW()-1)="u32",2,INDEX(E:E,ROW()-1)="u64",4,INDEX(E:E,ROW()-1)="f32",2,INDEX(E:E,ROW()-1)="f64",4)</f>
        <v>269</v>
      </c>
      <c r="E230" s="18" t="s">
        <v>34</v>
      </c>
      <c r="F230" s="21"/>
      <c r="G230" s="20" t="s">
        <v>23</v>
      </c>
      <c r="H230" s="20" t="s">
        <v>23</v>
      </c>
      <c r="I230" s="20" t="s">
        <v>35</v>
      </c>
      <c r="J230" s="10" t="s">
        <v>25</v>
      </c>
      <c r="K230" s="10" t="s">
        <v>26</v>
      </c>
      <c r="L230" s="10" t="s">
        <v>30</v>
      </c>
      <c r="M230" s="18" t="s">
        <v>28</v>
      </c>
      <c r="N230" s="10"/>
      <c r="O230" s="21"/>
      <c r="P230" s="19"/>
      <c r="Q230" s="29">
        <f t="shared" si="11"/>
        <v>1</v>
      </c>
      <c r="R230" s="18" t="str">
        <f t="shared" si="10"/>
        <v>P01.013</v>
      </c>
    </row>
    <row r="231" spans="1:18">
      <c r="A231" s="10"/>
      <c r="B231" s="10"/>
      <c r="C231" s="10"/>
      <c r="D231" s="10">
        <f>INDEX(D:D,ROW()-1)+_xlfn.IFS(INDEX(E:E,ROW()-1)="s16",1,INDEX(E:E,ROW()-1)="s32",2,INDEX(E:E,ROW()-1)="s64",4,INDEX(E:E,ROW()-1)="u16",1,INDEX(E:E,ROW()-1)="u32",2,INDEX(E:E,ROW()-1)="u64",4,INDEX(E:E,ROW()-1)="f32",2,INDEX(E:E,ROW()-1)="f64",4)</f>
        <v>270</v>
      </c>
      <c r="E231" s="18" t="s">
        <v>34</v>
      </c>
      <c r="F231" s="21"/>
      <c r="G231" s="20" t="s">
        <v>23</v>
      </c>
      <c r="H231" s="20" t="s">
        <v>23</v>
      </c>
      <c r="I231" s="20" t="s">
        <v>35</v>
      </c>
      <c r="J231" s="10" t="s">
        <v>25</v>
      </c>
      <c r="K231" s="10" t="s">
        <v>62</v>
      </c>
      <c r="L231" s="10" t="s">
        <v>30</v>
      </c>
      <c r="M231" s="18" t="s">
        <v>28</v>
      </c>
      <c r="N231" s="10"/>
      <c r="O231" s="21" t="s">
        <v>422</v>
      </c>
      <c r="P231" s="19"/>
      <c r="Q231" s="29">
        <f t="shared" si="11"/>
        <v>1</v>
      </c>
      <c r="R231" s="18" t="str">
        <f t="shared" si="10"/>
        <v>P01.014</v>
      </c>
    </row>
    <row r="232" spans="1:18">
      <c r="A232" s="10"/>
      <c r="B232" s="10"/>
      <c r="C232" s="10"/>
      <c r="D232" s="10">
        <f>INDEX(D:D,ROW()-1)+_xlfn.IFS(INDEX(E:E,ROW()-1)="s16",1,INDEX(E:E,ROW()-1)="s32",2,INDEX(E:E,ROW()-1)="s64",4,INDEX(E:E,ROW()-1)="u16",1,INDEX(E:E,ROW()-1)="u32",2,INDEX(E:E,ROW()-1)="u64",4,INDEX(E:E,ROW()-1)="f32",2,INDEX(E:E,ROW()-1)="f64",4)</f>
        <v>271</v>
      </c>
      <c r="E232" s="18" t="s">
        <v>34</v>
      </c>
      <c r="F232" s="21"/>
      <c r="G232" s="20" t="s">
        <v>23</v>
      </c>
      <c r="H232" s="20" t="s">
        <v>23</v>
      </c>
      <c r="I232" s="20" t="s">
        <v>35</v>
      </c>
      <c r="J232" s="10" t="s">
        <v>25</v>
      </c>
      <c r="K232" s="10" t="s">
        <v>62</v>
      </c>
      <c r="L232" s="10" t="s">
        <v>30</v>
      </c>
      <c r="M232" s="18" t="s">
        <v>28</v>
      </c>
      <c r="N232" s="10"/>
      <c r="O232" s="21"/>
      <c r="P232" s="19"/>
      <c r="Q232" s="29">
        <f t="shared" si="11"/>
        <v>1</v>
      </c>
      <c r="R232" s="18" t="str">
        <f t="shared" si="10"/>
        <v>P01.015</v>
      </c>
    </row>
    <row r="233" spans="1:18">
      <c r="A233" s="10"/>
      <c r="B233" s="10"/>
      <c r="C233" s="10"/>
      <c r="D233" s="10">
        <f>INDEX(D:D,ROW()-1)+_xlfn.IFS(INDEX(E:E,ROW()-1)="s16",1,INDEX(E:E,ROW()-1)="s32",2,INDEX(E:E,ROW()-1)="s64",4,INDEX(E:E,ROW()-1)="u16",1,INDEX(E:E,ROW()-1)="u32",2,INDEX(E:E,ROW()-1)="u64",4,INDEX(E:E,ROW()-1)="f32",2,INDEX(E:E,ROW()-1)="f64",4)</f>
        <v>272</v>
      </c>
      <c r="E233" s="18" t="s">
        <v>34</v>
      </c>
      <c r="F233" s="21"/>
      <c r="G233" s="20" t="s">
        <v>23</v>
      </c>
      <c r="H233" s="20" t="s">
        <v>23</v>
      </c>
      <c r="I233" s="20" t="s">
        <v>35</v>
      </c>
      <c r="J233" s="10" t="s">
        <v>25</v>
      </c>
      <c r="K233" s="10" t="s">
        <v>62</v>
      </c>
      <c r="L233" s="10" t="s">
        <v>30</v>
      </c>
      <c r="M233" s="18" t="s">
        <v>28</v>
      </c>
      <c r="N233" s="10"/>
      <c r="O233" s="21" t="s">
        <v>423</v>
      </c>
      <c r="P233" s="19"/>
      <c r="Q233" s="29">
        <f t="shared" si="11"/>
        <v>1</v>
      </c>
      <c r="R233" s="18" t="str">
        <f t="shared" si="10"/>
        <v>P01.016</v>
      </c>
    </row>
    <row r="234" spans="1:18">
      <c r="A234" s="10"/>
      <c r="B234" s="10"/>
      <c r="C234" s="10"/>
      <c r="D234" s="10">
        <f>INDEX(D:D,ROW()-1)+_xlfn.IFS(INDEX(E:E,ROW()-1)="s16",1,INDEX(E:E,ROW()-1)="s32",2,INDEX(E:E,ROW()-1)="s64",4,INDEX(E:E,ROW()-1)="u16",1,INDEX(E:E,ROW()-1)="u32",2,INDEX(E:E,ROW()-1)="u64",4,INDEX(E:E,ROW()-1)="f32",2,INDEX(E:E,ROW()-1)="f64",4)</f>
        <v>273</v>
      </c>
      <c r="E234" s="18" t="s">
        <v>34</v>
      </c>
      <c r="F234" s="21"/>
      <c r="G234" s="20" t="s">
        <v>23</v>
      </c>
      <c r="H234" s="20" t="s">
        <v>23</v>
      </c>
      <c r="I234" s="20" t="s">
        <v>35</v>
      </c>
      <c r="J234" s="10" t="s">
        <v>25</v>
      </c>
      <c r="K234" s="10" t="s">
        <v>26</v>
      </c>
      <c r="L234" s="10" t="s">
        <v>30</v>
      </c>
      <c r="M234" s="18" t="s">
        <v>28</v>
      </c>
      <c r="N234" s="10"/>
      <c r="O234" s="21"/>
      <c r="P234" s="19"/>
      <c r="Q234" s="29">
        <f t="shared" si="11"/>
        <v>1</v>
      </c>
      <c r="R234" s="18" t="str">
        <f t="shared" si="10"/>
        <v>P01.017</v>
      </c>
    </row>
    <row r="235" spans="1:18">
      <c r="A235" s="10"/>
      <c r="B235" s="10"/>
      <c r="C235" s="10"/>
      <c r="D235" s="10">
        <f>INDEX(D:D,ROW()-1)+_xlfn.IFS(INDEX(E:E,ROW()-1)="s16",1,INDEX(E:E,ROW()-1)="s32",2,INDEX(E:E,ROW()-1)="s64",4,INDEX(E:E,ROW()-1)="u16",1,INDEX(E:E,ROW()-1)="u32",2,INDEX(E:E,ROW()-1)="u64",4,INDEX(E:E,ROW()-1)="f32",2,INDEX(E:E,ROW()-1)="f64",4)</f>
        <v>274</v>
      </c>
      <c r="E235" s="18" t="s">
        <v>34</v>
      </c>
      <c r="F235" s="21"/>
      <c r="G235" s="20" t="s">
        <v>23</v>
      </c>
      <c r="H235" s="20" t="s">
        <v>23</v>
      </c>
      <c r="I235" s="20" t="s">
        <v>35</v>
      </c>
      <c r="J235" s="10" t="s">
        <v>25</v>
      </c>
      <c r="K235" s="10" t="s">
        <v>26</v>
      </c>
      <c r="L235" s="10" t="s">
        <v>30</v>
      </c>
      <c r="M235" s="18" t="s">
        <v>28</v>
      </c>
      <c r="N235" s="10"/>
      <c r="O235" s="21"/>
      <c r="P235" s="19"/>
      <c r="Q235" s="29">
        <f t="shared" si="11"/>
        <v>1</v>
      </c>
      <c r="R235" s="18" t="str">
        <f t="shared" si="10"/>
        <v>P01.018</v>
      </c>
    </row>
    <row r="236" spans="1:18">
      <c r="A236" s="10"/>
      <c r="B236" s="10"/>
      <c r="C236" s="10"/>
      <c r="D236" s="10">
        <f>INDEX(D:D,ROW()-1)+_xlfn.IFS(INDEX(E:E,ROW()-1)="s16",1,INDEX(E:E,ROW()-1)="s32",2,INDEX(E:E,ROW()-1)="s64",4,INDEX(E:E,ROW()-1)="u16",1,INDEX(E:E,ROW()-1)="u32",2,INDEX(E:E,ROW()-1)="u64",4,INDEX(E:E,ROW()-1)="f32",2,INDEX(E:E,ROW()-1)="f64",4)</f>
        <v>275</v>
      </c>
      <c r="E236" s="18" t="s">
        <v>34</v>
      </c>
      <c r="F236" s="19"/>
      <c r="G236" s="20" t="s">
        <v>23</v>
      </c>
      <c r="H236" s="20" t="s">
        <v>23</v>
      </c>
      <c r="I236" s="20" t="s">
        <v>35</v>
      </c>
      <c r="J236" s="10" t="s">
        <v>25</v>
      </c>
      <c r="K236" s="10" t="s">
        <v>26</v>
      </c>
      <c r="L236" s="10" t="s">
        <v>30</v>
      </c>
      <c r="M236" s="18" t="s">
        <v>28</v>
      </c>
      <c r="N236" s="10"/>
      <c r="O236" s="19"/>
      <c r="P236" s="19"/>
      <c r="Q236" s="29">
        <f t="shared" si="11"/>
        <v>1</v>
      </c>
      <c r="R236" s="10" t="str">
        <f t="shared" si="10"/>
        <v>P01.019</v>
      </c>
    </row>
    <row r="237" spans="1:18">
      <c r="A237" s="10"/>
      <c r="B237" s="10"/>
      <c r="C237" s="10"/>
      <c r="D237" s="10">
        <f>INDEX(D:D,ROW()-1)+_xlfn.IFS(INDEX(E:E,ROW()-1)="s16",1,INDEX(E:E,ROW()-1)="s32",2,INDEX(E:E,ROW()-1)="s64",4,INDEX(E:E,ROW()-1)="u16",1,INDEX(E:E,ROW()-1)="u32",2,INDEX(E:E,ROW()-1)="u64",4,INDEX(E:E,ROW()-1)="f32",2,INDEX(E:E,ROW()-1)="f64",4)</f>
        <v>276</v>
      </c>
      <c r="E237" s="18" t="s">
        <v>34</v>
      </c>
      <c r="F237" s="19"/>
      <c r="G237" s="20" t="s">
        <v>23</v>
      </c>
      <c r="H237" s="20" t="s">
        <v>23</v>
      </c>
      <c r="I237" s="20" t="s">
        <v>35</v>
      </c>
      <c r="J237" s="10" t="s">
        <v>25</v>
      </c>
      <c r="K237" s="10" t="s">
        <v>26</v>
      </c>
      <c r="L237" s="10" t="s">
        <v>30</v>
      </c>
      <c r="M237" s="18" t="s">
        <v>28</v>
      </c>
      <c r="N237" s="10"/>
      <c r="O237" s="19"/>
      <c r="P237" s="19"/>
      <c r="Q237" s="29">
        <f t="shared" si="11"/>
        <v>1</v>
      </c>
      <c r="R237" s="10" t="str">
        <f t="shared" si="10"/>
        <v>P01.020</v>
      </c>
    </row>
    <row r="238" spans="1:18">
      <c r="A238" s="10"/>
      <c r="B238" s="10"/>
      <c r="C238" s="10"/>
      <c r="D238" s="10">
        <f>INDEX(D:D,ROW()-1)+_xlfn.IFS(INDEX(E:E,ROW()-1)="s16",1,INDEX(E:E,ROW()-1)="s32",2,INDEX(E:E,ROW()-1)="s64",4,INDEX(E:E,ROW()-1)="u16",1,INDEX(E:E,ROW()-1)="u32",2,INDEX(E:E,ROW()-1)="u64",4,INDEX(E:E,ROW()-1)="f32",2,INDEX(E:E,ROW()-1)="f64",4)</f>
        <v>277</v>
      </c>
      <c r="E238" s="18" t="s">
        <v>34</v>
      </c>
      <c r="F238" s="19"/>
      <c r="G238" s="20" t="s">
        <v>23</v>
      </c>
      <c r="H238" s="20" t="s">
        <v>23</v>
      </c>
      <c r="I238" s="20" t="s">
        <v>35</v>
      </c>
      <c r="J238" s="10" t="s">
        <v>25</v>
      </c>
      <c r="K238" s="10" t="s">
        <v>62</v>
      </c>
      <c r="L238" s="10" t="s">
        <v>30</v>
      </c>
      <c r="M238" s="18" t="s">
        <v>28</v>
      </c>
      <c r="N238" s="10"/>
      <c r="O238" s="21" t="s">
        <v>424</v>
      </c>
      <c r="P238" s="19"/>
      <c r="Q238" s="29">
        <f t="shared" si="11"/>
        <v>1</v>
      </c>
      <c r="R238" s="18" t="str">
        <f t="shared" si="10"/>
        <v>P01.021</v>
      </c>
    </row>
    <row r="239" spans="1:18">
      <c r="A239" s="10"/>
      <c r="B239" s="10"/>
      <c r="C239" s="10"/>
      <c r="D239" s="10">
        <f>INDEX(D:D,ROW()-1)+_xlfn.IFS(INDEX(E:E,ROW()-1)="s16",1,INDEX(E:E,ROW()-1)="s32",2,INDEX(E:E,ROW()-1)="s64",4,INDEX(E:E,ROW()-1)="u16",1,INDEX(E:E,ROW()-1)="u32",2,INDEX(E:E,ROW()-1)="u64",4,INDEX(E:E,ROW()-1)="f32",2,INDEX(E:E,ROW()-1)="f64",4)</f>
        <v>278</v>
      </c>
      <c r="E239" s="18" t="s">
        <v>34</v>
      </c>
      <c r="F239" s="19"/>
      <c r="G239" s="20" t="s">
        <v>23</v>
      </c>
      <c r="H239" s="20" t="s">
        <v>23</v>
      </c>
      <c r="I239" s="20" t="s">
        <v>35</v>
      </c>
      <c r="J239" s="10" t="s">
        <v>25</v>
      </c>
      <c r="K239" s="10" t="s">
        <v>62</v>
      </c>
      <c r="L239" s="10" t="s">
        <v>30</v>
      </c>
      <c r="M239" s="18" t="s">
        <v>28</v>
      </c>
      <c r="N239" s="10"/>
      <c r="O239" s="21" t="s">
        <v>425</v>
      </c>
      <c r="P239" s="19"/>
      <c r="Q239" s="29">
        <f t="shared" si="11"/>
        <v>1</v>
      </c>
      <c r="R239" s="18" t="str">
        <f t="shared" si="10"/>
        <v>P01.022</v>
      </c>
    </row>
    <row r="240" spans="1:18">
      <c r="A240" s="10"/>
      <c r="B240" s="10"/>
      <c r="C240" s="10"/>
      <c r="D240" s="10">
        <f>INDEX(D:D,ROW()-1)+_xlfn.IFS(INDEX(E:E,ROW()-1)="s16",1,INDEX(E:E,ROW()-1)="s32",2,INDEX(E:E,ROW()-1)="s64",4,INDEX(E:E,ROW()-1)="u16",1,INDEX(E:E,ROW()-1)="u32",2,INDEX(E:E,ROW()-1)="u64",4,INDEX(E:E,ROW()-1)="f32",2,INDEX(E:E,ROW()-1)="f64",4)</f>
        <v>279</v>
      </c>
      <c r="E240" s="18" t="s">
        <v>34</v>
      </c>
      <c r="F240" s="19"/>
      <c r="G240" s="20" t="s">
        <v>23</v>
      </c>
      <c r="H240" s="20" t="s">
        <v>23</v>
      </c>
      <c r="I240" s="20" t="s">
        <v>35</v>
      </c>
      <c r="J240" s="10" t="s">
        <v>25</v>
      </c>
      <c r="K240" s="10" t="s">
        <v>26</v>
      </c>
      <c r="L240" s="10" t="s">
        <v>30</v>
      </c>
      <c r="M240" s="18" t="s">
        <v>28</v>
      </c>
      <c r="N240" s="10"/>
      <c r="O240" s="19"/>
      <c r="P240" s="19"/>
      <c r="Q240" s="29">
        <f t="shared" si="11"/>
        <v>1</v>
      </c>
      <c r="R240" s="10" t="str">
        <f t="shared" si="10"/>
        <v>P01.023</v>
      </c>
    </row>
    <row r="241" spans="1:18">
      <c r="A241" s="10"/>
      <c r="B241" s="10"/>
      <c r="C241" s="10"/>
      <c r="D241" s="10">
        <f>INDEX(D:D,ROW()-1)+_xlfn.IFS(INDEX(E:E,ROW()-1)="s16",1,INDEX(E:E,ROW()-1)="s32",2,INDEX(E:E,ROW()-1)="s64",4,INDEX(E:E,ROW()-1)="u16",1,INDEX(E:E,ROW()-1)="u32",2,INDEX(E:E,ROW()-1)="u64",4,INDEX(E:E,ROW()-1)="f32",2,INDEX(E:E,ROW()-1)="f64",4)</f>
        <v>280</v>
      </c>
      <c r="E241" s="18" t="s">
        <v>34</v>
      </c>
      <c r="F241" s="19"/>
      <c r="G241" s="20" t="s">
        <v>23</v>
      </c>
      <c r="H241" s="20" t="s">
        <v>23</v>
      </c>
      <c r="I241" s="20" t="s">
        <v>35</v>
      </c>
      <c r="J241" s="10" t="s">
        <v>25</v>
      </c>
      <c r="K241" s="10" t="s">
        <v>26</v>
      </c>
      <c r="L241" s="10" t="s">
        <v>30</v>
      </c>
      <c r="M241" s="18" t="s">
        <v>28</v>
      </c>
      <c r="N241" s="10"/>
      <c r="O241" s="19"/>
      <c r="P241" s="19"/>
      <c r="Q241" s="29">
        <f t="shared" si="11"/>
        <v>1</v>
      </c>
      <c r="R241" s="10" t="str">
        <f t="shared" si="10"/>
        <v>P01.024</v>
      </c>
    </row>
    <row r="242" spans="1:18">
      <c r="A242" s="10"/>
      <c r="B242" s="10"/>
      <c r="C242" s="10"/>
      <c r="D242" s="10">
        <f>INDEX(D:D,ROW()-1)+_xlfn.IFS(INDEX(E:E,ROW()-1)="s16",1,INDEX(E:E,ROW()-1)="s32",2,INDEX(E:E,ROW()-1)="s64",4,INDEX(E:E,ROW()-1)="u16",1,INDEX(E:E,ROW()-1)="u32",2,INDEX(E:E,ROW()-1)="u64",4,INDEX(E:E,ROW()-1)="f32",2,INDEX(E:E,ROW()-1)="f64",4)</f>
        <v>281</v>
      </c>
      <c r="E242" s="18" t="s">
        <v>34</v>
      </c>
      <c r="F242" s="19"/>
      <c r="G242" s="20" t="s">
        <v>23</v>
      </c>
      <c r="H242" s="20" t="s">
        <v>23</v>
      </c>
      <c r="I242" s="20" t="s">
        <v>35</v>
      </c>
      <c r="J242" s="10" t="s">
        <v>25</v>
      </c>
      <c r="K242" s="10" t="s">
        <v>26</v>
      </c>
      <c r="L242" s="10" t="s">
        <v>30</v>
      </c>
      <c r="M242" s="18" t="s">
        <v>28</v>
      </c>
      <c r="N242" s="10"/>
      <c r="O242" s="19"/>
      <c r="P242" s="19"/>
      <c r="Q242" s="29">
        <f t="shared" ref="Q242:Q273" si="12">IF(OR(F242="",LEFT(TRIM(F242),3)=E242),1,0)</f>
        <v>1</v>
      </c>
      <c r="R242" s="10" t="str">
        <f t="shared" si="10"/>
        <v>P01.025</v>
      </c>
    </row>
    <row r="243" spans="1:18">
      <c r="A243" s="10"/>
      <c r="B243" s="10"/>
      <c r="C243" s="10"/>
      <c r="D243" s="10">
        <f>INDEX(D:D,ROW()-1)+_xlfn.IFS(INDEX(E:E,ROW()-1)="s16",1,INDEX(E:E,ROW()-1)="s32",2,INDEX(E:E,ROW()-1)="s64",4,INDEX(E:E,ROW()-1)="u16",1,INDEX(E:E,ROW()-1)="u32",2,INDEX(E:E,ROW()-1)="u64",4,INDEX(E:E,ROW()-1)="f32",2,INDEX(E:E,ROW()-1)="f64",4)</f>
        <v>282</v>
      </c>
      <c r="E243" s="18" t="s">
        <v>34</v>
      </c>
      <c r="F243" s="19"/>
      <c r="G243" s="20" t="s">
        <v>23</v>
      </c>
      <c r="H243" s="20" t="s">
        <v>23</v>
      </c>
      <c r="I243" s="20" t="s">
        <v>35</v>
      </c>
      <c r="J243" s="10" t="s">
        <v>25</v>
      </c>
      <c r="K243" s="10" t="s">
        <v>62</v>
      </c>
      <c r="L243" s="10" t="s">
        <v>30</v>
      </c>
      <c r="M243" s="18" t="s">
        <v>28</v>
      </c>
      <c r="N243" s="10"/>
      <c r="O243" s="19"/>
      <c r="P243" s="19"/>
      <c r="Q243" s="29">
        <f t="shared" si="12"/>
        <v>1</v>
      </c>
      <c r="R243" s="10" t="str">
        <f t="shared" si="10"/>
        <v>P01.026</v>
      </c>
    </row>
    <row r="244" spans="1:18">
      <c r="A244" s="10"/>
      <c r="B244" s="10"/>
      <c r="C244" s="10"/>
      <c r="D244" s="10">
        <f>INDEX(D:D,ROW()-1)+_xlfn.IFS(INDEX(E:E,ROW()-1)="s16",1,INDEX(E:E,ROW()-1)="s32",2,INDEX(E:E,ROW()-1)="s64",4,INDEX(E:E,ROW()-1)="u16",1,INDEX(E:E,ROW()-1)="u32",2,INDEX(E:E,ROW()-1)="u64",4,INDEX(E:E,ROW()-1)="f32",2,INDEX(E:E,ROW()-1)="f64",4)</f>
        <v>283</v>
      </c>
      <c r="E244" s="18" t="s">
        <v>34</v>
      </c>
      <c r="F244" s="19"/>
      <c r="G244" s="20" t="s">
        <v>23</v>
      </c>
      <c r="H244" s="20" t="s">
        <v>23</v>
      </c>
      <c r="I244" s="20" t="s">
        <v>35</v>
      </c>
      <c r="J244" s="10" t="s">
        <v>25</v>
      </c>
      <c r="K244" s="10" t="s">
        <v>26</v>
      </c>
      <c r="L244" s="10" t="s">
        <v>30</v>
      </c>
      <c r="M244" s="18" t="s">
        <v>28</v>
      </c>
      <c r="N244" s="10"/>
      <c r="O244" s="19"/>
      <c r="P244" s="19"/>
      <c r="Q244" s="29">
        <f t="shared" si="12"/>
        <v>1</v>
      </c>
      <c r="R244" s="10" t="str">
        <f t="shared" si="10"/>
        <v>P01.027</v>
      </c>
    </row>
    <row r="245" spans="1:18">
      <c r="A245" s="10"/>
      <c r="B245" s="10"/>
      <c r="C245" s="10"/>
      <c r="D245" s="10">
        <f>INDEX(D:D,ROW()-1)+_xlfn.IFS(INDEX(E:E,ROW()-1)="s16",1,INDEX(E:E,ROW()-1)="s32",2,INDEX(E:E,ROW()-1)="s64",4,INDEX(E:E,ROW()-1)="u16",1,INDEX(E:E,ROW()-1)="u32",2,INDEX(E:E,ROW()-1)="u64",4,INDEX(E:E,ROW()-1)="f32",2,INDEX(E:E,ROW()-1)="f64",4)</f>
        <v>284</v>
      </c>
      <c r="E245" s="18" t="s">
        <v>34</v>
      </c>
      <c r="F245" s="19"/>
      <c r="G245" s="20" t="s">
        <v>23</v>
      </c>
      <c r="H245" s="20" t="s">
        <v>23</v>
      </c>
      <c r="I245" s="20" t="s">
        <v>35</v>
      </c>
      <c r="J245" s="10" t="s">
        <v>25</v>
      </c>
      <c r="K245" s="10" t="s">
        <v>26</v>
      </c>
      <c r="L245" s="10" t="s">
        <v>30</v>
      </c>
      <c r="M245" s="18" t="s">
        <v>28</v>
      </c>
      <c r="N245" s="10"/>
      <c r="O245" s="19"/>
      <c r="P245" s="19"/>
      <c r="Q245" s="29">
        <f t="shared" si="12"/>
        <v>1</v>
      </c>
      <c r="R245" s="10" t="str">
        <f t="shared" si="10"/>
        <v>P01.028</v>
      </c>
    </row>
    <row r="246" spans="1:18">
      <c r="A246" s="10"/>
      <c r="B246" s="10"/>
      <c r="C246" s="10"/>
      <c r="D246" s="10">
        <f>INDEX(D:D,ROW()-1)+_xlfn.IFS(INDEX(E:E,ROW()-1)="s16",1,INDEX(E:E,ROW()-1)="s32",2,INDEX(E:E,ROW()-1)="s64",4,INDEX(E:E,ROW()-1)="u16",1,INDEX(E:E,ROW()-1)="u32",2,INDEX(E:E,ROW()-1)="u64",4,INDEX(E:E,ROW()-1)="f32",2,INDEX(E:E,ROW()-1)="f64",4)</f>
        <v>285</v>
      </c>
      <c r="E246" s="18" t="s">
        <v>34</v>
      </c>
      <c r="F246" s="19"/>
      <c r="G246" s="20" t="s">
        <v>23</v>
      </c>
      <c r="H246" s="20" t="s">
        <v>23</v>
      </c>
      <c r="I246" s="20" t="s">
        <v>35</v>
      </c>
      <c r="J246" s="10" t="s">
        <v>25</v>
      </c>
      <c r="K246" s="10" t="s">
        <v>26</v>
      </c>
      <c r="L246" s="10" t="s">
        <v>30</v>
      </c>
      <c r="M246" s="18" t="s">
        <v>28</v>
      </c>
      <c r="N246" s="10"/>
      <c r="O246" s="19"/>
      <c r="P246" s="19"/>
      <c r="Q246" s="29">
        <f t="shared" si="12"/>
        <v>1</v>
      </c>
      <c r="R246" s="10" t="str">
        <f t="shared" si="10"/>
        <v>P01.029</v>
      </c>
    </row>
    <row r="247" spans="1:18">
      <c r="A247" s="10"/>
      <c r="B247" s="10"/>
      <c r="C247" s="10"/>
      <c r="D247" s="10">
        <f>INDEX(D:D,ROW()-1)+_xlfn.IFS(INDEX(E:E,ROW()-1)="s16",1,INDEX(E:E,ROW()-1)="s32",2,INDEX(E:E,ROW()-1)="s64",4,INDEX(E:E,ROW()-1)="u16",1,INDEX(E:E,ROW()-1)="u32",2,INDEX(E:E,ROW()-1)="u64",4,INDEX(E:E,ROW()-1)="f32",2,INDEX(E:E,ROW()-1)="f64",4)</f>
        <v>286</v>
      </c>
      <c r="E247" s="18" t="s">
        <v>34</v>
      </c>
      <c r="F247" s="19"/>
      <c r="G247" s="20" t="s">
        <v>23</v>
      </c>
      <c r="H247" s="20" t="s">
        <v>23</v>
      </c>
      <c r="I247" s="20" t="s">
        <v>35</v>
      </c>
      <c r="J247" s="10" t="s">
        <v>25</v>
      </c>
      <c r="K247" s="10" t="s">
        <v>26</v>
      </c>
      <c r="L247" s="10" t="s">
        <v>30</v>
      </c>
      <c r="M247" s="18" t="s">
        <v>28</v>
      </c>
      <c r="N247" s="10"/>
      <c r="O247" s="19"/>
      <c r="P247" s="19"/>
      <c r="Q247" s="29">
        <f t="shared" si="12"/>
        <v>1</v>
      </c>
      <c r="R247" s="10" t="str">
        <f t="shared" si="10"/>
        <v>P01.030</v>
      </c>
    </row>
    <row r="248" spans="1:18">
      <c r="A248" s="10"/>
      <c r="B248" s="10"/>
      <c r="C248" s="10"/>
      <c r="D248" s="10">
        <f>INDEX(D:D,ROW()-1)+_xlfn.IFS(INDEX(E:E,ROW()-1)="s16",1,INDEX(E:E,ROW()-1)="s32",2,INDEX(E:E,ROW()-1)="s64",4,INDEX(E:E,ROW()-1)="u16",1,INDEX(E:E,ROW()-1)="u32",2,INDEX(E:E,ROW()-1)="u64",4,INDEX(E:E,ROW()-1)="f32",2,INDEX(E:E,ROW()-1)="f64",4)</f>
        <v>287</v>
      </c>
      <c r="E248" s="18" t="s">
        <v>34</v>
      </c>
      <c r="F248" s="19"/>
      <c r="G248" s="20" t="s">
        <v>23</v>
      </c>
      <c r="H248" s="20" t="s">
        <v>23</v>
      </c>
      <c r="I248" s="20" t="s">
        <v>35</v>
      </c>
      <c r="J248" s="10" t="s">
        <v>25</v>
      </c>
      <c r="K248" s="10" t="s">
        <v>26</v>
      </c>
      <c r="L248" s="10" t="s">
        <v>30</v>
      </c>
      <c r="M248" s="18" t="s">
        <v>28</v>
      </c>
      <c r="N248" s="10"/>
      <c r="O248" s="19"/>
      <c r="P248" s="19"/>
      <c r="Q248" s="29">
        <f t="shared" si="12"/>
        <v>1</v>
      </c>
      <c r="R248" s="10" t="str">
        <f t="shared" si="10"/>
        <v>P01.031</v>
      </c>
    </row>
    <row r="249" spans="1:18">
      <c r="A249" s="10"/>
      <c r="B249" s="10"/>
      <c r="C249" s="10"/>
      <c r="D249" s="10">
        <f>INDEX(D:D,ROW()-1)+_xlfn.IFS(INDEX(E:E,ROW()-1)="s16",1,INDEX(E:E,ROW()-1)="s32",2,INDEX(E:E,ROW()-1)="s64",4,INDEX(E:E,ROW()-1)="u16",1,INDEX(E:E,ROW()-1)="u32",2,INDEX(E:E,ROW()-1)="u64",4,INDEX(E:E,ROW()-1)="f32",2,INDEX(E:E,ROW()-1)="f64",4)</f>
        <v>288</v>
      </c>
      <c r="E249" s="18" t="s">
        <v>34</v>
      </c>
      <c r="F249" s="19"/>
      <c r="G249" s="20" t="s">
        <v>23</v>
      </c>
      <c r="H249" s="20" t="s">
        <v>23</v>
      </c>
      <c r="I249" s="20" t="s">
        <v>35</v>
      </c>
      <c r="J249" s="10" t="s">
        <v>25</v>
      </c>
      <c r="K249" s="10" t="s">
        <v>26</v>
      </c>
      <c r="L249" s="10" t="s">
        <v>30</v>
      </c>
      <c r="M249" s="18" t="s">
        <v>28</v>
      </c>
      <c r="N249" s="10"/>
      <c r="O249" s="19"/>
      <c r="P249" s="19"/>
      <c r="Q249" s="29">
        <f t="shared" si="12"/>
        <v>1</v>
      </c>
      <c r="R249" s="10" t="str">
        <f t="shared" si="10"/>
        <v>P01.032</v>
      </c>
    </row>
    <row r="250" spans="1:18">
      <c r="A250" s="10"/>
      <c r="B250" s="10"/>
      <c r="C250" s="10"/>
      <c r="D250" s="10">
        <f>INDEX(D:D,ROW()-1)+_xlfn.IFS(INDEX(E:E,ROW()-1)="s16",1,INDEX(E:E,ROW()-1)="s32",2,INDEX(E:E,ROW()-1)="s64",4,INDEX(E:E,ROW()-1)="u16",1,INDEX(E:E,ROW()-1)="u32",2,INDEX(E:E,ROW()-1)="u64",4,INDEX(E:E,ROW()-1)="f32",2,INDEX(E:E,ROW()-1)="f64",4)</f>
        <v>289</v>
      </c>
      <c r="E250" s="18" t="s">
        <v>34</v>
      </c>
      <c r="F250" s="19"/>
      <c r="G250" s="20" t="s">
        <v>23</v>
      </c>
      <c r="H250" s="20" t="s">
        <v>23</v>
      </c>
      <c r="I250" s="20" t="s">
        <v>35</v>
      </c>
      <c r="J250" s="10" t="s">
        <v>25</v>
      </c>
      <c r="K250" s="10" t="s">
        <v>26</v>
      </c>
      <c r="L250" s="10" t="s">
        <v>30</v>
      </c>
      <c r="M250" s="18" t="s">
        <v>28</v>
      </c>
      <c r="N250" s="10"/>
      <c r="O250" s="19"/>
      <c r="P250" s="19"/>
      <c r="Q250" s="29">
        <f t="shared" si="12"/>
        <v>1</v>
      </c>
      <c r="R250" s="10" t="str">
        <f t="shared" si="10"/>
        <v>P01.033</v>
      </c>
    </row>
    <row r="251" spans="1:18">
      <c r="A251" s="10"/>
      <c r="B251" s="10"/>
      <c r="C251" s="10"/>
      <c r="D251" s="10">
        <f>INDEX(D:D,ROW()-1)+_xlfn.IFS(INDEX(E:E,ROW()-1)="s16",1,INDEX(E:E,ROW()-1)="s32",2,INDEX(E:E,ROW()-1)="s64",4,INDEX(E:E,ROW()-1)="u16",1,INDEX(E:E,ROW()-1)="u32",2,INDEX(E:E,ROW()-1)="u64",4,INDEX(E:E,ROW()-1)="f32",2,INDEX(E:E,ROW()-1)="f64",4)</f>
        <v>290</v>
      </c>
      <c r="E251" s="18" t="s">
        <v>34</v>
      </c>
      <c r="F251" s="19"/>
      <c r="G251" s="20" t="s">
        <v>23</v>
      </c>
      <c r="H251" s="20" t="s">
        <v>23</v>
      </c>
      <c r="I251" s="20" t="s">
        <v>35</v>
      </c>
      <c r="J251" s="10" t="s">
        <v>25</v>
      </c>
      <c r="K251" s="10" t="s">
        <v>26</v>
      </c>
      <c r="L251" s="10" t="s">
        <v>30</v>
      </c>
      <c r="M251" s="18" t="s">
        <v>28</v>
      </c>
      <c r="N251" s="10"/>
      <c r="O251" s="19"/>
      <c r="P251" s="19"/>
      <c r="Q251" s="29">
        <f t="shared" si="12"/>
        <v>1</v>
      </c>
      <c r="R251" s="10" t="str">
        <f t="shared" si="10"/>
        <v>P01.034</v>
      </c>
    </row>
    <row r="252" spans="1:18">
      <c r="A252" s="10"/>
      <c r="B252" s="10"/>
      <c r="C252" s="10"/>
      <c r="D252" s="10">
        <f>INDEX(D:D,ROW()-1)+_xlfn.IFS(INDEX(E:E,ROW()-1)="s16",1,INDEX(E:E,ROW()-1)="s32",2,INDEX(E:E,ROW()-1)="s64",4,INDEX(E:E,ROW()-1)="u16",1,INDEX(E:E,ROW()-1)="u32",2,INDEX(E:E,ROW()-1)="u64",4,INDEX(E:E,ROW()-1)="f32",2,INDEX(E:E,ROW()-1)="f64",4)</f>
        <v>291</v>
      </c>
      <c r="E252" s="18" t="s">
        <v>34</v>
      </c>
      <c r="F252" s="19"/>
      <c r="G252" s="20" t="s">
        <v>23</v>
      </c>
      <c r="H252" s="20" t="s">
        <v>23</v>
      </c>
      <c r="I252" s="20" t="s">
        <v>35</v>
      </c>
      <c r="J252" s="10" t="s">
        <v>25</v>
      </c>
      <c r="K252" s="10" t="s">
        <v>26</v>
      </c>
      <c r="L252" s="10" t="s">
        <v>30</v>
      </c>
      <c r="M252" s="18" t="s">
        <v>28</v>
      </c>
      <c r="N252" s="10"/>
      <c r="O252" s="19"/>
      <c r="P252" s="19"/>
      <c r="Q252" s="29">
        <f t="shared" si="12"/>
        <v>1</v>
      </c>
      <c r="R252" s="10" t="str">
        <f t="shared" si="10"/>
        <v>P01.035</v>
      </c>
    </row>
    <row r="253" spans="1:18">
      <c r="A253" s="10"/>
      <c r="B253" s="10"/>
      <c r="C253" s="10"/>
      <c r="D253" s="10">
        <f>INDEX(D:D,ROW()-1)+_xlfn.IFS(INDEX(E:E,ROW()-1)="s16",1,INDEX(E:E,ROW()-1)="s32",2,INDEX(E:E,ROW()-1)="s64",4,INDEX(E:E,ROW()-1)="u16",1,INDEX(E:E,ROW()-1)="u32",2,INDEX(E:E,ROW()-1)="u64",4,INDEX(E:E,ROW()-1)="f32",2,INDEX(E:E,ROW()-1)="f64",4)</f>
        <v>292</v>
      </c>
      <c r="E253" s="18" t="s">
        <v>34</v>
      </c>
      <c r="F253" s="19"/>
      <c r="G253" s="20" t="s">
        <v>23</v>
      </c>
      <c r="H253" s="20" t="s">
        <v>23</v>
      </c>
      <c r="I253" s="20" t="s">
        <v>35</v>
      </c>
      <c r="J253" s="10" t="s">
        <v>25</v>
      </c>
      <c r="K253" s="10" t="s">
        <v>26</v>
      </c>
      <c r="L253" s="10" t="s">
        <v>30</v>
      </c>
      <c r="M253" s="18" t="s">
        <v>28</v>
      </c>
      <c r="N253" s="10"/>
      <c r="O253" s="19"/>
      <c r="P253" s="19"/>
      <c r="Q253" s="29">
        <f t="shared" si="12"/>
        <v>1</v>
      </c>
      <c r="R253" s="10" t="str">
        <f t="shared" si="10"/>
        <v>P01.036</v>
      </c>
    </row>
    <row r="254" spans="1:18">
      <c r="A254" s="10"/>
      <c r="B254" s="10"/>
      <c r="C254" s="10"/>
      <c r="D254" s="10">
        <f>INDEX(D:D,ROW()-1)+_xlfn.IFS(INDEX(E:E,ROW()-1)="s16",1,INDEX(E:E,ROW()-1)="s32",2,INDEX(E:E,ROW()-1)="s64",4,INDEX(E:E,ROW()-1)="u16",1,INDEX(E:E,ROW()-1)="u32",2,INDEX(E:E,ROW()-1)="u64",4,INDEX(E:E,ROW()-1)="f32",2,INDEX(E:E,ROW()-1)="f64",4)</f>
        <v>293</v>
      </c>
      <c r="E254" s="18" t="s">
        <v>34</v>
      </c>
      <c r="F254" s="19"/>
      <c r="G254" s="20" t="s">
        <v>23</v>
      </c>
      <c r="H254" s="20" t="s">
        <v>23</v>
      </c>
      <c r="I254" s="20" t="s">
        <v>35</v>
      </c>
      <c r="J254" s="10" t="s">
        <v>25</v>
      </c>
      <c r="K254" s="10" t="s">
        <v>26</v>
      </c>
      <c r="L254" s="10" t="s">
        <v>30</v>
      </c>
      <c r="M254" s="18" t="s">
        <v>28</v>
      </c>
      <c r="N254" s="10"/>
      <c r="O254" s="19"/>
      <c r="P254" s="19"/>
      <c r="Q254" s="29">
        <f t="shared" si="12"/>
        <v>1</v>
      </c>
      <c r="R254" s="10" t="str">
        <f t="shared" si="10"/>
        <v>P01.037</v>
      </c>
    </row>
    <row r="255" spans="1:18">
      <c r="A255" s="10"/>
      <c r="B255" s="10"/>
      <c r="C255" s="10"/>
      <c r="D255" s="10">
        <f>INDEX(D:D,ROW()-1)+_xlfn.IFS(INDEX(E:E,ROW()-1)="s16",1,INDEX(E:E,ROW()-1)="s32",2,INDEX(E:E,ROW()-1)="s64",4,INDEX(E:E,ROW()-1)="u16",1,INDEX(E:E,ROW()-1)="u32",2,INDEX(E:E,ROW()-1)="u64",4,INDEX(E:E,ROW()-1)="f32",2,INDEX(E:E,ROW()-1)="f64",4)</f>
        <v>294</v>
      </c>
      <c r="E255" s="18" t="s">
        <v>34</v>
      </c>
      <c r="F255" s="19"/>
      <c r="G255" s="20" t="s">
        <v>23</v>
      </c>
      <c r="H255" s="20" t="s">
        <v>23</v>
      </c>
      <c r="I255" s="20" t="s">
        <v>35</v>
      </c>
      <c r="J255" s="10" t="s">
        <v>25</v>
      </c>
      <c r="K255" s="10" t="s">
        <v>26</v>
      </c>
      <c r="L255" s="10" t="s">
        <v>30</v>
      </c>
      <c r="M255" s="18" t="s">
        <v>28</v>
      </c>
      <c r="N255" s="10"/>
      <c r="O255" s="19"/>
      <c r="P255" s="19"/>
      <c r="Q255" s="29">
        <f t="shared" si="12"/>
        <v>1</v>
      </c>
      <c r="R255" s="10" t="str">
        <f t="shared" si="10"/>
        <v>P01.038</v>
      </c>
    </row>
    <row r="256" spans="1:18">
      <c r="A256" s="10"/>
      <c r="B256" s="10"/>
      <c r="C256" s="10"/>
      <c r="D256" s="10">
        <f>INDEX(D:D,ROW()-1)+_xlfn.IFS(INDEX(E:E,ROW()-1)="s16",1,INDEX(E:E,ROW()-1)="s32",2,INDEX(E:E,ROW()-1)="s64",4,INDEX(E:E,ROW()-1)="u16",1,INDEX(E:E,ROW()-1)="u32",2,INDEX(E:E,ROW()-1)="u64",4,INDEX(E:E,ROW()-1)="f32",2,INDEX(E:E,ROW()-1)="f64",4)</f>
        <v>295</v>
      </c>
      <c r="E256" s="18" t="s">
        <v>34</v>
      </c>
      <c r="F256" s="19"/>
      <c r="G256" s="20" t="s">
        <v>23</v>
      </c>
      <c r="H256" s="20" t="s">
        <v>23</v>
      </c>
      <c r="I256" s="20" t="s">
        <v>35</v>
      </c>
      <c r="J256" s="10" t="s">
        <v>25</v>
      </c>
      <c r="K256" s="10" t="s">
        <v>26</v>
      </c>
      <c r="L256" s="10" t="s">
        <v>30</v>
      </c>
      <c r="M256" s="18" t="s">
        <v>28</v>
      </c>
      <c r="N256" s="10"/>
      <c r="O256" s="19"/>
      <c r="P256" s="19"/>
      <c r="Q256" s="29">
        <f t="shared" si="12"/>
        <v>1</v>
      </c>
      <c r="R256" s="10" t="str">
        <f t="shared" si="10"/>
        <v>P01.039</v>
      </c>
    </row>
    <row r="257" spans="1:18">
      <c r="A257" s="45"/>
      <c r="B257" s="45"/>
      <c r="C257" s="45"/>
      <c r="D257" s="10">
        <f>INDEX(D:D,ROW()-1)+_xlfn.IFS(INDEX(E:E,ROW()-1)="s16",1,INDEX(E:E,ROW()-1)="s32",2,INDEX(E:E,ROW()-1)="s64",4,INDEX(E:E,ROW()-1)="u16",1,INDEX(E:E,ROW()-1)="u32",2,INDEX(E:E,ROW()-1)="u64",4,INDEX(E:E,ROW()-1)="f32",2,INDEX(E:E,ROW()-1)="f64",4)</f>
        <v>296</v>
      </c>
      <c r="E257" s="18" t="s">
        <v>34</v>
      </c>
      <c r="F257" s="19"/>
      <c r="G257" s="20" t="s">
        <v>23</v>
      </c>
      <c r="H257" s="20" t="s">
        <v>23</v>
      </c>
      <c r="I257" s="20" t="s">
        <v>35</v>
      </c>
      <c r="J257" s="10" t="s">
        <v>25</v>
      </c>
      <c r="K257" s="10" t="s">
        <v>26</v>
      </c>
      <c r="L257" s="10" t="s">
        <v>30</v>
      </c>
      <c r="M257" s="18" t="s">
        <v>28</v>
      </c>
      <c r="N257" s="26"/>
      <c r="O257" s="26"/>
      <c r="P257" s="26"/>
      <c r="Q257" s="29">
        <f t="shared" si="12"/>
        <v>1</v>
      </c>
      <c r="R257" s="10" t="str">
        <f t="shared" si="10"/>
        <v>P01.040</v>
      </c>
    </row>
    <row r="258" spans="1:18">
      <c r="A258" s="45"/>
      <c r="B258" s="45"/>
      <c r="C258" s="45"/>
      <c r="D258" s="10">
        <f>INDEX(D:D,ROW()-1)+_xlfn.IFS(INDEX(E:E,ROW()-1)="s16",1,INDEX(E:E,ROW()-1)="s32",2,INDEX(E:E,ROW()-1)="s64",4,INDEX(E:E,ROW()-1)="u16",1,INDEX(E:E,ROW()-1)="u32",2,INDEX(E:E,ROW()-1)="u64",4,INDEX(E:E,ROW()-1)="f32",2,INDEX(E:E,ROW()-1)="f64",4)</f>
        <v>297</v>
      </c>
      <c r="E258" s="18" t="s">
        <v>34</v>
      </c>
      <c r="F258" s="19"/>
      <c r="G258" s="20" t="s">
        <v>23</v>
      </c>
      <c r="H258" s="20" t="s">
        <v>23</v>
      </c>
      <c r="I258" s="20" t="s">
        <v>35</v>
      </c>
      <c r="J258" s="10" t="s">
        <v>25</v>
      </c>
      <c r="K258" s="10" t="s">
        <v>26</v>
      </c>
      <c r="L258" s="10" t="s">
        <v>30</v>
      </c>
      <c r="M258" s="18" t="s">
        <v>28</v>
      </c>
      <c r="N258" s="26"/>
      <c r="O258" s="26"/>
      <c r="P258" s="26"/>
      <c r="Q258" s="29">
        <f t="shared" si="12"/>
        <v>1</v>
      </c>
      <c r="R258" s="10" t="str">
        <f t="shared" si="10"/>
        <v>P01.041</v>
      </c>
    </row>
    <row r="259" spans="1:18">
      <c r="A259" s="45"/>
      <c r="B259" s="45"/>
      <c r="C259" s="45"/>
      <c r="D259" s="10">
        <f>INDEX(D:D,ROW()-1)+_xlfn.IFS(INDEX(E:E,ROW()-1)="s16",1,INDEX(E:E,ROW()-1)="s32",2,INDEX(E:E,ROW()-1)="s64",4,INDEX(E:E,ROW()-1)="u16",1,INDEX(E:E,ROW()-1)="u32",2,INDEX(E:E,ROW()-1)="u64",4,INDEX(E:E,ROW()-1)="f32",2,INDEX(E:E,ROW()-1)="f64",4)</f>
        <v>298</v>
      </c>
      <c r="E259" s="18" t="s">
        <v>34</v>
      </c>
      <c r="F259" s="19"/>
      <c r="G259" s="20" t="s">
        <v>23</v>
      </c>
      <c r="H259" s="20" t="s">
        <v>23</v>
      </c>
      <c r="I259" s="20" t="s">
        <v>35</v>
      </c>
      <c r="J259" s="10" t="s">
        <v>25</v>
      </c>
      <c r="K259" s="10" t="s">
        <v>26</v>
      </c>
      <c r="L259" s="10" t="s">
        <v>30</v>
      </c>
      <c r="M259" s="18" t="s">
        <v>28</v>
      </c>
      <c r="N259" s="26"/>
      <c r="O259" s="46"/>
      <c r="P259" s="26"/>
      <c r="Q259" s="29">
        <f t="shared" si="12"/>
        <v>1</v>
      </c>
      <c r="R259" s="47" t="str">
        <f t="shared" si="10"/>
        <v>P01.042</v>
      </c>
    </row>
    <row r="260" spans="1:18">
      <c r="A260" s="45"/>
      <c r="B260" s="45"/>
      <c r="C260" s="45"/>
      <c r="D260" s="10">
        <f>INDEX(D:D,ROW()-1)+_xlfn.IFS(INDEX(E:E,ROW()-1)="s16",1,INDEX(E:E,ROW()-1)="s32",2,INDEX(E:E,ROW()-1)="s64",4,INDEX(E:E,ROW()-1)="u16",1,INDEX(E:E,ROW()-1)="u32",2,INDEX(E:E,ROW()-1)="u64",4,INDEX(E:E,ROW()-1)="f32",2,INDEX(E:E,ROW()-1)="f64",4)</f>
        <v>299</v>
      </c>
      <c r="E260" s="18" t="s">
        <v>34</v>
      </c>
      <c r="F260" s="19"/>
      <c r="G260" s="20" t="s">
        <v>23</v>
      </c>
      <c r="H260" s="20" t="s">
        <v>23</v>
      </c>
      <c r="I260" s="20" t="s">
        <v>35</v>
      </c>
      <c r="J260" s="10" t="s">
        <v>25</v>
      </c>
      <c r="K260" s="10" t="s">
        <v>26</v>
      </c>
      <c r="L260" s="10" t="s">
        <v>30</v>
      </c>
      <c r="M260" s="18" t="s">
        <v>28</v>
      </c>
      <c r="N260" s="26"/>
      <c r="O260" s="26"/>
      <c r="P260" s="26"/>
      <c r="Q260" s="29">
        <f t="shared" si="12"/>
        <v>1</v>
      </c>
      <c r="R260" s="10" t="str">
        <f t="shared" si="10"/>
        <v>P01.043</v>
      </c>
    </row>
    <row r="261" spans="1:18">
      <c r="A261" s="45"/>
      <c r="B261" s="45"/>
      <c r="C261" s="45"/>
      <c r="D261" s="10">
        <f>INDEX(D:D,ROW()-1)+_xlfn.IFS(INDEX(E:E,ROW()-1)="s16",1,INDEX(E:E,ROW()-1)="s32",2,INDEX(E:E,ROW()-1)="s64",4,INDEX(E:E,ROW()-1)="u16",1,INDEX(E:E,ROW()-1)="u32",2,INDEX(E:E,ROW()-1)="u64",4,INDEX(E:E,ROW()-1)="f32",2,INDEX(E:E,ROW()-1)="f64",4)</f>
        <v>300</v>
      </c>
      <c r="E261" s="18" t="s">
        <v>34</v>
      </c>
      <c r="F261" s="19"/>
      <c r="G261" s="20" t="s">
        <v>23</v>
      </c>
      <c r="H261" s="20" t="s">
        <v>23</v>
      </c>
      <c r="I261" s="20" t="s">
        <v>35</v>
      </c>
      <c r="J261" s="10" t="s">
        <v>25</v>
      </c>
      <c r="K261" s="10" t="s">
        <v>26</v>
      </c>
      <c r="L261" s="10" t="s">
        <v>30</v>
      </c>
      <c r="M261" s="18" t="s">
        <v>28</v>
      </c>
      <c r="N261" s="26"/>
      <c r="O261" s="26"/>
      <c r="P261" s="26"/>
      <c r="Q261" s="29">
        <f t="shared" si="12"/>
        <v>1</v>
      </c>
      <c r="R261" s="10" t="str">
        <f t="shared" si="10"/>
        <v>P01.044</v>
      </c>
    </row>
    <row r="262" spans="1:18">
      <c r="A262" s="45"/>
      <c r="B262" s="45"/>
      <c r="C262" s="45"/>
      <c r="D262" s="10">
        <f>INDEX(D:D,ROW()-1)+_xlfn.IFS(INDEX(E:E,ROW()-1)="s16",1,INDEX(E:E,ROW()-1)="s32",2,INDEX(E:E,ROW()-1)="s64",4,INDEX(E:E,ROW()-1)="u16",1,INDEX(E:E,ROW()-1)="u32",2,INDEX(E:E,ROW()-1)="u64",4,INDEX(E:E,ROW()-1)="f32",2,INDEX(E:E,ROW()-1)="f64",4)</f>
        <v>301</v>
      </c>
      <c r="E262" s="18" t="s">
        <v>34</v>
      </c>
      <c r="F262" s="19"/>
      <c r="G262" s="20" t="s">
        <v>23</v>
      </c>
      <c r="H262" s="20" t="s">
        <v>23</v>
      </c>
      <c r="I262" s="20" t="s">
        <v>35</v>
      </c>
      <c r="J262" s="10" t="s">
        <v>25</v>
      </c>
      <c r="K262" s="10" t="s">
        <v>26</v>
      </c>
      <c r="L262" s="10" t="s">
        <v>30</v>
      </c>
      <c r="M262" s="18" t="s">
        <v>28</v>
      </c>
      <c r="N262" s="26"/>
      <c r="O262" s="26"/>
      <c r="P262" s="26"/>
      <c r="Q262" s="29">
        <f t="shared" si="12"/>
        <v>1</v>
      </c>
      <c r="R262" s="10" t="str">
        <f t="shared" si="10"/>
        <v>P01.045</v>
      </c>
    </row>
    <row r="263" spans="1:18">
      <c r="A263" s="45"/>
      <c r="B263" s="45"/>
      <c r="C263" s="45"/>
      <c r="D263" s="10">
        <f>INDEX(D:D,ROW()-1)+_xlfn.IFS(INDEX(E:E,ROW()-1)="s16",1,INDEX(E:E,ROW()-1)="s32",2,INDEX(E:E,ROW()-1)="s64",4,INDEX(E:E,ROW()-1)="u16",1,INDEX(E:E,ROW()-1)="u32",2,INDEX(E:E,ROW()-1)="u64",4,INDEX(E:E,ROW()-1)="f32",2,INDEX(E:E,ROW()-1)="f64",4)</f>
        <v>302</v>
      </c>
      <c r="E263" s="18" t="s">
        <v>34</v>
      </c>
      <c r="F263" s="19"/>
      <c r="G263" s="20" t="s">
        <v>23</v>
      </c>
      <c r="H263" s="20" t="s">
        <v>23</v>
      </c>
      <c r="I263" s="20" t="s">
        <v>35</v>
      </c>
      <c r="J263" s="10" t="s">
        <v>25</v>
      </c>
      <c r="K263" s="10" t="s">
        <v>26</v>
      </c>
      <c r="L263" s="10" t="s">
        <v>30</v>
      </c>
      <c r="M263" s="18" t="s">
        <v>28</v>
      </c>
      <c r="N263" s="26"/>
      <c r="O263" s="26"/>
      <c r="P263" s="26"/>
      <c r="Q263" s="29">
        <f t="shared" si="12"/>
        <v>1</v>
      </c>
      <c r="R263" s="10" t="str">
        <f t="shared" ref="R263:R271" si="13">"P"&amp;TEXT(ROUND(D263/256,0),"00")&amp;"."&amp;TEXT(MOD(D263,256),"000")</f>
        <v>P01.046</v>
      </c>
    </row>
    <row r="264" spans="1:18">
      <c r="A264" s="45"/>
      <c r="B264" s="45"/>
      <c r="C264" s="45"/>
      <c r="D264" s="10">
        <f>INDEX(D:D,ROW()-1)+_xlfn.IFS(INDEX(E:E,ROW()-1)="s16",1,INDEX(E:E,ROW()-1)="s32",2,INDEX(E:E,ROW()-1)="s64",4,INDEX(E:E,ROW()-1)="u16",1,INDEX(E:E,ROW()-1)="u32",2,INDEX(E:E,ROW()-1)="u64",4,INDEX(E:E,ROW()-1)="f32",2,INDEX(E:E,ROW()-1)="f64",4)</f>
        <v>303</v>
      </c>
      <c r="E264" s="18" t="s">
        <v>34</v>
      </c>
      <c r="F264" s="19"/>
      <c r="G264" s="20" t="s">
        <v>23</v>
      </c>
      <c r="H264" s="20" t="s">
        <v>23</v>
      </c>
      <c r="I264" s="20" t="s">
        <v>35</v>
      </c>
      <c r="J264" s="10" t="s">
        <v>25</v>
      </c>
      <c r="K264" s="10" t="s">
        <v>26</v>
      </c>
      <c r="L264" s="10" t="s">
        <v>30</v>
      </c>
      <c r="M264" s="18" t="s">
        <v>28</v>
      </c>
      <c r="N264" s="26"/>
      <c r="O264" s="26"/>
      <c r="P264" s="26"/>
      <c r="Q264" s="29">
        <f t="shared" si="12"/>
        <v>1</v>
      </c>
      <c r="R264" s="10" t="str">
        <f t="shared" si="13"/>
        <v>P01.047</v>
      </c>
    </row>
    <row r="265" spans="1:18">
      <c r="A265" s="45"/>
      <c r="B265" s="45"/>
      <c r="C265" s="45"/>
      <c r="D265" s="10">
        <f>INDEX(D:D,ROW()-1)+_xlfn.IFS(INDEX(E:E,ROW()-1)="s16",1,INDEX(E:E,ROW()-1)="s32",2,INDEX(E:E,ROW()-1)="s64",4,INDEX(E:E,ROW()-1)="u16",1,INDEX(E:E,ROW()-1)="u32",2,INDEX(E:E,ROW()-1)="u64",4,INDEX(E:E,ROW()-1)="f32",2,INDEX(E:E,ROW()-1)="f64",4)</f>
        <v>304</v>
      </c>
      <c r="E265" s="18" t="s">
        <v>34</v>
      </c>
      <c r="F265" s="19"/>
      <c r="G265" s="20" t="s">
        <v>23</v>
      </c>
      <c r="H265" s="20" t="s">
        <v>23</v>
      </c>
      <c r="I265" s="20" t="s">
        <v>35</v>
      </c>
      <c r="J265" s="10" t="s">
        <v>25</v>
      </c>
      <c r="K265" s="10" t="s">
        <v>26</v>
      </c>
      <c r="L265" s="10" t="s">
        <v>30</v>
      </c>
      <c r="M265" s="18" t="s">
        <v>28</v>
      </c>
      <c r="N265" s="26"/>
      <c r="O265" s="26"/>
      <c r="P265" s="26"/>
      <c r="Q265" s="29">
        <f t="shared" si="12"/>
        <v>1</v>
      </c>
      <c r="R265" s="10" t="str">
        <f t="shared" si="13"/>
        <v>P01.048</v>
      </c>
    </row>
    <row r="266" spans="1:18">
      <c r="A266" s="45"/>
      <c r="B266" s="45"/>
      <c r="C266" s="45"/>
      <c r="D266" s="10">
        <f>INDEX(D:D,ROW()-1)+_xlfn.IFS(INDEX(E:E,ROW()-1)="s16",1,INDEX(E:E,ROW()-1)="s32",2,INDEX(E:E,ROW()-1)="s64",4,INDEX(E:E,ROW()-1)="u16",1,INDEX(E:E,ROW()-1)="u32",2,INDEX(E:E,ROW()-1)="u64",4,INDEX(E:E,ROW()-1)="f32",2,INDEX(E:E,ROW()-1)="f64",4)</f>
        <v>305</v>
      </c>
      <c r="E266" s="18" t="s">
        <v>34</v>
      </c>
      <c r="F266" s="19"/>
      <c r="G266" s="20" t="s">
        <v>23</v>
      </c>
      <c r="H266" s="20" t="s">
        <v>23</v>
      </c>
      <c r="I266" s="20" t="s">
        <v>35</v>
      </c>
      <c r="J266" s="10" t="s">
        <v>25</v>
      </c>
      <c r="K266" s="10" t="s">
        <v>26</v>
      </c>
      <c r="L266" s="10" t="s">
        <v>30</v>
      </c>
      <c r="M266" s="18" t="s">
        <v>28</v>
      </c>
      <c r="N266" s="26"/>
      <c r="O266" s="26"/>
      <c r="P266" s="26"/>
      <c r="Q266" s="29">
        <f t="shared" si="12"/>
        <v>1</v>
      </c>
      <c r="R266" s="10" t="str">
        <f t="shared" si="13"/>
        <v>P01.049</v>
      </c>
    </row>
    <row r="267" spans="1:18">
      <c r="A267" s="45"/>
      <c r="B267" s="45"/>
      <c r="C267" s="45"/>
      <c r="D267" s="10">
        <f>INDEX(D:D,ROW()-1)+_xlfn.IFS(INDEX(E:E,ROW()-1)="s16",1,INDEX(E:E,ROW()-1)="s32",2,INDEX(E:E,ROW()-1)="s64",4,INDEX(E:E,ROW()-1)="u16",1,INDEX(E:E,ROW()-1)="u32",2,INDEX(E:E,ROW()-1)="u64",4,INDEX(E:E,ROW()-1)="f32",2,INDEX(E:E,ROW()-1)="f64",4)</f>
        <v>306</v>
      </c>
      <c r="E267" s="18" t="s">
        <v>34</v>
      </c>
      <c r="F267" s="19"/>
      <c r="G267" s="20" t="s">
        <v>23</v>
      </c>
      <c r="H267" s="20" t="s">
        <v>23</v>
      </c>
      <c r="I267" s="20" t="s">
        <v>35</v>
      </c>
      <c r="J267" s="10" t="s">
        <v>25</v>
      </c>
      <c r="K267" s="10" t="s">
        <v>26</v>
      </c>
      <c r="L267" s="10" t="s">
        <v>30</v>
      </c>
      <c r="M267" s="18" t="s">
        <v>28</v>
      </c>
      <c r="N267" s="26"/>
      <c r="O267" s="26"/>
      <c r="P267" s="26"/>
      <c r="Q267" s="29">
        <f t="shared" si="12"/>
        <v>1</v>
      </c>
      <c r="R267" s="10" t="str">
        <f t="shared" si="13"/>
        <v>P01.050</v>
      </c>
    </row>
    <row r="268" spans="1:18">
      <c r="A268" s="45"/>
      <c r="B268" s="45"/>
      <c r="C268" s="45"/>
      <c r="D268" s="10">
        <f>INDEX(D:D,ROW()-1)+_xlfn.IFS(INDEX(E:E,ROW()-1)="s16",1,INDEX(E:E,ROW()-1)="s32",2,INDEX(E:E,ROW()-1)="s64",4,INDEX(E:E,ROW()-1)="u16",1,INDEX(E:E,ROW()-1)="u32",2,INDEX(E:E,ROW()-1)="u64",4,INDEX(E:E,ROW()-1)="f32",2,INDEX(E:E,ROW()-1)="f64",4)</f>
        <v>307</v>
      </c>
      <c r="E268" s="18" t="s">
        <v>34</v>
      </c>
      <c r="F268" s="19"/>
      <c r="G268" s="20" t="s">
        <v>23</v>
      </c>
      <c r="H268" s="20" t="s">
        <v>23</v>
      </c>
      <c r="I268" s="20" t="s">
        <v>35</v>
      </c>
      <c r="J268" s="10" t="s">
        <v>25</v>
      </c>
      <c r="K268" s="10" t="s">
        <v>26</v>
      </c>
      <c r="L268" s="10" t="s">
        <v>30</v>
      </c>
      <c r="M268" s="18" t="s">
        <v>28</v>
      </c>
      <c r="N268" s="26"/>
      <c r="O268" s="26"/>
      <c r="P268" s="26"/>
      <c r="Q268" s="29">
        <f t="shared" si="12"/>
        <v>1</v>
      </c>
      <c r="R268" s="10" t="str">
        <f t="shared" si="13"/>
        <v>P01.051</v>
      </c>
    </row>
    <row r="269" spans="1:18">
      <c r="A269" s="45"/>
      <c r="B269" s="45"/>
      <c r="C269" s="45"/>
      <c r="D269" s="10">
        <f>INDEX(D:D,ROW()-1)+_xlfn.IFS(INDEX(E:E,ROW()-1)="s16",1,INDEX(E:E,ROW()-1)="s32",2,INDEX(E:E,ROW()-1)="s64",4,INDEX(E:E,ROW()-1)="u16",1,INDEX(E:E,ROW()-1)="u32",2,INDEX(E:E,ROW()-1)="u64",4,INDEX(E:E,ROW()-1)="f32",2,INDEX(E:E,ROW()-1)="f64",4)</f>
        <v>308</v>
      </c>
      <c r="E269" s="18" t="s">
        <v>34</v>
      </c>
      <c r="F269" s="19"/>
      <c r="G269" s="20" t="s">
        <v>23</v>
      </c>
      <c r="H269" s="20" t="s">
        <v>23</v>
      </c>
      <c r="I269" s="20" t="s">
        <v>35</v>
      </c>
      <c r="J269" s="10" t="s">
        <v>25</v>
      </c>
      <c r="K269" s="10" t="s">
        <v>26</v>
      </c>
      <c r="L269" s="10" t="s">
        <v>30</v>
      </c>
      <c r="M269" s="18" t="s">
        <v>28</v>
      </c>
      <c r="N269" s="26"/>
      <c r="O269" s="26"/>
      <c r="P269" s="26"/>
      <c r="Q269" s="29">
        <f t="shared" si="12"/>
        <v>1</v>
      </c>
      <c r="R269" s="10" t="str">
        <f t="shared" si="13"/>
        <v>P01.052</v>
      </c>
    </row>
    <row r="270" spans="1:18">
      <c r="A270" s="45"/>
      <c r="B270" s="45"/>
      <c r="C270" s="45"/>
      <c r="D270" s="10">
        <f>INDEX(D:D,ROW()-1)+_xlfn.IFS(INDEX(E:E,ROW()-1)="s16",1,INDEX(E:E,ROW()-1)="s32",2,INDEX(E:E,ROW()-1)="s64",4,INDEX(E:E,ROW()-1)="u16",1,INDEX(E:E,ROW()-1)="u32",2,INDEX(E:E,ROW()-1)="u64",4,INDEX(E:E,ROW()-1)="f32",2,INDEX(E:E,ROW()-1)="f64",4)</f>
        <v>309</v>
      </c>
      <c r="E270" s="18" t="s">
        <v>34</v>
      </c>
      <c r="F270" s="19"/>
      <c r="G270" s="20" t="s">
        <v>23</v>
      </c>
      <c r="H270" s="20" t="s">
        <v>23</v>
      </c>
      <c r="I270" s="20" t="s">
        <v>35</v>
      </c>
      <c r="J270" s="10" t="s">
        <v>25</v>
      </c>
      <c r="K270" s="10" t="s">
        <v>26</v>
      </c>
      <c r="L270" s="10" t="s">
        <v>30</v>
      </c>
      <c r="M270" s="18" t="s">
        <v>28</v>
      </c>
      <c r="N270" s="26"/>
      <c r="O270" s="26"/>
      <c r="P270" s="26"/>
      <c r="Q270" s="29">
        <f t="shared" si="12"/>
        <v>1</v>
      </c>
      <c r="R270" s="10" t="str">
        <f t="shared" si="13"/>
        <v>P01.053</v>
      </c>
    </row>
    <row r="271" spans="1:18">
      <c r="A271" s="45"/>
      <c r="B271" s="45"/>
      <c r="C271" s="45"/>
      <c r="D271" s="10">
        <f>INDEX(D:D,ROW()-1)+_xlfn.IFS(INDEX(E:E,ROW()-1)="s16",1,INDEX(E:E,ROW()-1)="s32",2,INDEX(E:E,ROW()-1)="s64",4,INDEX(E:E,ROW()-1)="u16",1,INDEX(E:E,ROW()-1)="u32",2,INDEX(E:E,ROW()-1)="u64",4,INDEX(E:E,ROW()-1)="f32",2,INDEX(E:E,ROW()-1)="f64",4)</f>
        <v>310</v>
      </c>
      <c r="E271" s="18" t="s">
        <v>34</v>
      </c>
      <c r="F271" s="19"/>
      <c r="G271" s="20" t="s">
        <v>23</v>
      </c>
      <c r="H271" s="20" t="s">
        <v>23</v>
      </c>
      <c r="I271" s="20" t="s">
        <v>35</v>
      </c>
      <c r="J271" s="10" t="s">
        <v>25</v>
      </c>
      <c r="K271" s="10" t="s">
        <v>26</v>
      </c>
      <c r="L271" s="10" t="s">
        <v>30</v>
      </c>
      <c r="M271" s="18" t="s">
        <v>28</v>
      </c>
      <c r="N271" s="26"/>
      <c r="O271" s="26"/>
      <c r="P271" s="26"/>
      <c r="Q271" s="29">
        <f t="shared" si="12"/>
        <v>1</v>
      </c>
      <c r="R271" s="10" t="str">
        <f t="shared" si="13"/>
        <v>P01.054</v>
      </c>
    </row>
    <row r="272" spans="1:18">
      <c r="A272" s="45"/>
      <c r="B272" s="45"/>
      <c r="C272" s="45"/>
      <c r="D272" s="10">
        <f>INDEX(D:D,ROW()-1)+_xlfn.IFS(INDEX(E:E,ROW()-1)="s16",1,INDEX(E:E,ROW()-1)="s32",2,INDEX(E:E,ROW()-1)="s64",4,INDEX(E:E,ROW()-1)="u16",1,INDEX(E:E,ROW()-1)="u32",2,INDEX(E:E,ROW()-1)="u64",4,INDEX(E:E,ROW()-1)="f32",2,INDEX(E:E,ROW()-1)="f64",4)</f>
        <v>311</v>
      </c>
      <c r="E272" s="18" t="s">
        <v>34</v>
      </c>
      <c r="F272" s="19"/>
      <c r="G272" s="20" t="s">
        <v>23</v>
      </c>
      <c r="H272" s="20" t="s">
        <v>23</v>
      </c>
      <c r="I272" s="20" t="s">
        <v>35</v>
      </c>
      <c r="J272" s="10" t="s">
        <v>25</v>
      </c>
      <c r="K272" s="10" t="s">
        <v>26</v>
      </c>
      <c r="L272" s="10" t="s">
        <v>30</v>
      </c>
      <c r="M272" s="18" t="s">
        <v>28</v>
      </c>
      <c r="N272" s="10"/>
      <c r="O272" s="19"/>
      <c r="P272" s="19"/>
      <c r="Q272" s="29">
        <f t="shared" si="12"/>
        <v>1</v>
      </c>
      <c r="R272" s="10" t="str">
        <f t="shared" ref="R272:R295" si="14">"P"&amp;TEXT(ROUND(D272/256,0),"00")&amp;"."&amp;TEXT(MOD(D272,256),"000")</f>
        <v>P01.055</v>
      </c>
    </row>
    <row r="273" spans="1:18">
      <c r="A273" s="45"/>
      <c r="B273" s="45"/>
      <c r="C273" s="45"/>
      <c r="D273" s="10">
        <f>INDEX(D:D,ROW()-1)+_xlfn.IFS(INDEX(E:E,ROW()-1)="s16",1,INDEX(E:E,ROW()-1)="s32",2,INDEX(E:E,ROW()-1)="s64",4,INDEX(E:E,ROW()-1)="u16",1,INDEX(E:E,ROW()-1)="u32",2,INDEX(E:E,ROW()-1)="u64",4,INDEX(E:E,ROW()-1)="f32",2,INDEX(E:E,ROW()-1)="f64",4)</f>
        <v>312</v>
      </c>
      <c r="E273" s="18" t="s">
        <v>34</v>
      </c>
      <c r="F273" s="19"/>
      <c r="G273" s="20" t="s">
        <v>23</v>
      </c>
      <c r="H273" s="20" t="s">
        <v>23</v>
      </c>
      <c r="I273" s="20" t="s">
        <v>35</v>
      </c>
      <c r="J273" s="10" t="s">
        <v>25</v>
      </c>
      <c r="K273" s="10" t="s">
        <v>26</v>
      </c>
      <c r="L273" s="10" t="s">
        <v>30</v>
      </c>
      <c r="M273" s="18" t="s">
        <v>28</v>
      </c>
      <c r="N273" s="10"/>
      <c r="O273" s="19"/>
      <c r="P273" s="19"/>
      <c r="Q273" s="29">
        <f t="shared" si="12"/>
        <v>1</v>
      </c>
      <c r="R273" s="10" t="str">
        <f t="shared" si="14"/>
        <v>P01.056</v>
      </c>
    </row>
    <row r="274" spans="1:18">
      <c r="A274" s="45"/>
      <c r="B274" s="45"/>
      <c r="C274" s="45"/>
      <c r="D274" s="10">
        <f>INDEX(D:D,ROW()-1)+_xlfn.IFS(INDEX(E:E,ROW()-1)="s16",1,INDEX(E:E,ROW()-1)="s32",2,INDEX(E:E,ROW()-1)="s64",4,INDEX(E:E,ROW()-1)="u16",1,INDEX(E:E,ROW()-1)="u32",2,INDEX(E:E,ROW()-1)="u64",4,INDEX(E:E,ROW()-1)="f32",2,INDEX(E:E,ROW()-1)="f64",4)</f>
        <v>313</v>
      </c>
      <c r="E274" s="18" t="s">
        <v>34</v>
      </c>
      <c r="F274" s="19"/>
      <c r="G274" s="20" t="s">
        <v>23</v>
      </c>
      <c r="H274" s="20" t="s">
        <v>23</v>
      </c>
      <c r="I274" s="20" t="s">
        <v>35</v>
      </c>
      <c r="J274" s="10" t="s">
        <v>25</v>
      </c>
      <c r="K274" s="10" t="s">
        <v>26</v>
      </c>
      <c r="L274" s="10" t="s">
        <v>30</v>
      </c>
      <c r="M274" s="18" t="s">
        <v>28</v>
      </c>
      <c r="N274" s="10"/>
      <c r="O274" s="19"/>
      <c r="P274" s="19"/>
      <c r="Q274" s="29">
        <f t="shared" ref="Q274:Q295" si="15">IF(OR(F274="",LEFT(TRIM(F274),3)=E274),1,0)</f>
        <v>1</v>
      </c>
      <c r="R274" s="10" t="str">
        <f t="shared" si="14"/>
        <v>P01.057</v>
      </c>
    </row>
    <row r="275" spans="1:18">
      <c r="A275" s="45"/>
      <c r="B275" s="45"/>
      <c r="C275" s="45"/>
      <c r="D275" s="10">
        <f>INDEX(D:D,ROW()-1)+_xlfn.IFS(INDEX(E:E,ROW()-1)="s16",1,INDEX(E:E,ROW()-1)="s32",2,INDEX(E:E,ROW()-1)="s64",4,INDEX(E:E,ROW()-1)="u16",1,INDEX(E:E,ROW()-1)="u32",2,INDEX(E:E,ROW()-1)="u64",4,INDEX(E:E,ROW()-1)="f32",2,INDEX(E:E,ROW()-1)="f64",4)</f>
        <v>314</v>
      </c>
      <c r="E275" s="18" t="s">
        <v>34</v>
      </c>
      <c r="F275" s="19"/>
      <c r="G275" s="20" t="s">
        <v>23</v>
      </c>
      <c r="H275" s="20" t="s">
        <v>23</v>
      </c>
      <c r="I275" s="20" t="s">
        <v>35</v>
      </c>
      <c r="J275" s="10" t="s">
        <v>25</v>
      </c>
      <c r="K275" s="10" t="s">
        <v>26</v>
      </c>
      <c r="L275" s="10" t="s">
        <v>30</v>
      </c>
      <c r="M275" s="18" t="s">
        <v>28</v>
      </c>
      <c r="N275" s="10"/>
      <c r="O275" s="19"/>
      <c r="P275" s="19"/>
      <c r="Q275" s="29">
        <f t="shared" si="15"/>
        <v>1</v>
      </c>
      <c r="R275" s="10" t="str">
        <f t="shared" si="14"/>
        <v>P01.058</v>
      </c>
    </row>
    <row r="276" spans="1:18">
      <c r="A276" s="45"/>
      <c r="B276" s="45"/>
      <c r="C276" s="45"/>
      <c r="D276" s="10">
        <f>INDEX(D:D,ROW()-1)+_xlfn.IFS(INDEX(E:E,ROW()-1)="s16",1,INDEX(E:E,ROW()-1)="s32",2,INDEX(E:E,ROW()-1)="s64",4,INDEX(E:E,ROW()-1)="u16",1,INDEX(E:E,ROW()-1)="u32",2,INDEX(E:E,ROW()-1)="u64",4,INDEX(E:E,ROW()-1)="f32",2,INDEX(E:E,ROW()-1)="f64",4)</f>
        <v>315</v>
      </c>
      <c r="E276" s="18" t="s">
        <v>34</v>
      </c>
      <c r="F276" s="19"/>
      <c r="G276" s="20" t="s">
        <v>23</v>
      </c>
      <c r="H276" s="20" t="s">
        <v>23</v>
      </c>
      <c r="I276" s="20" t="s">
        <v>35</v>
      </c>
      <c r="J276" s="10" t="s">
        <v>25</v>
      </c>
      <c r="K276" s="10" t="s">
        <v>26</v>
      </c>
      <c r="L276" s="10" t="s">
        <v>30</v>
      </c>
      <c r="M276" s="18" t="s">
        <v>28</v>
      </c>
      <c r="N276" s="10"/>
      <c r="O276" s="19"/>
      <c r="P276" s="19"/>
      <c r="Q276" s="29">
        <f t="shared" si="15"/>
        <v>1</v>
      </c>
      <c r="R276" s="10" t="str">
        <f t="shared" si="14"/>
        <v>P01.059</v>
      </c>
    </row>
    <row r="277" spans="1:18">
      <c r="A277" s="45"/>
      <c r="B277" s="45"/>
      <c r="C277" s="45"/>
      <c r="D277" s="10">
        <f>INDEX(D:D,ROW()-1)+_xlfn.IFS(INDEX(E:E,ROW()-1)="s16",1,INDEX(E:E,ROW()-1)="s32",2,INDEX(E:E,ROW()-1)="s64",4,INDEX(E:E,ROW()-1)="u16",1,INDEX(E:E,ROW()-1)="u32",2,INDEX(E:E,ROW()-1)="u64",4,INDEX(E:E,ROW()-1)="f32",2,INDEX(E:E,ROW()-1)="f64",4)</f>
        <v>316</v>
      </c>
      <c r="E277" s="18" t="s">
        <v>34</v>
      </c>
      <c r="F277" s="19"/>
      <c r="G277" s="20" t="s">
        <v>23</v>
      </c>
      <c r="H277" s="20" t="s">
        <v>23</v>
      </c>
      <c r="I277" s="20" t="s">
        <v>35</v>
      </c>
      <c r="J277" s="10" t="s">
        <v>25</v>
      </c>
      <c r="K277" s="10" t="s">
        <v>26</v>
      </c>
      <c r="L277" s="10" t="s">
        <v>30</v>
      </c>
      <c r="M277" s="18" t="s">
        <v>28</v>
      </c>
      <c r="N277" s="10"/>
      <c r="O277" s="19"/>
      <c r="P277" s="19"/>
      <c r="Q277" s="29">
        <f t="shared" si="15"/>
        <v>1</v>
      </c>
      <c r="R277" s="10" t="str">
        <f t="shared" si="14"/>
        <v>P01.060</v>
      </c>
    </row>
    <row r="278" spans="1:18">
      <c r="A278" s="45"/>
      <c r="B278" s="45"/>
      <c r="C278" s="45"/>
      <c r="D278" s="10">
        <f>INDEX(D:D,ROW()-1)+_xlfn.IFS(INDEX(E:E,ROW()-1)="s16",1,INDEX(E:E,ROW()-1)="s32",2,INDEX(E:E,ROW()-1)="s64",4,INDEX(E:E,ROW()-1)="u16",1,INDEX(E:E,ROW()-1)="u32",2,INDEX(E:E,ROW()-1)="u64",4,INDEX(E:E,ROW()-1)="f32",2,INDEX(E:E,ROW()-1)="f64",4)</f>
        <v>317</v>
      </c>
      <c r="E278" s="18" t="s">
        <v>34</v>
      </c>
      <c r="F278" s="19"/>
      <c r="G278" s="20" t="s">
        <v>23</v>
      </c>
      <c r="H278" s="20" t="s">
        <v>23</v>
      </c>
      <c r="I278" s="20" t="s">
        <v>35</v>
      </c>
      <c r="J278" s="10" t="s">
        <v>25</v>
      </c>
      <c r="K278" s="10" t="s">
        <v>26</v>
      </c>
      <c r="L278" s="10" t="s">
        <v>30</v>
      </c>
      <c r="M278" s="18" t="s">
        <v>28</v>
      </c>
      <c r="N278" s="10"/>
      <c r="O278" s="19"/>
      <c r="P278" s="19"/>
      <c r="Q278" s="29">
        <f t="shared" si="15"/>
        <v>1</v>
      </c>
      <c r="R278" s="10" t="str">
        <f t="shared" si="14"/>
        <v>P01.061</v>
      </c>
    </row>
    <row r="279" spans="1:18">
      <c r="A279" s="45"/>
      <c r="B279" s="45"/>
      <c r="C279" s="45"/>
      <c r="D279" s="10">
        <f>INDEX(D:D,ROW()-1)+_xlfn.IFS(INDEX(E:E,ROW()-1)="s16",1,INDEX(E:E,ROW()-1)="s32",2,INDEX(E:E,ROW()-1)="s64",4,INDEX(E:E,ROW()-1)="u16",1,INDEX(E:E,ROW()-1)="u32",2,INDEX(E:E,ROW()-1)="u64",4,INDEX(E:E,ROW()-1)="f32",2,INDEX(E:E,ROW()-1)="f64",4)</f>
        <v>318</v>
      </c>
      <c r="E279" s="18" t="s">
        <v>91</v>
      </c>
      <c r="F279" s="19" t="s">
        <v>426</v>
      </c>
      <c r="G279" s="20" t="s">
        <v>23</v>
      </c>
      <c r="H279" s="20" t="s">
        <v>93</v>
      </c>
      <c r="I279" s="20" t="s">
        <v>94</v>
      </c>
      <c r="J279" s="10" t="s">
        <v>25</v>
      </c>
      <c r="K279" s="10" t="s">
        <v>62</v>
      </c>
      <c r="L279" s="10" t="s">
        <v>30</v>
      </c>
      <c r="M279" s="18" t="s">
        <v>28</v>
      </c>
      <c r="N279" s="10"/>
      <c r="O279" s="19"/>
      <c r="P279" s="19"/>
      <c r="Q279" s="29">
        <f t="shared" si="15"/>
        <v>1</v>
      </c>
      <c r="R279" s="10" t="str">
        <f t="shared" si="14"/>
        <v>P01.062</v>
      </c>
    </row>
    <row r="280" spans="1:18">
      <c r="A280" s="45"/>
      <c r="B280" s="45"/>
      <c r="C280" s="45"/>
      <c r="D280" s="10">
        <f>INDEX(D:D,ROW()-1)+_xlfn.IFS(INDEX(E:E,ROW()-1)="s16",1,INDEX(E:E,ROW()-1)="s32",2,INDEX(E:E,ROW()-1)="s64",4,INDEX(E:E,ROW()-1)="u16",1,INDEX(E:E,ROW()-1)="u32",2,INDEX(E:E,ROW()-1)="u64",4,INDEX(E:E,ROW()-1)="f32",2,INDEX(E:E,ROW()-1)="f64",4)</f>
        <v>319</v>
      </c>
      <c r="E280" s="18" t="s">
        <v>91</v>
      </c>
      <c r="F280" s="19" t="s">
        <v>427</v>
      </c>
      <c r="G280" s="20" t="s">
        <v>23</v>
      </c>
      <c r="H280" s="20" t="s">
        <v>93</v>
      </c>
      <c r="I280" s="20" t="s">
        <v>94</v>
      </c>
      <c r="J280" s="10" t="s">
        <v>25</v>
      </c>
      <c r="K280" s="10" t="s">
        <v>62</v>
      </c>
      <c r="L280" s="10" t="s">
        <v>30</v>
      </c>
      <c r="M280" s="18" t="s">
        <v>28</v>
      </c>
      <c r="N280" s="10"/>
      <c r="O280" s="19"/>
      <c r="P280" s="19"/>
      <c r="Q280" s="29">
        <f t="shared" si="15"/>
        <v>1</v>
      </c>
      <c r="R280" s="10" t="str">
        <f t="shared" si="14"/>
        <v>P01.063</v>
      </c>
    </row>
    <row r="281" spans="1:18">
      <c r="A281" s="45"/>
      <c r="B281" s="45"/>
      <c r="C281" s="45"/>
      <c r="D281" s="10">
        <f>INDEX(D:D,ROW()-1)+_xlfn.IFS(INDEX(E:E,ROW()-1)="s16",1,INDEX(E:E,ROW()-1)="s32",2,INDEX(E:E,ROW()-1)="s64",4,INDEX(E:E,ROW()-1)="u16",1,INDEX(E:E,ROW()-1)="u32",2,INDEX(E:E,ROW()-1)="u64",4,INDEX(E:E,ROW()-1)="f32",2,INDEX(E:E,ROW()-1)="f64",4)</f>
        <v>320</v>
      </c>
      <c r="E281" s="18" t="s">
        <v>91</v>
      </c>
      <c r="F281" s="19" t="s">
        <v>428</v>
      </c>
      <c r="G281" s="20" t="s">
        <v>23</v>
      </c>
      <c r="H281" s="20" t="s">
        <v>93</v>
      </c>
      <c r="I281" s="20" t="s">
        <v>94</v>
      </c>
      <c r="J281" s="10" t="s">
        <v>25</v>
      </c>
      <c r="K281" s="10" t="s">
        <v>62</v>
      </c>
      <c r="L281" s="10" t="s">
        <v>30</v>
      </c>
      <c r="M281" s="18" t="s">
        <v>28</v>
      </c>
      <c r="N281" s="10"/>
      <c r="O281" s="19"/>
      <c r="P281" s="19"/>
      <c r="Q281" s="29">
        <f t="shared" si="15"/>
        <v>1</v>
      </c>
      <c r="R281" s="10" t="str">
        <f t="shared" si="14"/>
        <v>P01.064</v>
      </c>
    </row>
    <row r="282" spans="1:18">
      <c r="A282" s="45"/>
      <c r="B282" s="45"/>
      <c r="C282" s="45"/>
      <c r="D282" s="10">
        <f>INDEX(D:D,ROW()-1)+_xlfn.IFS(INDEX(E:E,ROW()-1)="s16",1,INDEX(E:E,ROW()-1)="s32",2,INDEX(E:E,ROW()-1)="s64",4,INDEX(E:E,ROW()-1)="u16",1,INDEX(E:E,ROW()-1)="u32",2,INDEX(E:E,ROW()-1)="u64",4,INDEX(E:E,ROW()-1)="f32",2,INDEX(E:E,ROW()-1)="f64",4)</f>
        <v>321</v>
      </c>
      <c r="E282" s="18" t="s">
        <v>91</v>
      </c>
      <c r="F282" s="19" t="s">
        <v>429</v>
      </c>
      <c r="G282" s="20" t="s">
        <v>23</v>
      </c>
      <c r="H282" s="20" t="s">
        <v>93</v>
      </c>
      <c r="I282" s="20" t="s">
        <v>94</v>
      </c>
      <c r="J282" s="10" t="s">
        <v>25</v>
      </c>
      <c r="K282" s="10" t="s">
        <v>62</v>
      </c>
      <c r="L282" s="10" t="s">
        <v>30</v>
      </c>
      <c r="M282" s="18" t="s">
        <v>28</v>
      </c>
      <c r="N282" s="10"/>
      <c r="O282" s="19"/>
      <c r="P282" s="19"/>
      <c r="Q282" s="29">
        <f t="shared" si="15"/>
        <v>1</v>
      </c>
      <c r="R282" s="10" t="str">
        <f t="shared" si="14"/>
        <v>P01.065</v>
      </c>
    </row>
    <row r="283" spans="1:18">
      <c r="A283" s="45"/>
      <c r="B283" s="45"/>
      <c r="C283" s="45"/>
      <c r="D283" s="10">
        <f>INDEX(D:D,ROW()-1)+_xlfn.IFS(INDEX(E:E,ROW()-1)="s16",1,INDEX(E:E,ROW()-1)="s32",2,INDEX(E:E,ROW()-1)="s64",4,INDEX(E:E,ROW()-1)="u16",1,INDEX(E:E,ROW()-1)="u32",2,INDEX(E:E,ROW()-1)="u64",4,INDEX(E:E,ROW()-1)="f32",2,INDEX(E:E,ROW()-1)="f64",4)</f>
        <v>322</v>
      </c>
      <c r="E283" s="18" t="s">
        <v>34</v>
      </c>
      <c r="F283" s="19" t="s">
        <v>430</v>
      </c>
      <c r="G283" s="20" t="s">
        <v>23</v>
      </c>
      <c r="H283" s="20" t="s">
        <v>23</v>
      </c>
      <c r="I283" s="20" t="s">
        <v>35</v>
      </c>
      <c r="J283" s="10" t="s">
        <v>25</v>
      </c>
      <c r="K283" s="10" t="s">
        <v>62</v>
      </c>
      <c r="L283" s="10" t="s">
        <v>30</v>
      </c>
      <c r="M283" s="18" t="s">
        <v>28</v>
      </c>
      <c r="N283" s="10"/>
      <c r="O283" s="19"/>
      <c r="P283" s="19"/>
      <c r="Q283" s="29">
        <f t="shared" si="15"/>
        <v>1</v>
      </c>
      <c r="R283" s="10" t="str">
        <f t="shared" si="14"/>
        <v>P01.066</v>
      </c>
    </row>
    <row r="284" spans="1:18">
      <c r="A284" s="45"/>
      <c r="B284" s="45"/>
      <c r="C284" s="45"/>
      <c r="D284" s="10">
        <f>INDEX(D:D,ROW()-1)+_xlfn.IFS(INDEX(E:E,ROW()-1)="s16",1,INDEX(E:E,ROW()-1)="s32",2,INDEX(E:E,ROW()-1)="s64",4,INDEX(E:E,ROW()-1)="u16",1,INDEX(E:E,ROW()-1)="u32",2,INDEX(E:E,ROW()-1)="u64",4,INDEX(E:E,ROW()-1)="f32",2,INDEX(E:E,ROW()-1)="f64",4)</f>
        <v>323</v>
      </c>
      <c r="E284" s="18" t="s">
        <v>34</v>
      </c>
      <c r="F284" s="19" t="s">
        <v>431</v>
      </c>
      <c r="G284" s="20" t="s">
        <v>23</v>
      </c>
      <c r="H284" s="20" t="s">
        <v>23</v>
      </c>
      <c r="I284" s="20" t="s">
        <v>35</v>
      </c>
      <c r="J284" s="10" t="s">
        <v>25</v>
      </c>
      <c r="K284" s="10" t="s">
        <v>62</v>
      </c>
      <c r="L284" s="10" t="s">
        <v>30</v>
      </c>
      <c r="M284" s="18" t="s">
        <v>28</v>
      </c>
      <c r="N284" s="10"/>
      <c r="O284" s="19"/>
      <c r="P284" s="19"/>
      <c r="Q284" s="29">
        <f t="shared" si="15"/>
        <v>1</v>
      </c>
      <c r="R284" s="10" t="str">
        <f t="shared" si="14"/>
        <v>P01.067</v>
      </c>
    </row>
    <row r="285" spans="1:18">
      <c r="A285" s="45"/>
      <c r="B285" s="45"/>
      <c r="C285" s="45"/>
      <c r="D285" s="10">
        <f>INDEX(D:D,ROW()-1)+_xlfn.IFS(INDEX(E:E,ROW()-1)="s16",1,INDEX(E:E,ROW()-1)="s32",2,INDEX(E:E,ROW()-1)="s64",4,INDEX(E:E,ROW()-1)="u16",1,INDEX(E:E,ROW()-1)="u32",2,INDEX(E:E,ROW()-1)="u64",4,INDEX(E:E,ROW()-1)="f32",2,INDEX(E:E,ROW()-1)="f64",4)</f>
        <v>324</v>
      </c>
      <c r="E285" s="18" t="s">
        <v>34</v>
      </c>
      <c r="F285" s="19" t="s">
        <v>432</v>
      </c>
      <c r="G285" s="20" t="s">
        <v>23</v>
      </c>
      <c r="H285" s="20" t="s">
        <v>23</v>
      </c>
      <c r="I285" s="20" t="s">
        <v>35</v>
      </c>
      <c r="J285" s="10" t="s">
        <v>25</v>
      </c>
      <c r="K285" s="10" t="s">
        <v>62</v>
      </c>
      <c r="L285" s="10" t="s">
        <v>30</v>
      </c>
      <c r="M285" s="18" t="s">
        <v>28</v>
      </c>
      <c r="N285" s="10"/>
      <c r="O285" s="19"/>
      <c r="P285" s="19"/>
      <c r="Q285" s="29">
        <f t="shared" si="15"/>
        <v>1</v>
      </c>
      <c r="R285" s="10" t="str">
        <f t="shared" si="14"/>
        <v>P01.068</v>
      </c>
    </row>
    <row r="286" spans="1:18">
      <c r="A286" s="45"/>
      <c r="B286" s="45"/>
      <c r="C286" s="45"/>
      <c r="D286" s="10">
        <f>INDEX(D:D,ROW()-1)+_xlfn.IFS(INDEX(E:E,ROW()-1)="s16",1,INDEX(E:E,ROW()-1)="s32",2,INDEX(E:E,ROW()-1)="s64",4,INDEX(E:E,ROW()-1)="u16",1,INDEX(E:E,ROW()-1)="u32",2,INDEX(E:E,ROW()-1)="u64",4,INDEX(E:E,ROW()-1)="f32",2,INDEX(E:E,ROW()-1)="f64",4)</f>
        <v>325</v>
      </c>
      <c r="E286" s="18" t="s">
        <v>34</v>
      </c>
      <c r="F286" s="19" t="s">
        <v>433</v>
      </c>
      <c r="G286" s="20" t="s">
        <v>23</v>
      </c>
      <c r="H286" s="20" t="s">
        <v>23</v>
      </c>
      <c r="I286" s="20" t="s">
        <v>35</v>
      </c>
      <c r="J286" s="10" t="s">
        <v>25</v>
      </c>
      <c r="K286" s="10" t="s">
        <v>62</v>
      </c>
      <c r="L286" s="10" t="s">
        <v>30</v>
      </c>
      <c r="M286" s="18" t="s">
        <v>28</v>
      </c>
      <c r="N286" s="10"/>
      <c r="O286" s="19"/>
      <c r="P286" s="19"/>
      <c r="Q286" s="29">
        <f t="shared" si="15"/>
        <v>1</v>
      </c>
      <c r="R286" s="10" t="str">
        <f t="shared" si="14"/>
        <v>P01.069</v>
      </c>
    </row>
    <row r="287" spans="1:18">
      <c r="A287" s="45"/>
      <c r="B287" s="45"/>
      <c r="C287" s="45"/>
      <c r="D287" s="10">
        <f>INDEX(D:D,ROW()-1)+_xlfn.IFS(INDEX(E:E,ROW()-1)="s16",1,INDEX(E:E,ROW()-1)="s32",2,INDEX(E:E,ROW()-1)="s64",4,INDEX(E:E,ROW()-1)="u16",1,INDEX(E:E,ROW()-1)="u32",2,INDEX(E:E,ROW()-1)="u64",4,INDEX(E:E,ROW()-1)="f32",2,INDEX(E:E,ROW()-1)="f64",4)</f>
        <v>326</v>
      </c>
      <c r="E287" s="18" t="s">
        <v>434</v>
      </c>
      <c r="F287" s="19" t="s">
        <v>435</v>
      </c>
      <c r="G287" s="20" t="s">
        <v>23</v>
      </c>
      <c r="H287" s="20" t="s">
        <v>436</v>
      </c>
      <c r="I287" s="20" t="s">
        <v>437</v>
      </c>
      <c r="J287" s="10" t="s">
        <v>25</v>
      </c>
      <c r="K287" s="10" t="s">
        <v>62</v>
      </c>
      <c r="L287" s="10" t="s">
        <v>30</v>
      </c>
      <c r="M287" s="18" t="s">
        <v>28</v>
      </c>
      <c r="N287" s="10"/>
      <c r="O287" s="19"/>
      <c r="P287" s="19"/>
      <c r="Q287" s="29">
        <f t="shared" si="15"/>
        <v>1</v>
      </c>
      <c r="R287" s="10" t="str">
        <f t="shared" si="14"/>
        <v>P01.070</v>
      </c>
    </row>
    <row r="288" spans="1:18">
      <c r="A288" s="45"/>
      <c r="B288" s="45"/>
      <c r="C288" s="45"/>
      <c r="D288" s="10">
        <f>INDEX(D:D,ROW()-1)+_xlfn.IFS(INDEX(E:E,ROW()-1)="s16",1,INDEX(E:E,ROW()-1)="s32",2,INDEX(E:E,ROW()-1)="s64",4,INDEX(E:E,ROW()-1)="u16",1,INDEX(E:E,ROW()-1)="u32",2,INDEX(E:E,ROW()-1)="u64",4,INDEX(E:E,ROW()-1)="f32",2,INDEX(E:E,ROW()-1)="f64",4)</f>
        <v>328</v>
      </c>
      <c r="E288" s="18" t="s">
        <v>434</v>
      </c>
      <c r="F288" s="19" t="s">
        <v>438</v>
      </c>
      <c r="G288" s="20" t="s">
        <v>23</v>
      </c>
      <c r="H288" s="20" t="s">
        <v>436</v>
      </c>
      <c r="I288" s="20" t="s">
        <v>437</v>
      </c>
      <c r="J288" s="10" t="s">
        <v>25</v>
      </c>
      <c r="K288" s="10" t="s">
        <v>62</v>
      </c>
      <c r="L288" s="10" t="s">
        <v>30</v>
      </c>
      <c r="M288" s="18" t="s">
        <v>28</v>
      </c>
      <c r="N288" s="10"/>
      <c r="O288" s="19"/>
      <c r="P288" s="19"/>
      <c r="Q288" s="29">
        <f t="shared" si="15"/>
        <v>1</v>
      </c>
      <c r="R288" s="10" t="str">
        <f t="shared" si="14"/>
        <v>P01.072</v>
      </c>
    </row>
    <row r="289" spans="1:18">
      <c r="A289" s="45"/>
      <c r="B289" s="45"/>
      <c r="C289" s="45"/>
      <c r="D289" s="10">
        <f>INDEX(D:D,ROW()-1)+_xlfn.IFS(INDEX(E:E,ROW()-1)="s16",1,INDEX(E:E,ROW()-1)="s32",2,INDEX(E:E,ROW()-1)="s64",4,INDEX(E:E,ROW()-1)="u16",1,INDEX(E:E,ROW()-1)="u32",2,INDEX(E:E,ROW()-1)="u64",4,INDEX(E:E,ROW()-1)="f32",2,INDEX(E:E,ROW()-1)="f64",4)</f>
        <v>330</v>
      </c>
      <c r="E289" s="18" t="s">
        <v>434</v>
      </c>
      <c r="F289" s="19" t="s">
        <v>439</v>
      </c>
      <c r="G289" s="20" t="s">
        <v>23</v>
      </c>
      <c r="H289" s="20" t="s">
        <v>436</v>
      </c>
      <c r="I289" s="20" t="s">
        <v>437</v>
      </c>
      <c r="J289" s="10" t="s">
        <v>25</v>
      </c>
      <c r="K289" s="10" t="s">
        <v>62</v>
      </c>
      <c r="L289" s="10" t="s">
        <v>30</v>
      </c>
      <c r="M289" s="18" t="s">
        <v>28</v>
      </c>
      <c r="N289" s="10"/>
      <c r="O289" s="19"/>
      <c r="P289" s="19"/>
      <c r="Q289" s="29">
        <f t="shared" si="15"/>
        <v>1</v>
      </c>
      <c r="R289" s="10" t="str">
        <f t="shared" si="14"/>
        <v>P01.074</v>
      </c>
    </row>
    <row r="290" spans="1:18">
      <c r="A290" s="45"/>
      <c r="B290" s="45"/>
      <c r="C290" s="45"/>
      <c r="D290" s="10">
        <f>INDEX(D:D,ROW()-1)+_xlfn.IFS(INDEX(E:E,ROW()-1)="s16",1,INDEX(E:E,ROW()-1)="s32",2,INDEX(E:E,ROW()-1)="s64",4,INDEX(E:E,ROW()-1)="u16",1,INDEX(E:E,ROW()-1)="u32",2,INDEX(E:E,ROW()-1)="u64",4,INDEX(E:E,ROW()-1)="f32",2,INDEX(E:E,ROW()-1)="f64",4)</f>
        <v>332</v>
      </c>
      <c r="E290" s="18" t="s">
        <v>434</v>
      </c>
      <c r="F290" s="19" t="s">
        <v>440</v>
      </c>
      <c r="G290" s="20" t="s">
        <v>23</v>
      </c>
      <c r="H290" s="20" t="s">
        <v>436</v>
      </c>
      <c r="I290" s="20" t="s">
        <v>437</v>
      </c>
      <c r="J290" s="10" t="s">
        <v>25</v>
      </c>
      <c r="K290" s="10" t="s">
        <v>62</v>
      </c>
      <c r="L290" s="10" t="s">
        <v>30</v>
      </c>
      <c r="M290" s="18" t="s">
        <v>28</v>
      </c>
      <c r="N290" s="10"/>
      <c r="O290" s="19"/>
      <c r="P290" s="19"/>
      <c r="Q290" s="29">
        <f t="shared" si="15"/>
        <v>1</v>
      </c>
      <c r="R290" s="10" t="str">
        <f t="shared" si="14"/>
        <v>P01.076</v>
      </c>
    </row>
    <row r="291" spans="1:18">
      <c r="A291" s="45"/>
      <c r="B291" s="45"/>
      <c r="C291" s="45"/>
      <c r="D291" s="10">
        <f>INDEX(D:D,ROW()-1)+_xlfn.IFS(INDEX(E:E,ROW()-1)="s16",1,INDEX(E:E,ROW()-1)="s32",2,INDEX(E:E,ROW()-1)="s64",4,INDEX(E:E,ROW()-1)="u16",1,INDEX(E:E,ROW()-1)="u32",2,INDEX(E:E,ROW()-1)="u64",4,INDEX(E:E,ROW()-1)="f32",2,INDEX(E:E,ROW()-1)="f64",4)</f>
        <v>334</v>
      </c>
      <c r="E291" s="18" t="s">
        <v>20</v>
      </c>
      <c r="F291" s="19" t="s">
        <v>441</v>
      </c>
      <c r="G291" s="20" t="s">
        <v>23</v>
      </c>
      <c r="H291" s="20" t="s">
        <v>23</v>
      </c>
      <c r="I291" s="20" t="s">
        <v>24</v>
      </c>
      <c r="J291" s="10" t="s">
        <v>25</v>
      </c>
      <c r="K291" s="10" t="s">
        <v>62</v>
      </c>
      <c r="L291" s="10" t="s">
        <v>30</v>
      </c>
      <c r="M291" s="18" t="s">
        <v>28</v>
      </c>
      <c r="N291" s="10"/>
      <c r="O291" s="19"/>
      <c r="P291" s="19"/>
      <c r="Q291" s="29">
        <f t="shared" si="15"/>
        <v>1</v>
      </c>
      <c r="R291" s="10" t="str">
        <f t="shared" si="14"/>
        <v>P01.078</v>
      </c>
    </row>
    <row r="292" spans="1:18">
      <c r="A292" s="45"/>
      <c r="B292" s="45"/>
      <c r="C292" s="45"/>
      <c r="D292" s="10">
        <f>INDEX(D:D,ROW()-1)+_xlfn.IFS(INDEX(E:E,ROW()-1)="s16",1,INDEX(E:E,ROW()-1)="s32",2,INDEX(E:E,ROW()-1)="s64",4,INDEX(E:E,ROW()-1)="u16",1,INDEX(E:E,ROW()-1)="u32",2,INDEX(E:E,ROW()-1)="u64",4,INDEX(E:E,ROW()-1)="f32",2,INDEX(E:E,ROW()-1)="f64",4)</f>
        <v>336</v>
      </c>
      <c r="E292" s="18" t="s">
        <v>20</v>
      </c>
      <c r="F292" s="19" t="s">
        <v>442</v>
      </c>
      <c r="G292" s="20" t="s">
        <v>23</v>
      </c>
      <c r="H292" s="20" t="s">
        <v>23</v>
      </c>
      <c r="I292" s="20" t="s">
        <v>24</v>
      </c>
      <c r="J292" s="10" t="s">
        <v>25</v>
      </c>
      <c r="K292" s="10" t="s">
        <v>62</v>
      </c>
      <c r="L292" s="10" t="s">
        <v>30</v>
      </c>
      <c r="M292" s="18" t="s">
        <v>28</v>
      </c>
      <c r="N292" s="10"/>
      <c r="O292" s="19"/>
      <c r="P292" s="19"/>
      <c r="Q292" s="29">
        <f t="shared" si="15"/>
        <v>1</v>
      </c>
      <c r="R292" s="10" t="str">
        <f t="shared" si="14"/>
        <v>P01.080</v>
      </c>
    </row>
    <row r="293" spans="1:18">
      <c r="A293" s="45"/>
      <c r="B293" s="45"/>
      <c r="C293" s="45"/>
      <c r="D293" s="10">
        <f>INDEX(D:D,ROW()-1)+_xlfn.IFS(INDEX(E:E,ROW()-1)="s16",1,INDEX(E:E,ROW()-1)="s32",2,INDEX(E:E,ROW()-1)="s64",4,INDEX(E:E,ROW()-1)="u16",1,INDEX(E:E,ROW()-1)="u32",2,INDEX(E:E,ROW()-1)="u64",4,INDEX(E:E,ROW()-1)="f32",2,INDEX(E:E,ROW()-1)="f64",4)</f>
        <v>338</v>
      </c>
      <c r="E293" s="18" t="s">
        <v>20</v>
      </c>
      <c r="F293" s="19" t="s">
        <v>443</v>
      </c>
      <c r="G293" s="20" t="s">
        <v>23</v>
      </c>
      <c r="H293" s="20" t="s">
        <v>23</v>
      </c>
      <c r="I293" s="20" t="s">
        <v>24</v>
      </c>
      <c r="J293" s="10" t="s">
        <v>25</v>
      </c>
      <c r="K293" s="10" t="s">
        <v>62</v>
      </c>
      <c r="L293" s="10" t="s">
        <v>30</v>
      </c>
      <c r="M293" s="18" t="s">
        <v>28</v>
      </c>
      <c r="N293" s="10"/>
      <c r="O293" s="19"/>
      <c r="P293" s="19"/>
      <c r="Q293" s="29">
        <f t="shared" si="15"/>
        <v>1</v>
      </c>
      <c r="R293" s="10" t="str">
        <f t="shared" si="14"/>
        <v>P01.082</v>
      </c>
    </row>
    <row r="294" spans="1:18">
      <c r="A294" s="45"/>
      <c r="B294" s="45"/>
      <c r="C294" s="45"/>
      <c r="D294" s="10">
        <f>INDEX(D:D,ROW()-1)+_xlfn.IFS(INDEX(E:E,ROW()-1)="s16",1,INDEX(E:E,ROW()-1)="s32",2,INDEX(E:E,ROW()-1)="s64",4,INDEX(E:E,ROW()-1)="u16",1,INDEX(E:E,ROW()-1)="u32",2,INDEX(E:E,ROW()-1)="u64",4,INDEX(E:E,ROW()-1)="f32",2,INDEX(E:E,ROW()-1)="f64",4)</f>
        <v>340</v>
      </c>
      <c r="E294" s="18" t="s">
        <v>20</v>
      </c>
      <c r="F294" s="19" t="s">
        <v>444</v>
      </c>
      <c r="G294" s="20" t="s">
        <v>23</v>
      </c>
      <c r="H294" s="20" t="s">
        <v>23</v>
      </c>
      <c r="I294" s="20" t="s">
        <v>24</v>
      </c>
      <c r="J294" s="10" t="s">
        <v>25</v>
      </c>
      <c r="K294" s="10" t="s">
        <v>62</v>
      </c>
      <c r="L294" s="10" t="s">
        <v>30</v>
      </c>
      <c r="M294" s="18" t="s">
        <v>28</v>
      </c>
      <c r="N294" s="10"/>
      <c r="O294" s="19"/>
      <c r="P294" s="19"/>
      <c r="Q294" s="29">
        <f t="shared" si="15"/>
        <v>1</v>
      </c>
      <c r="R294" s="10" t="str">
        <f t="shared" si="14"/>
        <v>P01.084</v>
      </c>
    </row>
    <row r="295" spans="1:18">
      <c r="A295" s="45"/>
      <c r="B295" s="45"/>
      <c r="C295" s="45"/>
      <c r="D295" s="10">
        <f>INDEX(D:D,ROW()-1)+_xlfn.IFS(INDEX(E:E,ROW()-1)="s16",1,INDEX(E:E,ROW()-1)="s32",2,INDEX(E:E,ROW()-1)="s64",4,INDEX(E:E,ROW()-1)="u16",1,INDEX(E:E,ROW()-1)="u32",2,INDEX(E:E,ROW()-1)="u64",4,INDEX(E:E,ROW()-1)="f32",2,INDEX(E:E,ROW()-1)="f64",4)</f>
        <v>342</v>
      </c>
      <c r="E295" s="18" t="s">
        <v>34</v>
      </c>
      <c r="F295" s="19"/>
      <c r="G295" s="20" t="s">
        <v>23</v>
      </c>
      <c r="H295" s="20" t="s">
        <v>23</v>
      </c>
      <c r="I295" s="20" t="s">
        <v>35</v>
      </c>
      <c r="J295" s="10" t="s">
        <v>25</v>
      </c>
      <c r="K295" s="10" t="s">
        <v>26</v>
      </c>
      <c r="L295" s="10" t="s">
        <v>30</v>
      </c>
      <c r="M295" s="18" t="s">
        <v>28</v>
      </c>
      <c r="N295" s="10"/>
      <c r="O295" s="19"/>
      <c r="P295" s="19"/>
      <c r="Q295" s="29">
        <f t="shared" si="15"/>
        <v>1</v>
      </c>
      <c r="R295" s="10" t="str">
        <f t="shared" si="14"/>
        <v>P01.086</v>
      </c>
    </row>
  </sheetData>
  <mergeCells count="28">
    <mergeCell ref="J3:M3"/>
    <mergeCell ref="A3:A4"/>
    <mergeCell ref="A5:A65"/>
    <mergeCell ref="A66:A165"/>
    <mergeCell ref="A166:A256"/>
    <mergeCell ref="A257:A295"/>
    <mergeCell ref="B3:B4"/>
    <mergeCell ref="B5:B65"/>
    <mergeCell ref="B66:B165"/>
    <mergeCell ref="B166:B256"/>
    <mergeCell ref="B257:B295"/>
    <mergeCell ref="C3:C4"/>
    <mergeCell ref="C5:C65"/>
    <mergeCell ref="C66:C165"/>
    <mergeCell ref="C166:C256"/>
    <mergeCell ref="C257:C295"/>
    <mergeCell ref="D3:D4"/>
    <mergeCell ref="E3:E4"/>
    <mergeCell ref="F3:F4"/>
    <mergeCell ref="G3:G4"/>
    <mergeCell ref="H3:H4"/>
    <mergeCell ref="I3:I4"/>
    <mergeCell ref="N3:N4"/>
    <mergeCell ref="O3:O4"/>
    <mergeCell ref="P3:P4"/>
    <mergeCell ref="R3:R4"/>
    <mergeCell ref="A1:C2"/>
    <mergeCell ref="D1:P2"/>
  </mergeCells>
  <conditionalFormatting sqref="K9">
    <cfRule type="cellIs" dxfId="0" priority="678" operator="equal">
      <formula>"读写 - 立即更改，立即生效"</formula>
    </cfRule>
    <cfRule type="cellIs" dxfId="1" priority="679" operator="equal">
      <formula>"读写 - 立即更改，重启生效"</formula>
    </cfRule>
    <cfRule type="cellIs" dxfId="2" priority="680" operator="equal">
      <formula>"读写 - 停机更改，立即生效"</formula>
    </cfRule>
  </conditionalFormatting>
  <conditionalFormatting sqref="L9">
    <cfRule type="cellIs" dxfId="3" priority="681" operator="equal">
      <formula>"允许保存，不可恢复"</formula>
    </cfRule>
    <cfRule type="cellIs" dxfId="4" priority="684" operator="equal">
      <formula>"允许保存，可恢复"</formula>
    </cfRule>
  </conditionalFormatting>
  <conditionalFormatting sqref="M9">
    <cfRule type="cellIs" dxfId="5" priority="682" operator="equal">
      <formula>"User"</formula>
    </cfRule>
    <cfRule type="cellIs" dxfId="6" priority="683" operator="equal">
      <formula>"Admin"</formula>
    </cfRule>
  </conditionalFormatting>
  <conditionalFormatting sqref="O9">
    <cfRule type="containsBlanks" dxfId="7" priority="676">
      <formula>LEN(TRIM(O9))=0</formula>
    </cfRule>
  </conditionalFormatting>
  <conditionalFormatting sqref="E32">
    <cfRule type="cellIs" priority="250" operator="equal">
      <formula>"s16"</formula>
    </cfRule>
    <cfRule type="cellIs" dxfId="8" priority="249" operator="equal">
      <formula>"s32"</formula>
    </cfRule>
    <cfRule type="cellIs" dxfId="9" priority="248" operator="equal">
      <formula>"s64"</formula>
    </cfRule>
    <cfRule type="cellIs" priority="247" operator="equal">
      <formula>"u16"</formula>
    </cfRule>
    <cfRule type="cellIs" dxfId="10" priority="246" operator="equal">
      <formula>"u32"</formula>
    </cfRule>
    <cfRule type="cellIs" dxfId="11" priority="245" operator="equal">
      <formula>"u64"</formula>
    </cfRule>
    <cfRule type="cellIs" dxfId="12" priority="244" operator="equal">
      <formula>"f32"</formula>
    </cfRule>
    <cfRule type="cellIs" dxfId="13" priority="243" operator="equal">
      <formula>"f64"</formula>
    </cfRule>
    <cfRule type="cellIs" dxfId="12" priority="242" operator="equal">
      <formula>"f32"</formula>
    </cfRule>
    <cfRule type="cellIs" dxfId="13" priority="241" operator="equal">
      <formula>"f64"</formula>
    </cfRule>
    <cfRule type="cellIs" dxfId="13" priority="240" operator="equal">
      <formula>"f64"</formula>
    </cfRule>
  </conditionalFormatting>
  <conditionalFormatting sqref="F32">
    <cfRule type="containsBlanks" dxfId="7" priority="177">
      <formula>LEN(TRIM(F32))=0</formula>
    </cfRule>
  </conditionalFormatting>
  <conditionalFormatting sqref="K32">
    <cfRule type="cellIs" dxfId="2" priority="180" operator="equal">
      <formula>"读写 - 停机更改，立即生效"</formula>
    </cfRule>
    <cfRule type="cellIs" dxfId="1" priority="179" operator="equal">
      <formula>"读写 - 立即更改，重启生效"</formula>
    </cfRule>
    <cfRule type="cellIs" dxfId="0" priority="178" operator="equal">
      <formula>"读写 - 立即更改，立即生效"</formula>
    </cfRule>
  </conditionalFormatting>
  <conditionalFormatting sqref="L32">
    <cfRule type="cellIs" dxfId="4" priority="184" operator="equal">
      <formula>"允许保存，可恢复"</formula>
    </cfRule>
    <cfRule type="cellIs" dxfId="3" priority="181" operator="equal">
      <formula>"允许保存，不可恢复"</formula>
    </cfRule>
  </conditionalFormatting>
  <conditionalFormatting sqref="M32">
    <cfRule type="cellIs" dxfId="6" priority="183" operator="equal">
      <formula>"Admin"</formula>
    </cfRule>
    <cfRule type="cellIs" dxfId="5" priority="182" operator="equal">
      <formula>"User"</formula>
    </cfRule>
  </conditionalFormatting>
  <conditionalFormatting sqref="E34">
    <cfRule type="cellIs" priority="694" operator="equal">
      <formula>"s16"</formula>
    </cfRule>
    <cfRule type="cellIs" dxfId="8" priority="693" operator="equal">
      <formula>"s32"</formula>
    </cfRule>
    <cfRule type="cellIs" dxfId="9" priority="692" operator="equal">
      <formula>"s64"</formula>
    </cfRule>
    <cfRule type="cellIs" priority="691" operator="equal">
      <formula>"u16"</formula>
    </cfRule>
    <cfRule type="cellIs" dxfId="10" priority="690" operator="equal">
      <formula>"u32"</formula>
    </cfRule>
    <cfRule type="cellIs" dxfId="11" priority="689" operator="equal">
      <formula>"u64"</formula>
    </cfRule>
    <cfRule type="cellIs" dxfId="12" priority="688" operator="equal">
      <formula>"f32"</formula>
    </cfRule>
    <cfRule type="cellIs" dxfId="13" priority="687" operator="equal">
      <formula>"f64"</formula>
    </cfRule>
    <cfRule type="cellIs" dxfId="12" priority="686" operator="equal">
      <formula>"f32"</formula>
    </cfRule>
    <cfRule type="cellIs" dxfId="13" priority="685" operator="equal">
      <formula>"f64"</formula>
    </cfRule>
    <cfRule type="cellIs" dxfId="13" priority="677" operator="equal">
      <formula>"f64"</formula>
    </cfRule>
  </conditionalFormatting>
  <conditionalFormatting sqref="F34">
    <cfRule type="containsBlanks" dxfId="7" priority="405">
      <formula>LEN(TRIM(F34))=0</formula>
    </cfRule>
  </conditionalFormatting>
  <conditionalFormatting sqref="K34">
    <cfRule type="cellIs" dxfId="2" priority="408" operator="equal">
      <formula>"读写 - 停机更改，立即生效"</formula>
    </cfRule>
    <cfRule type="cellIs" dxfId="1" priority="407" operator="equal">
      <formula>"读写 - 立即更改，重启生效"</formula>
    </cfRule>
    <cfRule type="cellIs" dxfId="0" priority="406" operator="equal">
      <formula>"读写 - 立即更改，立即生效"</formula>
    </cfRule>
  </conditionalFormatting>
  <conditionalFormatting sqref="L34">
    <cfRule type="cellIs" dxfId="4" priority="404" operator="equal">
      <formula>"允许保存，可恢复"</formula>
    </cfRule>
    <cfRule type="cellIs" dxfId="3" priority="403" operator="equal">
      <formula>"允许保存，不可恢复"</formula>
    </cfRule>
  </conditionalFormatting>
  <conditionalFormatting sqref="M34">
    <cfRule type="cellIs" dxfId="6" priority="402" operator="equal">
      <formula>"Admin"</formula>
    </cfRule>
    <cfRule type="cellIs" dxfId="5" priority="401" operator="equal">
      <formula>"User"</formula>
    </cfRule>
  </conditionalFormatting>
  <conditionalFormatting sqref="R34">
    <cfRule type="containsBlanks" dxfId="7" priority="431">
      <formula>LEN(TRIM(R34))=0</formula>
    </cfRule>
  </conditionalFormatting>
  <conditionalFormatting sqref="E36">
    <cfRule type="cellIs" priority="382" operator="equal">
      <formula>"s16"</formula>
    </cfRule>
    <cfRule type="cellIs" dxfId="8" priority="381" operator="equal">
      <formula>"s32"</formula>
    </cfRule>
    <cfRule type="cellIs" dxfId="9" priority="380" operator="equal">
      <formula>"s64"</formula>
    </cfRule>
    <cfRule type="cellIs" priority="379" operator="equal">
      <formula>"u16"</formula>
    </cfRule>
    <cfRule type="cellIs" dxfId="10" priority="378" operator="equal">
      <formula>"u32"</formula>
    </cfRule>
    <cfRule type="cellIs" dxfId="11" priority="377" operator="equal">
      <formula>"u64"</formula>
    </cfRule>
    <cfRule type="cellIs" dxfId="12" priority="376" operator="equal">
      <formula>"f32"</formula>
    </cfRule>
    <cfRule type="cellIs" dxfId="13" priority="375" operator="equal">
      <formula>"f64"</formula>
    </cfRule>
    <cfRule type="cellIs" dxfId="12" priority="374" operator="equal">
      <formula>"f32"</formula>
    </cfRule>
    <cfRule type="cellIs" dxfId="13" priority="373" operator="equal">
      <formula>"f64"</formula>
    </cfRule>
    <cfRule type="cellIs" dxfId="13" priority="372" operator="equal">
      <formula>"f64"</formula>
    </cfRule>
  </conditionalFormatting>
  <conditionalFormatting sqref="F36">
    <cfRule type="containsBlanks" dxfId="7" priority="367">
      <formula>LEN(TRIM(F36))=0</formula>
    </cfRule>
  </conditionalFormatting>
  <conditionalFormatting sqref="K36">
    <cfRule type="cellIs" dxfId="2" priority="370" operator="equal">
      <formula>"读写 - 停机更改，立即生效"</formula>
    </cfRule>
    <cfRule type="cellIs" dxfId="1" priority="369" operator="equal">
      <formula>"读写 - 立即更改，重启生效"</formula>
    </cfRule>
    <cfRule type="cellIs" dxfId="0" priority="368" operator="equal">
      <formula>"读写 - 立即更改，立即生效"</formula>
    </cfRule>
  </conditionalFormatting>
  <conditionalFormatting sqref="L36">
    <cfRule type="cellIs" dxfId="4" priority="366" operator="equal">
      <formula>"允许保存，可恢复"</formula>
    </cfRule>
    <cfRule type="cellIs" dxfId="3" priority="365" operator="equal">
      <formula>"允许保存，不可恢复"</formula>
    </cfRule>
  </conditionalFormatting>
  <conditionalFormatting sqref="M36">
    <cfRule type="cellIs" dxfId="6" priority="364" operator="equal">
      <formula>"Admin"</formula>
    </cfRule>
    <cfRule type="cellIs" dxfId="5" priority="363" operator="equal">
      <formula>"User"</formula>
    </cfRule>
  </conditionalFormatting>
  <conditionalFormatting sqref="E37">
    <cfRule type="cellIs" priority="393" operator="equal">
      <formula>"s16"</formula>
    </cfRule>
    <cfRule type="cellIs" dxfId="8" priority="392" operator="equal">
      <formula>"s32"</formula>
    </cfRule>
    <cfRule type="cellIs" dxfId="9" priority="391" operator="equal">
      <formula>"s64"</formula>
    </cfRule>
    <cfRule type="cellIs" priority="390" operator="equal">
      <formula>"u16"</formula>
    </cfRule>
    <cfRule type="cellIs" dxfId="10" priority="389" operator="equal">
      <formula>"u32"</formula>
    </cfRule>
    <cfRule type="cellIs" dxfId="11" priority="388" operator="equal">
      <formula>"u64"</formula>
    </cfRule>
    <cfRule type="cellIs" dxfId="12" priority="387" operator="equal">
      <formula>"f32"</formula>
    </cfRule>
    <cfRule type="cellIs" dxfId="13" priority="386" operator="equal">
      <formula>"f64"</formula>
    </cfRule>
    <cfRule type="cellIs" dxfId="12" priority="385" operator="equal">
      <formula>"f32"</formula>
    </cfRule>
    <cfRule type="cellIs" dxfId="13" priority="384" operator="equal">
      <formula>"f64"</formula>
    </cfRule>
    <cfRule type="cellIs" dxfId="13" priority="383" operator="equal">
      <formula>"f64"</formula>
    </cfRule>
  </conditionalFormatting>
  <conditionalFormatting sqref="F37">
    <cfRule type="containsBlanks" dxfId="7" priority="371">
      <formula>LEN(TRIM(F37))=0</formula>
    </cfRule>
  </conditionalFormatting>
  <conditionalFormatting sqref="K37">
    <cfRule type="cellIs" dxfId="2" priority="396" operator="equal">
      <formula>"读写 - 停机更改，立即生效"</formula>
    </cfRule>
    <cfRule type="cellIs" dxfId="1" priority="395" operator="equal">
      <formula>"读写 - 立即更改，重启生效"</formula>
    </cfRule>
    <cfRule type="cellIs" dxfId="0" priority="394" operator="equal">
      <formula>"读写 - 立即更改，立即生效"</formula>
    </cfRule>
  </conditionalFormatting>
  <conditionalFormatting sqref="L37">
    <cfRule type="cellIs" dxfId="4" priority="400" operator="equal">
      <formula>"允许保存，可恢复"</formula>
    </cfRule>
    <cfRule type="cellIs" dxfId="3" priority="397" operator="equal">
      <formula>"允许保存，不可恢复"</formula>
    </cfRule>
  </conditionalFormatting>
  <conditionalFormatting sqref="M37">
    <cfRule type="cellIs" dxfId="6" priority="399" operator="equal">
      <formula>"Admin"</formula>
    </cfRule>
    <cfRule type="cellIs" dxfId="5" priority="398" operator="equal">
      <formula>"User"</formula>
    </cfRule>
  </conditionalFormatting>
  <conditionalFormatting sqref="E39">
    <cfRule type="cellIs" priority="344" operator="equal">
      <formula>"s16"</formula>
    </cfRule>
    <cfRule type="cellIs" dxfId="8" priority="343" operator="equal">
      <formula>"s32"</formula>
    </cfRule>
    <cfRule type="cellIs" dxfId="9" priority="342" operator="equal">
      <formula>"s64"</formula>
    </cfRule>
    <cfRule type="cellIs" priority="341" operator="equal">
      <formula>"u16"</formula>
    </cfRule>
    <cfRule type="cellIs" dxfId="10" priority="340" operator="equal">
      <formula>"u32"</formula>
    </cfRule>
    <cfRule type="cellIs" dxfId="11" priority="339" operator="equal">
      <formula>"u64"</formula>
    </cfRule>
    <cfRule type="cellIs" dxfId="12" priority="338" operator="equal">
      <formula>"f32"</formula>
    </cfRule>
    <cfRule type="cellIs" dxfId="13" priority="337" operator="equal">
      <formula>"f64"</formula>
    </cfRule>
    <cfRule type="cellIs" dxfId="12" priority="336" operator="equal">
      <formula>"f32"</formula>
    </cfRule>
    <cfRule type="cellIs" dxfId="13" priority="335" operator="equal">
      <formula>"f64"</formula>
    </cfRule>
    <cfRule type="cellIs" dxfId="13" priority="334" operator="equal">
      <formula>"f64"</formula>
    </cfRule>
  </conditionalFormatting>
  <conditionalFormatting sqref="F39">
    <cfRule type="containsBlanks" dxfId="7" priority="329">
      <formula>LEN(TRIM(F39))=0</formula>
    </cfRule>
  </conditionalFormatting>
  <conditionalFormatting sqref="K39">
    <cfRule type="cellIs" dxfId="2" priority="332" operator="equal">
      <formula>"读写 - 停机更改，立即生效"</formula>
    </cfRule>
    <cfRule type="cellIs" dxfId="1" priority="331" operator="equal">
      <formula>"读写 - 立即更改，重启生效"</formula>
    </cfRule>
    <cfRule type="cellIs" dxfId="0" priority="330" operator="equal">
      <formula>"读写 - 立即更改，立即生效"</formula>
    </cfRule>
  </conditionalFormatting>
  <conditionalFormatting sqref="L39">
    <cfRule type="cellIs" dxfId="4" priority="328" operator="equal">
      <formula>"允许保存，可恢复"</formula>
    </cfRule>
    <cfRule type="cellIs" dxfId="3" priority="327" operator="equal">
      <formula>"允许保存，不可恢复"</formula>
    </cfRule>
  </conditionalFormatting>
  <conditionalFormatting sqref="M39">
    <cfRule type="cellIs" dxfId="6" priority="326" operator="equal">
      <formula>"Admin"</formula>
    </cfRule>
    <cfRule type="cellIs" dxfId="5" priority="325" operator="equal">
      <formula>"User"</formula>
    </cfRule>
  </conditionalFormatting>
  <conditionalFormatting sqref="E40">
    <cfRule type="cellIs" priority="355" operator="equal">
      <formula>"s16"</formula>
    </cfRule>
    <cfRule type="cellIs" dxfId="8" priority="354" operator="equal">
      <formula>"s32"</formula>
    </cfRule>
    <cfRule type="cellIs" dxfId="9" priority="353" operator="equal">
      <formula>"s64"</formula>
    </cfRule>
    <cfRule type="cellIs" priority="352" operator="equal">
      <formula>"u16"</formula>
    </cfRule>
    <cfRule type="cellIs" dxfId="10" priority="351" operator="equal">
      <formula>"u32"</formula>
    </cfRule>
    <cfRule type="cellIs" dxfId="11" priority="350" operator="equal">
      <formula>"u64"</formula>
    </cfRule>
    <cfRule type="cellIs" dxfId="12" priority="349" operator="equal">
      <formula>"f32"</formula>
    </cfRule>
    <cfRule type="cellIs" dxfId="13" priority="348" operator="equal">
      <formula>"f64"</formula>
    </cfRule>
    <cfRule type="cellIs" dxfId="12" priority="347" operator="equal">
      <formula>"f32"</formula>
    </cfRule>
    <cfRule type="cellIs" dxfId="13" priority="346" operator="equal">
      <formula>"f64"</formula>
    </cfRule>
    <cfRule type="cellIs" dxfId="13" priority="345" operator="equal">
      <formula>"f64"</formula>
    </cfRule>
  </conditionalFormatting>
  <conditionalFormatting sqref="F40">
    <cfRule type="containsBlanks" dxfId="7" priority="333">
      <formula>LEN(TRIM(F40))=0</formula>
    </cfRule>
  </conditionalFormatting>
  <conditionalFormatting sqref="K40">
    <cfRule type="cellIs" dxfId="2" priority="358" operator="equal">
      <formula>"读写 - 停机更改，立即生效"</formula>
    </cfRule>
    <cfRule type="cellIs" dxfId="1" priority="357" operator="equal">
      <formula>"读写 - 立即更改，重启生效"</formula>
    </cfRule>
    <cfRule type="cellIs" dxfId="0" priority="356" operator="equal">
      <formula>"读写 - 立即更改，立即生效"</formula>
    </cfRule>
  </conditionalFormatting>
  <conditionalFormatting sqref="L40">
    <cfRule type="cellIs" dxfId="4" priority="362" operator="equal">
      <formula>"允许保存，可恢复"</formula>
    </cfRule>
    <cfRule type="cellIs" dxfId="3" priority="359" operator="equal">
      <formula>"允许保存，不可恢复"</formula>
    </cfRule>
  </conditionalFormatting>
  <conditionalFormatting sqref="M40">
    <cfRule type="cellIs" dxfId="6" priority="361" operator="equal">
      <formula>"Admin"</formula>
    </cfRule>
    <cfRule type="cellIs" dxfId="5" priority="360" operator="equal">
      <formula>"User"</formula>
    </cfRule>
  </conditionalFormatting>
  <conditionalFormatting sqref="E41">
    <cfRule type="cellIs" priority="324" operator="equal">
      <formula>"s16"</formula>
    </cfRule>
    <cfRule type="cellIs" dxfId="8" priority="323" operator="equal">
      <formula>"s32"</formula>
    </cfRule>
    <cfRule type="cellIs" dxfId="9" priority="322" operator="equal">
      <formula>"s64"</formula>
    </cfRule>
    <cfRule type="cellIs" priority="321" operator="equal">
      <formula>"u16"</formula>
    </cfRule>
    <cfRule type="cellIs" dxfId="10" priority="320" operator="equal">
      <formula>"u32"</formula>
    </cfRule>
    <cfRule type="cellIs" dxfId="11" priority="319" operator="equal">
      <formula>"u64"</formula>
    </cfRule>
    <cfRule type="cellIs" dxfId="12" priority="318" operator="equal">
      <formula>"f32"</formula>
    </cfRule>
    <cfRule type="cellIs" dxfId="13" priority="317" operator="equal">
      <formula>"f64"</formula>
    </cfRule>
    <cfRule type="cellIs" dxfId="12" priority="316" operator="equal">
      <formula>"f32"</formula>
    </cfRule>
    <cfRule type="cellIs" dxfId="13" priority="315" operator="equal">
      <formula>"f64"</formula>
    </cfRule>
    <cfRule type="cellIs" dxfId="13" priority="314" operator="equal">
      <formula>"f64"</formula>
    </cfRule>
  </conditionalFormatting>
  <conditionalFormatting sqref="F41">
    <cfRule type="containsBlanks" dxfId="7" priority="310">
      <formula>LEN(TRIM(F41))=0</formula>
    </cfRule>
  </conditionalFormatting>
  <conditionalFormatting sqref="K41">
    <cfRule type="cellIs" dxfId="2" priority="313" operator="equal">
      <formula>"读写 - 停机更改，立即生效"</formula>
    </cfRule>
    <cfRule type="cellIs" dxfId="1" priority="312" operator="equal">
      <formula>"读写 - 立即更改，重启生效"</formula>
    </cfRule>
    <cfRule type="cellIs" dxfId="0" priority="311" operator="equal">
      <formula>"读写 - 立即更改，立即生效"</formula>
    </cfRule>
  </conditionalFormatting>
  <conditionalFormatting sqref="L41">
    <cfRule type="cellIs" dxfId="4" priority="309" operator="equal">
      <formula>"允许保存，可恢复"</formula>
    </cfRule>
    <cfRule type="cellIs" dxfId="3" priority="308" operator="equal">
      <formula>"允许保存，不可恢复"</formula>
    </cfRule>
  </conditionalFormatting>
  <conditionalFormatting sqref="M41">
    <cfRule type="cellIs" dxfId="6" priority="307" operator="equal">
      <formula>"Admin"</formula>
    </cfRule>
    <cfRule type="cellIs" dxfId="5" priority="306" operator="equal">
      <formula>"User"</formula>
    </cfRule>
  </conditionalFormatting>
  <conditionalFormatting sqref="F42">
    <cfRule type="containsBlanks" dxfId="7" priority="294">
      <formula>LEN(TRIM(F42))=0</formula>
    </cfRule>
  </conditionalFormatting>
  <conditionalFormatting sqref="K42">
    <cfRule type="cellIs" dxfId="2" priority="297" operator="equal">
      <formula>"读写 - 停机更改，立即生效"</formula>
    </cfRule>
    <cfRule type="cellIs" dxfId="1" priority="296" operator="equal">
      <formula>"读写 - 立即更改，重启生效"</formula>
    </cfRule>
    <cfRule type="cellIs" dxfId="0" priority="295" operator="equal">
      <formula>"读写 - 立即更改，立即生效"</formula>
    </cfRule>
  </conditionalFormatting>
  <conditionalFormatting sqref="L42">
    <cfRule type="cellIs" dxfId="4" priority="293" operator="equal">
      <formula>"允许保存，可恢复"</formula>
    </cfRule>
    <cfRule type="cellIs" dxfId="3" priority="292" operator="equal">
      <formula>"允许保存，不可恢复"</formula>
    </cfRule>
  </conditionalFormatting>
  <conditionalFormatting sqref="M42">
    <cfRule type="cellIs" dxfId="6" priority="291" operator="equal">
      <formula>"Admin"</formula>
    </cfRule>
    <cfRule type="cellIs" dxfId="5" priority="290" operator="equal">
      <formula>"User"</formula>
    </cfRule>
  </conditionalFormatting>
  <conditionalFormatting sqref="E43">
    <cfRule type="cellIs" priority="746" operator="equal">
      <formula>"s16"</formula>
    </cfRule>
    <cfRule type="cellIs" dxfId="8" priority="745" operator="equal">
      <formula>"s32"</formula>
    </cfRule>
    <cfRule type="cellIs" dxfId="9" priority="744" operator="equal">
      <formula>"s64"</formula>
    </cfRule>
    <cfRule type="cellIs" priority="743" operator="equal">
      <formula>"u16"</formula>
    </cfRule>
    <cfRule type="cellIs" dxfId="10" priority="742" operator="equal">
      <formula>"u32"</formula>
    </cfRule>
    <cfRule type="cellIs" dxfId="11" priority="741" operator="equal">
      <formula>"u64"</formula>
    </cfRule>
    <cfRule type="cellIs" dxfId="12" priority="740" operator="equal">
      <formula>"f32"</formula>
    </cfRule>
    <cfRule type="cellIs" dxfId="13" priority="739" operator="equal">
      <formula>"f64"</formula>
    </cfRule>
    <cfRule type="cellIs" dxfId="12" priority="738" operator="equal">
      <formula>"f32"</formula>
    </cfRule>
    <cfRule type="cellIs" dxfId="13" priority="737" operator="equal">
      <formula>"f64"</formula>
    </cfRule>
    <cfRule type="cellIs" dxfId="13" priority="729" operator="equal">
      <formula>"f64"</formula>
    </cfRule>
  </conditionalFormatting>
  <conditionalFormatting sqref="F43">
    <cfRule type="containsBlanks" dxfId="7" priority="298">
      <formula>LEN(TRIM(F43))=0</formula>
    </cfRule>
  </conditionalFormatting>
  <conditionalFormatting sqref="K43">
    <cfRule type="cellIs" dxfId="2" priority="301" operator="equal">
      <formula>"读写 - 停机更改，立即生效"</formula>
    </cfRule>
    <cfRule type="cellIs" dxfId="1" priority="300" operator="equal">
      <formula>"读写 - 立即更改，重启生效"</formula>
    </cfRule>
    <cfRule type="cellIs" dxfId="0" priority="299" operator="equal">
      <formula>"读写 - 立即更改，立即生效"</formula>
    </cfRule>
  </conditionalFormatting>
  <conditionalFormatting sqref="L43">
    <cfRule type="cellIs" dxfId="4" priority="305" operator="equal">
      <formula>"允许保存，可恢复"</formula>
    </cfRule>
    <cfRule type="cellIs" dxfId="3" priority="302" operator="equal">
      <formula>"允许保存，不可恢复"</formula>
    </cfRule>
  </conditionalFormatting>
  <conditionalFormatting sqref="M43">
    <cfRule type="cellIs" dxfId="6" priority="304" operator="equal">
      <formula>"Admin"</formula>
    </cfRule>
    <cfRule type="cellIs" dxfId="5" priority="303" operator="equal">
      <formula>"User"</formula>
    </cfRule>
  </conditionalFormatting>
  <conditionalFormatting sqref="F44">
    <cfRule type="containsBlanks" dxfId="7" priority="286">
      <formula>LEN(TRIM(F44))=0</formula>
    </cfRule>
  </conditionalFormatting>
  <conditionalFormatting sqref="K44">
    <cfRule type="cellIs" dxfId="2" priority="289" operator="equal">
      <formula>"读写 - 停机更改，立即生效"</formula>
    </cfRule>
    <cfRule type="cellIs" dxfId="1" priority="288" operator="equal">
      <formula>"读写 - 立即更改，重启生效"</formula>
    </cfRule>
    <cfRule type="cellIs" dxfId="0" priority="287" operator="equal">
      <formula>"读写 - 立即更改，立即生效"</formula>
    </cfRule>
  </conditionalFormatting>
  <conditionalFormatting sqref="L44">
    <cfRule type="cellIs" dxfId="4" priority="285" operator="equal">
      <formula>"允许保存，可恢复"</formula>
    </cfRule>
    <cfRule type="cellIs" dxfId="3" priority="284" operator="equal">
      <formula>"允许保存，不可恢复"</formula>
    </cfRule>
  </conditionalFormatting>
  <conditionalFormatting sqref="M44">
    <cfRule type="cellIs" dxfId="6" priority="283" operator="equal">
      <formula>"Admin"</formula>
    </cfRule>
    <cfRule type="cellIs" dxfId="5" priority="282" operator="equal">
      <formula>"User"</formula>
    </cfRule>
  </conditionalFormatting>
  <conditionalFormatting sqref="F45">
    <cfRule type="containsBlanks" dxfId="7" priority="270">
      <formula>LEN(TRIM(F45))=0</formula>
    </cfRule>
  </conditionalFormatting>
  <conditionalFormatting sqref="K45">
    <cfRule type="cellIs" dxfId="2" priority="273" operator="equal">
      <formula>"读写 - 停机更改，立即生效"</formula>
    </cfRule>
    <cfRule type="cellIs" dxfId="1" priority="272" operator="equal">
      <formula>"读写 - 立即更改，重启生效"</formula>
    </cfRule>
    <cfRule type="cellIs" dxfId="0" priority="271" operator="equal">
      <formula>"读写 - 立即更改，立即生效"</formula>
    </cfRule>
  </conditionalFormatting>
  <conditionalFormatting sqref="L45">
    <cfRule type="cellIs" dxfId="4" priority="269" operator="equal">
      <formula>"允许保存，可恢复"</formula>
    </cfRule>
    <cfRule type="cellIs" dxfId="3" priority="268" operator="equal">
      <formula>"允许保存，不可恢复"</formula>
    </cfRule>
  </conditionalFormatting>
  <conditionalFormatting sqref="M45">
    <cfRule type="cellIs" dxfId="6" priority="267" operator="equal">
      <formula>"Admin"</formula>
    </cfRule>
    <cfRule type="cellIs" dxfId="5" priority="266" operator="equal">
      <formula>"User"</formula>
    </cfRule>
  </conditionalFormatting>
  <conditionalFormatting sqref="F46">
    <cfRule type="containsBlanks" dxfId="7" priority="274">
      <formula>LEN(TRIM(F46))=0</formula>
    </cfRule>
  </conditionalFormatting>
  <conditionalFormatting sqref="K46">
    <cfRule type="cellIs" dxfId="2" priority="277" operator="equal">
      <formula>"读写 - 停机更改，立即生效"</formula>
    </cfRule>
    <cfRule type="cellIs" dxfId="1" priority="276" operator="equal">
      <formula>"读写 - 立即更改，重启生效"</formula>
    </cfRule>
    <cfRule type="cellIs" dxfId="0" priority="275" operator="equal">
      <formula>"读写 - 立即更改，立即生效"</formula>
    </cfRule>
  </conditionalFormatting>
  <conditionalFormatting sqref="L46">
    <cfRule type="cellIs" dxfId="4" priority="281" operator="equal">
      <formula>"允许保存，可恢复"</formula>
    </cfRule>
    <cfRule type="cellIs" dxfId="3" priority="278" operator="equal">
      <formula>"允许保存，不可恢复"</formula>
    </cfRule>
  </conditionalFormatting>
  <conditionalFormatting sqref="M46">
    <cfRule type="cellIs" dxfId="6" priority="280" operator="equal">
      <formula>"Admin"</formula>
    </cfRule>
    <cfRule type="cellIs" dxfId="5" priority="279" operator="equal">
      <formula>"User"</formula>
    </cfRule>
  </conditionalFormatting>
  <conditionalFormatting sqref="F47">
    <cfRule type="containsBlanks" dxfId="7" priority="262">
      <formula>LEN(TRIM(F47))=0</formula>
    </cfRule>
  </conditionalFormatting>
  <conditionalFormatting sqref="K47">
    <cfRule type="cellIs" dxfId="2" priority="265" operator="equal">
      <formula>"读写 - 停机更改，立即生效"</formula>
    </cfRule>
    <cfRule type="cellIs" dxfId="1" priority="264" operator="equal">
      <formula>"读写 - 立即更改，重启生效"</formula>
    </cfRule>
    <cfRule type="cellIs" dxfId="0" priority="263" operator="equal">
      <formula>"读写 - 立即更改，立即生效"</formula>
    </cfRule>
  </conditionalFormatting>
  <conditionalFormatting sqref="L47">
    <cfRule type="cellIs" dxfId="4" priority="261" operator="equal">
      <formula>"允许保存，可恢复"</formula>
    </cfRule>
    <cfRule type="cellIs" dxfId="3" priority="260" operator="equal">
      <formula>"允许保存，不可恢复"</formula>
    </cfRule>
  </conditionalFormatting>
  <conditionalFormatting sqref="M47">
    <cfRule type="cellIs" dxfId="6" priority="259" operator="equal">
      <formula>"Admin"</formula>
    </cfRule>
    <cfRule type="cellIs" dxfId="5" priority="258" operator="equal">
      <formula>"User"</formula>
    </cfRule>
  </conditionalFormatting>
  <conditionalFormatting sqref="F49">
    <cfRule type="containsBlanks" dxfId="7" priority="216">
      <formula>LEN(TRIM(F49))=0</formula>
    </cfRule>
  </conditionalFormatting>
  <conditionalFormatting sqref="K49">
    <cfRule type="cellIs" dxfId="2" priority="219" operator="equal">
      <formula>"读写 - 停机更改，立即生效"</formula>
    </cfRule>
    <cfRule type="cellIs" dxfId="1" priority="218" operator="equal">
      <formula>"读写 - 立即更改，重启生效"</formula>
    </cfRule>
    <cfRule type="cellIs" dxfId="0" priority="217" operator="equal">
      <formula>"读写 - 立即更改，立即生效"</formula>
    </cfRule>
  </conditionalFormatting>
  <conditionalFormatting sqref="L49">
    <cfRule type="cellIs" dxfId="4" priority="215" operator="equal">
      <formula>"允许保存，可恢复"</formula>
    </cfRule>
    <cfRule type="cellIs" dxfId="3" priority="214" operator="equal">
      <formula>"允许保存，不可恢复"</formula>
    </cfRule>
  </conditionalFormatting>
  <conditionalFormatting sqref="M49">
    <cfRule type="cellIs" dxfId="6" priority="213" operator="equal">
      <formula>"Admin"</formula>
    </cfRule>
    <cfRule type="cellIs" dxfId="5" priority="212" operator="equal">
      <formula>"User"</formula>
    </cfRule>
  </conditionalFormatting>
  <conditionalFormatting sqref="F50">
    <cfRule type="containsBlanks" dxfId="7" priority="220">
      <formula>LEN(TRIM(F50))=0</formula>
    </cfRule>
  </conditionalFormatting>
  <conditionalFormatting sqref="K50">
    <cfRule type="cellIs" dxfId="2" priority="223" operator="equal">
      <formula>"读写 - 停机更改，立即生效"</formula>
    </cfRule>
    <cfRule type="cellIs" dxfId="1" priority="222" operator="equal">
      <formula>"读写 - 立即更改，重启生效"</formula>
    </cfRule>
    <cfRule type="cellIs" dxfId="0" priority="221" operator="equal">
      <formula>"读写 - 立即更改，立即生效"</formula>
    </cfRule>
  </conditionalFormatting>
  <conditionalFormatting sqref="L50">
    <cfRule type="cellIs" dxfId="4" priority="227" operator="equal">
      <formula>"允许保存，可恢复"</formula>
    </cfRule>
    <cfRule type="cellIs" dxfId="3" priority="224" operator="equal">
      <formula>"允许保存，不可恢复"</formula>
    </cfRule>
  </conditionalFormatting>
  <conditionalFormatting sqref="M50">
    <cfRule type="cellIs" dxfId="6" priority="226" operator="equal">
      <formula>"Admin"</formula>
    </cfRule>
    <cfRule type="cellIs" dxfId="5" priority="225" operator="equal">
      <formula>"User"</formula>
    </cfRule>
  </conditionalFormatting>
  <conditionalFormatting sqref="E51">
    <cfRule type="cellIs" priority="196" operator="equal">
      <formula>"s16"</formula>
    </cfRule>
    <cfRule type="cellIs" dxfId="8" priority="195" operator="equal">
      <formula>"s32"</formula>
    </cfRule>
    <cfRule type="cellIs" dxfId="9" priority="194" operator="equal">
      <formula>"s64"</formula>
    </cfRule>
    <cfRule type="cellIs" priority="193" operator="equal">
      <formula>"u16"</formula>
    </cfRule>
    <cfRule type="cellIs" dxfId="10" priority="192" operator="equal">
      <formula>"u32"</formula>
    </cfRule>
    <cfRule type="cellIs" dxfId="11" priority="191" operator="equal">
      <formula>"u64"</formula>
    </cfRule>
    <cfRule type="cellIs" dxfId="12" priority="190" operator="equal">
      <formula>"f32"</formula>
    </cfRule>
    <cfRule type="cellIs" dxfId="13" priority="189" operator="equal">
      <formula>"f64"</formula>
    </cfRule>
    <cfRule type="cellIs" dxfId="12" priority="188" operator="equal">
      <formula>"f32"</formula>
    </cfRule>
    <cfRule type="cellIs" dxfId="13" priority="187" operator="equal">
      <formula>"f64"</formula>
    </cfRule>
    <cfRule type="cellIs" dxfId="13" priority="186" operator="equal">
      <formula>"f64"</formula>
    </cfRule>
  </conditionalFormatting>
  <conditionalFormatting sqref="F51">
    <cfRule type="containsBlanks" dxfId="7" priority="185">
      <formula>LEN(TRIM(F51))=0</formula>
    </cfRule>
  </conditionalFormatting>
  <conditionalFormatting sqref="K51">
    <cfRule type="cellIs" dxfId="2" priority="199" operator="equal">
      <formula>"读写 - 停机更改，立即生效"</formula>
    </cfRule>
    <cfRule type="cellIs" dxfId="1" priority="198" operator="equal">
      <formula>"读写 - 立即更改，重启生效"</formula>
    </cfRule>
    <cfRule type="cellIs" dxfId="0" priority="197" operator="equal">
      <formula>"读写 - 立即更改，立即生效"</formula>
    </cfRule>
  </conditionalFormatting>
  <conditionalFormatting sqref="L51">
    <cfRule type="cellIs" dxfId="4" priority="203" operator="equal">
      <formula>"允许保存，可恢复"</formula>
    </cfRule>
    <cfRule type="cellIs" dxfId="3" priority="200" operator="equal">
      <formula>"允许保存，不可恢复"</formula>
    </cfRule>
  </conditionalFormatting>
  <conditionalFormatting sqref="M51">
    <cfRule type="cellIs" dxfId="6" priority="202" operator="equal">
      <formula>"Admin"</formula>
    </cfRule>
    <cfRule type="cellIs" dxfId="5" priority="201" operator="equal">
      <formula>"User"</formula>
    </cfRule>
  </conditionalFormatting>
  <conditionalFormatting sqref="F58">
    <cfRule type="containsBlanks" dxfId="7" priority="1">
      <formula>LEN(TRIM(F58))=0</formula>
    </cfRule>
  </conditionalFormatting>
  <conditionalFormatting sqref="K58">
    <cfRule type="cellIs" dxfId="2" priority="4" operator="equal">
      <formula>"读写 - 停机更改，立即生效"</formula>
    </cfRule>
    <cfRule type="cellIs" dxfId="1" priority="3" operator="equal">
      <formula>"读写 - 立即更改，重启生效"</formula>
    </cfRule>
    <cfRule type="cellIs" dxfId="0" priority="2" operator="equal">
      <formula>"读写 - 立即更改，立即生效"</formula>
    </cfRule>
  </conditionalFormatting>
  <conditionalFormatting sqref="L58">
    <cfRule type="cellIs" dxfId="4" priority="8" operator="equal">
      <formula>"允许保存，可恢复"</formula>
    </cfRule>
    <cfRule type="cellIs" dxfId="3" priority="5" operator="equal">
      <formula>"允许保存，不可恢复"</formula>
    </cfRule>
  </conditionalFormatting>
  <conditionalFormatting sqref="M58">
    <cfRule type="cellIs" dxfId="6" priority="7" operator="equal">
      <formula>"Admin"</formula>
    </cfRule>
    <cfRule type="cellIs" dxfId="5" priority="6" operator="equal">
      <formula>"User"</formula>
    </cfRule>
  </conditionalFormatting>
  <conditionalFormatting sqref="F59">
    <cfRule type="containsBlanks" dxfId="7" priority="17">
      <formula>LEN(TRIM(F59))=0</formula>
    </cfRule>
  </conditionalFormatting>
  <conditionalFormatting sqref="K59">
    <cfRule type="cellIs" dxfId="2" priority="20" operator="equal">
      <formula>"读写 - 停机更改，立即生效"</formula>
    </cfRule>
    <cfRule type="cellIs" dxfId="1" priority="19" operator="equal">
      <formula>"读写 - 立即更改，重启生效"</formula>
    </cfRule>
    <cfRule type="cellIs" dxfId="0" priority="18" operator="equal">
      <formula>"读写 - 立即更改，立即生效"</formula>
    </cfRule>
  </conditionalFormatting>
  <conditionalFormatting sqref="L59">
    <cfRule type="cellIs" dxfId="4" priority="24" operator="equal">
      <formula>"允许保存，可恢复"</formula>
    </cfRule>
    <cfRule type="cellIs" dxfId="3" priority="21" operator="equal">
      <formula>"允许保存，不可恢复"</formula>
    </cfRule>
  </conditionalFormatting>
  <conditionalFormatting sqref="M59">
    <cfRule type="cellIs" dxfId="6" priority="23" operator="equal">
      <formula>"Admin"</formula>
    </cfRule>
    <cfRule type="cellIs" dxfId="5" priority="22" operator="equal">
      <formula>"User"</formula>
    </cfRule>
  </conditionalFormatting>
  <conditionalFormatting sqref="K62">
    <cfRule type="cellIs" dxfId="0" priority="730" operator="equal">
      <formula>"读写 - 立即更改，立即生效"</formula>
    </cfRule>
    <cfRule type="cellIs" dxfId="1" priority="731" operator="equal">
      <formula>"读写 - 立即更改，重启生效"</formula>
    </cfRule>
    <cfRule type="cellIs" dxfId="2" priority="732" operator="equal">
      <formula>"读写 - 停机更改，立即生效"</formula>
    </cfRule>
  </conditionalFormatting>
  <conditionalFormatting sqref="L62">
    <cfRule type="cellIs" dxfId="3" priority="733" operator="equal">
      <formula>"允许保存，不可恢复"</formula>
    </cfRule>
    <cfRule type="cellIs" dxfId="4" priority="736" operator="equal">
      <formula>"允许保存，可恢复"</formula>
    </cfRule>
  </conditionalFormatting>
  <conditionalFormatting sqref="M62">
    <cfRule type="cellIs" dxfId="5" priority="734" operator="equal">
      <formula>"User"</formula>
    </cfRule>
    <cfRule type="cellIs" dxfId="6" priority="735" operator="equal">
      <formula>"Admin"</formula>
    </cfRule>
  </conditionalFormatting>
  <conditionalFormatting sqref="E114">
    <cfRule type="cellIs" priority="36" operator="equal">
      <formula>"s16"</formula>
    </cfRule>
    <cfRule type="cellIs" dxfId="8" priority="35" operator="equal">
      <formula>"s32"</formula>
    </cfRule>
    <cfRule type="cellIs" dxfId="9" priority="34" operator="equal">
      <formula>"s64"</formula>
    </cfRule>
    <cfRule type="cellIs" priority="33" operator="equal">
      <formula>"u16"</formula>
    </cfRule>
    <cfRule type="cellIs" dxfId="10" priority="32" operator="equal">
      <formula>"u32"</formula>
    </cfRule>
    <cfRule type="cellIs" dxfId="11" priority="31" operator="equal">
      <formula>"u64"</formula>
    </cfRule>
    <cfRule type="cellIs" dxfId="12" priority="30" operator="equal">
      <formula>"f32"</formula>
    </cfRule>
    <cfRule type="cellIs" dxfId="13" priority="29" operator="equal">
      <formula>"f64"</formula>
    </cfRule>
    <cfRule type="cellIs" dxfId="12" priority="28" operator="equal">
      <formula>"f32"</formula>
    </cfRule>
    <cfRule type="cellIs" dxfId="13" priority="27" operator="equal">
      <formula>"f64"</formula>
    </cfRule>
    <cfRule type="cellIs" dxfId="13" priority="26" operator="equal">
      <formula>"f64"</formula>
    </cfRule>
  </conditionalFormatting>
  <conditionalFormatting sqref="F114">
    <cfRule type="containsBlanks" dxfId="7" priority="25">
      <formula>LEN(TRIM(F114))=0</formula>
    </cfRule>
  </conditionalFormatting>
  <conditionalFormatting sqref="K114">
    <cfRule type="cellIs" dxfId="2" priority="39" operator="equal">
      <formula>"读写 - 停机更改，立即生效"</formula>
    </cfRule>
    <cfRule type="cellIs" dxfId="1" priority="38" operator="equal">
      <formula>"读写 - 立即更改，重启生效"</formula>
    </cfRule>
    <cfRule type="cellIs" dxfId="0" priority="37" operator="equal">
      <formula>"读写 - 立即更改，立即生效"</formula>
    </cfRule>
  </conditionalFormatting>
  <conditionalFormatting sqref="L114">
    <cfRule type="cellIs" dxfId="4" priority="43" operator="equal">
      <formula>"允许保存，可恢复"</formula>
    </cfRule>
    <cfRule type="cellIs" dxfId="3" priority="40" operator="equal">
      <formula>"允许保存，不可恢复"</formula>
    </cfRule>
  </conditionalFormatting>
  <conditionalFormatting sqref="M114">
    <cfRule type="cellIs" dxfId="6" priority="42" operator="equal">
      <formula>"Admin"</formula>
    </cfRule>
    <cfRule type="cellIs" dxfId="5" priority="41" operator="equal">
      <formula>"User"</formula>
    </cfRule>
  </conditionalFormatting>
  <conditionalFormatting sqref="E117">
    <cfRule type="cellIs" dxfId="13" priority="45" operator="equal">
      <formula>"f64"</formula>
    </cfRule>
    <cfRule type="cellIs" dxfId="13" priority="46" operator="equal">
      <formula>"f64"</formula>
    </cfRule>
    <cfRule type="cellIs" dxfId="12" priority="47" operator="equal">
      <formula>"f32"</formula>
    </cfRule>
    <cfRule type="cellIs" dxfId="13" priority="48" operator="equal">
      <formula>"f64"</formula>
    </cfRule>
    <cfRule type="cellIs" dxfId="12" priority="49" operator="equal">
      <formula>"f32"</formula>
    </cfRule>
    <cfRule type="cellIs" dxfId="11" priority="50" operator="equal">
      <formula>"u64"</formula>
    </cfRule>
    <cfRule type="cellIs" dxfId="10" priority="51" operator="equal">
      <formula>"u32"</formula>
    </cfRule>
    <cfRule type="cellIs" priority="52" operator="equal">
      <formula>"u16"</formula>
    </cfRule>
    <cfRule type="cellIs" dxfId="9" priority="53" operator="equal">
      <formula>"s64"</formula>
    </cfRule>
    <cfRule type="cellIs" dxfId="8" priority="54" operator="equal">
      <formula>"s32"</formula>
    </cfRule>
    <cfRule type="cellIs" priority="55" operator="equal">
      <formula>"s16"</formula>
    </cfRule>
  </conditionalFormatting>
  <conditionalFormatting sqref="F117">
    <cfRule type="containsBlanks" dxfId="7" priority="44">
      <formula>LEN(TRIM(F117))=0</formula>
    </cfRule>
  </conditionalFormatting>
  <conditionalFormatting sqref="K117">
    <cfRule type="cellIs" dxfId="0" priority="56" operator="equal">
      <formula>"读写 - 立即更改，立即生效"</formula>
    </cfRule>
    <cfRule type="cellIs" dxfId="1" priority="57" operator="equal">
      <formula>"读写 - 立即更改，重启生效"</formula>
    </cfRule>
    <cfRule type="cellIs" dxfId="2" priority="58" operator="equal">
      <formula>"读写 - 停机更改，立即生效"</formula>
    </cfRule>
  </conditionalFormatting>
  <conditionalFormatting sqref="L117">
    <cfRule type="cellIs" dxfId="3" priority="59" operator="equal">
      <formula>"允许保存，不可恢复"</formula>
    </cfRule>
    <cfRule type="cellIs" dxfId="4" priority="62" operator="equal">
      <formula>"允许保存，可恢复"</formula>
    </cfRule>
  </conditionalFormatting>
  <conditionalFormatting sqref="M117">
    <cfRule type="cellIs" dxfId="5" priority="60" operator="equal">
      <formula>"User"</formula>
    </cfRule>
    <cfRule type="cellIs" dxfId="6" priority="61" operator="equal">
      <formula>"Admin"</formula>
    </cfRule>
  </conditionalFormatting>
  <conditionalFormatting sqref="E163">
    <cfRule type="cellIs" dxfId="13" priority="83" operator="equal">
      <formula>"f64"</formula>
    </cfRule>
    <cfRule type="cellIs" dxfId="13" priority="84" operator="equal">
      <formula>"f64"</formula>
    </cfRule>
    <cfRule type="cellIs" dxfId="12" priority="85" operator="equal">
      <formula>"f32"</formula>
    </cfRule>
    <cfRule type="cellIs" dxfId="13" priority="86" operator="equal">
      <formula>"f64"</formula>
    </cfRule>
    <cfRule type="cellIs" dxfId="12" priority="87" operator="equal">
      <formula>"f32"</formula>
    </cfRule>
    <cfRule type="cellIs" dxfId="11" priority="88" operator="equal">
      <formula>"u64"</formula>
    </cfRule>
    <cfRule type="cellIs" dxfId="10" priority="89" operator="equal">
      <formula>"u32"</formula>
    </cfRule>
    <cfRule type="cellIs" priority="90" operator="equal">
      <formula>"u16"</formula>
    </cfRule>
    <cfRule type="cellIs" dxfId="9" priority="91" operator="equal">
      <formula>"s64"</formula>
    </cfRule>
    <cfRule type="cellIs" dxfId="8" priority="92" operator="equal">
      <formula>"s32"</formula>
    </cfRule>
    <cfRule type="cellIs" priority="93" operator="equal">
      <formula>"s16"</formula>
    </cfRule>
  </conditionalFormatting>
  <conditionalFormatting sqref="F163">
    <cfRule type="containsBlanks" dxfId="7" priority="82">
      <formula>LEN(TRIM(F163))=0</formula>
    </cfRule>
  </conditionalFormatting>
  <conditionalFormatting sqref="K163">
    <cfRule type="cellIs" dxfId="0" priority="94" operator="equal">
      <formula>"读写 - 立即更改，立即生效"</formula>
    </cfRule>
    <cfRule type="cellIs" dxfId="1" priority="95" operator="equal">
      <formula>"读写 - 立即更改，重启生效"</formula>
    </cfRule>
    <cfRule type="cellIs" dxfId="2" priority="96" operator="equal">
      <formula>"读写 - 停机更改，立即生效"</formula>
    </cfRule>
  </conditionalFormatting>
  <conditionalFormatting sqref="L163">
    <cfRule type="cellIs" dxfId="3" priority="97" operator="equal">
      <formula>"允许保存，不可恢复"</formula>
    </cfRule>
    <cfRule type="cellIs" dxfId="4" priority="100" operator="equal">
      <formula>"允许保存，可恢复"</formula>
    </cfRule>
  </conditionalFormatting>
  <conditionalFormatting sqref="M163">
    <cfRule type="cellIs" dxfId="5" priority="98" operator="equal">
      <formula>"User"</formula>
    </cfRule>
    <cfRule type="cellIs" dxfId="6" priority="99" operator="equal">
      <formula>"Admin"</formula>
    </cfRule>
  </conditionalFormatting>
  <conditionalFormatting sqref="E261">
    <cfRule type="cellIs" dxfId="13" priority="505" operator="equal">
      <formula>"f64"</formula>
    </cfRule>
    <cfRule type="cellIs" dxfId="13" priority="506" operator="equal">
      <formula>"f64"</formula>
    </cfRule>
    <cfRule type="cellIs" dxfId="12" priority="507" operator="equal">
      <formula>"f32"</formula>
    </cfRule>
    <cfRule type="cellIs" dxfId="13" priority="508" operator="equal">
      <formula>"f64"</formula>
    </cfRule>
    <cfRule type="cellIs" dxfId="12" priority="509" operator="equal">
      <formula>"f32"</formula>
    </cfRule>
    <cfRule type="cellIs" dxfId="11" priority="510" operator="equal">
      <formula>"u64"</formula>
    </cfRule>
    <cfRule type="cellIs" dxfId="10" priority="511" operator="equal">
      <formula>"u32"</formula>
    </cfRule>
    <cfRule type="cellIs" priority="512" operator="equal">
      <formula>"u16"</formula>
    </cfRule>
    <cfRule type="cellIs" dxfId="9" priority="513" operator="equal">
      <formula>"s64"</formula>
    </cfRule>
    <cfRule type="cellIs" dxfId="8" priority="514" operator="equal">
      <formula>"s32"</formula>
    </cfRule>
    <cfRule type="cellIs" priority="515" operator="equal">
      <formula>"s16"</formula>
    </cfRule>
  </conditionalFormatting>
  <conditionalFormatting sqref="F261">
    <cfRule type="containsBlanks" dxfId="7" priority="504">
      <formula>LEN(TRIM(F261))=0</formula>
    </cfRule>
  </conditionalFormatting>
  <conditionalFormatting sqref="K261">
    <cfRule type="cellIs" dxfId="0" priority="516" operator="equal">
      <formula>"读写 - 立即更改，立即生效"</formula>
    </cfRule>
    <cfRule type="cellIs" dxfId="1" priority="517" operator="equal">
      <formula>"读写 - 立即更改，重启生效"</formula>
    </cfRule>
    <cfRule type="cellIs" dxfId="2" priority="518" operator="equal">
      <formula>"读写 - 停机更改，立即生效"</formula>
    </cfRule>
  </conditionalFormatting>
  <conditionalFormatting sqref="L261">
    <cfRule type="cellIs" dxfId="3" priority="519" operator="equal">
      <formula>"允许保存，不可恢复"</formula>
    </cfRule>
    <cfRule type="cellIs" dxfId="4" priority="522" operator="equal">
      <formula>"允许保存，可恢复"</formula>
    </cfRule>
  </conditionalFormatting>
  <conditionalFormatting sqref="M261">
    <cfRule type="cellIs" dxfId="5" priority="520" operator="equal">
      <formula>"User"</formula>
    </cfRule>
    <cfRule type="cellIs" dxfId="6" priority="521" operator="equal">
      <formula>"Admin"</formula>
    </cfRule>
  </conditionalFormatting>
  <conditionalFormatting sqref="F278">
    <cfRule type="containsBlanks" dxfId="7" priority="437">
      <formula>LEN(TRIM(F278))=0</formula>
    </cfRule>
  </conditionalFormatting>
  <conditionalFormatting sqref="E49:E50">
    <cfRule type="cellIs" priority="238" operator="equal">
      <formula>"s16"</formula>
    </cfRule>
    <cfRule type="cellIs" dxfId="8" priority="237" operator="equal">
      <formula>"s32"</formula>
    </cfRule>
    <cfRule type="cellIs" dxfId="9" priority="236" operator="equal">
      <formula>"s64"</formula>
    </cfRule>
    <cfRule type="cellIs" priority="235" operator="equal">
      <formula>"u16"</formula>
    </cfRule>
    <cfRule type="cellIs" dxfId="10" priority="234" operator="equal">
      <formula>"u32"</formula>
    </cfRule>
    <cfRule type="cellIs" dxfId="11" priority="233" operator="equal">
      <formula>"u64"</formula>
    </cfRule>
    <cfRule type="cellIs" dxfId="12" priority="232" operator="equal">
      <formula>"f32"</formula>
    </cfRule>
    <cfRule type="cellIs" dxfId="13" priority="231" operator="equal">
      <formula>"f64"</formula>
    </cfRule>
    <cfRule type="cellIs" dxfId="12" priority="230" operator="equal">
      <formula>"f32"</formula>
    </cfRule>
    <cfRule type="cellIs" dxfId="13" priority="229" operator="equal">
      <formula>"f64"</formula>
    </cfRule>
    <cfRule type="cellIs" dxfId="13" priority="228" operator="equal">
      <formula>"f64"</formula>
    </cfRule>
  </conditionalFormatting>
  <conditionalFormatting sqref="E164:E165">
    <cfRule type="cellIs" dxfId="13" priority="102" operator="equal">
      <formula>"f64"</formula>
    </cfRule>
    <cfRule type="cellIs" dxfId="13" priority="103" operator="equal">
      <formula>"f64"</formula>
    </cfRule>
    <cfRule type="cellIs" dxfId="12" priority="104" operator="equal">
      <formula>"f32"</formula>
    </cfRule>
    <cfRule type="cellIs" dxfId="13" priority="105" operator="equal">
      <formula>"f64"</formula>
    </cfRule>
    <cfRule type="cellIs" dxfId="12" priority="106" operator="equal">
      <formula>"f32"</formula>
    </cfRule>
    <cfRule type="cellIs" dxfId="11" priority="107" operator="equal">
      <formula>"u64"</formula>
    </cfRule>
    <cfRule type="cellIs" dxfId="10" priority="108" operator="equal">
      <formula>"u32"</formula>
    </cfRule>
    <cfRule type="cellIs" priority="109" operator="equal">
      <formula>"u16"</formula>
    </cfRule>
    <cfRule type="cellIs" dxfId="9" priority="110" operator="equal">
      <formula>"s64"</formula>
    </cfRule>
    <cfRule type="cellIs" dxfId="8" priority="111" operator="equal">
      <formula>"s32"</formula>
    </cfRule>
    <cfRule type="cellIs" priority="112" operator="equal">
      <formula>"s16"</formula>
    </cfRule>
  </conditionalFormatting>
  <conditionalFormatting sqref="F164:F165">
    <cfRule type="containsBlanks" dxfId="7" priority="101">
      <formula>LEN(TRIM(F164))=0</formula>
    </cfRule>
  </conditionalFormatting>
  <conditionalFormatting sqref="F279:F282">
    <cfRule type="containsBlanks" dxfId="7" priority="438">
      <formula>LEN(TRIM(F279))=0</formula>
    </cfRule>
  </conditionalFormatting>
  <conditionalFormatting sqref="F287:F290">
    <cfRule type="containsBlanks" dxfId="7" priority="436">
      <formula>LEN(TRIM(F287))=0</formula>
    </cfRule>
  </conditionalFormatting>
  <conditionalFormatting sqref="F291:F294">
    <cfRule type="containsBlanks" dxfId="7" priority="435">
      <formula>LEN(TRIM(F291))=0</formula>
    </cfRule>
  </conditionalFormatting>
  <conditionalFormatting sqref="K164:K165">
    <cfRule type="cellIs" dxfId="0" priority="113" operator="equal">
      <formula>"读写 - 立即更改，立即生效"</formula>
    </cfRule>
    <cfRule type="cellIs" dxfId="1" priority="114" operator="equal">
      <formula>"读写 - 立即更改，重启生效"</formula>
    </cfRule>
    <cfRule type="cellIs" dxfId="2" priority="115" operator="equal">
      <formula>"读写 - 停机更改，立即生效"</formula>
    </cfRule>
  </conditionalFormatting>
  <conditionalFormatting sqref="K279:K282">
    <cfRule type="cellIs" dxfId="0" priority="461" operator="equal">
      <formula>"读写 - 立即更改，立即生效"</formula>
    </cfRule>
    <cfRule type="cellIs" dxfId="1" priority="462" operator="equal">
      <formula>"读写 - 立即更改，重启生效"</formula>
    </cfRule>
    <cfRule type="cellIs" dxfId="2" priority="463" operator="equal">
      <formula>"读写 - 停机更改，立即生效"</formula>
    </cfRule>
  </conditionalFormatting>
  <conditionalFormatting sqref="L164:L165">
    <cfRule type="cellIs" dxfId="3" priority="116" operator="equal">
      <formula>"允许保存，不可恢复"</formula>
    </cfRule>
    <cfRule type="cellIs" dxfId="4" priority="119" operator="equal">
      <formula>"允许保存，可恢复"</formula>
    </cfRule>
  </conditionalFormatting>
  <conditionalFormatting sqref="M164:M165">
    <cfRule type="cellIs" dxfId="5" priority="117" operator="equal">
      <formula>"User"</formula>
    </cfRule>
    <cfRule type="cellIs" dxfId="6" priority="118" operator="equal">
      <formula>"Admin"</formula>
    </cfRule>
  </conditionalFormatting>
  <conditionalFormatting sqref="O60:O63">
    <cfRule type="containsBlanks" dxfId="7" priority="728">
      <formula>LEN(TRIM(O60))=0</formula>
    </cfRule>
  </conditionalFormatting>
  <conditionalFormatting sqref="Q5:Q295">
    <cfRule type="cellIs" dxfId="14" priority="502" operator="equal">
      <formula>0</formula>
    </cfRule>
  </conditionalFormatting>
  <conditionalFormatting sqref="R41:R44">
    <cfRule type="containsBlanks" dxfId="7" priority="433">
      <formula>LEN(TRIM(R41))=0</formula>
    </cfRule>
  </conditionalFormatting>
  <conditionalFormatting sqref="E1:E31 E33 E35 E38 E45:E48 E52:E113 E133 E148 E287:E1048576 E118 E166:E256 E279:E282 E160 E157 E154 E151 E124 E121 E136 E139 E142 E145 E127 E130 E115:E116">
    <cfRule type="cellIs" dxfId="13" priority="784" operator="equal">
      <formula>"f64"</formula>
    </cfRule>
    <cfRule type="cellIs" dxfId="13" priority="785" operator="equal">
      <formula>"f64"</formula>
    </cfRule>
    <cfRule type="cellIs" dxfId="12" priority="786" operator="equal">
      <formula>"f32"</formula>
    </cfRule>
    <cfRule type="cellIs" dxfId="13" priority="787" operator="equal">
      <formula>"f64"</formula>
    </cfRule>
    <cfRule type="cellIs" dxfId="12" priority="788" operator="equal">
      <formula>"f32"</formula>
    </cfRule>
    <cfRule type="cellIs" dxfId="11" priority="789" operator="equal">
      <formula>"u64"</formula>
    </cfRule>
    <cfRule type="cellIs" dxfId="10" priority="790" operator="equal">
      <formula>"u32"</formula>
    </cfRule>
    <cfRule type="cellIs" priority="791" operator="equal">
      <formula>"u16"</formula>
    </cfRule>
    <cfRule type="cellIs" dxfId="9" priority="792" operator="equal">
      <formula>"s64"</formula>
    </cfRule>
    <cfRule type="cellIs" dxfId="8" priority="793" operator="equal">
      <formula>"s32"</formula>
    </cfRule>
    <cfRule type="cellIs" priority="794" operator="equal">
      <formula>"s16"</formula>
    </cfRule>
  </conditionalFormatting>
  <conditionalFormatting sqref="F1:F31 F33 F52:F57 F60:F113 F133 F115:F116 F136 F148 F295:F1048576 F118 F151 F166:F256 F48 F160 F157 F154 F35 F38 F124 F121 F139 F142 F145 F127 F130">
    <cfRule type="containsBlanks" dxfId="7" priority="675">
      <formula>LEN(TRIM(F1))=0</formula>
    </cfRule>
  </conditionalFormatting>
  <conditionalFormatting sqref="K1:K8 K10:K31 K33 K64:K113 K115:K116 K136 K148 K283:K1048576 K118 K151 K166:K256 K52:K57 K160 K157 K154 K35 K38 K48 K124 K121 K139 K142 K145 K127 K130 K133">
    <cfRule type="cellIs" dxfId="0" priority="795" operator="equal">
      <formula>"读写 - 立即更改，立即生效"</formula>
    </cfRule>
    <cfRule type="cellIs" dxfId="1" priority="796" operator="equal">
      <formula>"读写 - 立即更改，重启生效"</formula>
    </cfRule>
    <cfRule type="cellIs" dxfId="2" priority="797" operator="equal">
      <formula>"读写 - 停机更改，立即生效"</formula>
    </cfRule>
  </conditionalFormatting>
  <conditionalFormatting sqref="L1:L8 L10:L31 L33 L64:L113 L115:L116 L136 L148 L282:L1048576 L118 L151 L166:L256 L52:L57 L160 L157 L154 L35 L38 L48 L124 L121 L139 L142 L145 L127 L130 L133">
    <cfRule type="cellIs" dxfId="3" priority="798" operator="equal">
      <formula>"允许保存，不可恢复"</formula>
    </cfRule>
    <cfRule type="cellIs" dxfId="4" priority="801" operator="equal">
      <formula>"允许保存，可恢复"</formula>
    </cfRule>
  </conditionalFormatting>
  <conditionalFormatting sqref="M1:M8 M10:M31 M33 M64:M113 M115:M116 M136 M148 M282:M1048576 M118 M151 M166:M256 M52:M57 M160 M157 M154 M35 M38 M48 M124 M121 M139 M142 M145 M127 M130 M133">
    <cfRule type="cellIs" dxfId="5" priority="799" operator="equal">
      <formula>"User"</formula>
    </cfRule>
    <cfRule type="cellIs" dxfId="6" priority="800" operator="equal">
      <formula>"Admin"</formula>
    </cfRule>
  </conditionalFormatting>
  <conditionalFormatting sqref="Q1:Q4 Q296:Q1048576">
    <cfRule type="cellIs" dxfId="14" priority="503" operator="equal">
      <formula>0</formula>
    </cfRule>
  </conditionalFormatting>
  <conditionalFormatting sqref="E42 E44">
    <cfRule type="cellIs" priority="764" operator="equal">
      <formula>"s16"</formula>
    </cfRule>
    <cfRule type="cellIs" dxfId="8" priority="763" operator="equal">
      <formula>"s32"</formula>
    </cfRule>
    <cfRule type="cellIs" dxfId="9" priority="762" operator="equal">
      <formula>"s64"</formula>
    </cfRule>
    <cfRule type="cellIs" priority="761" operator="equal">
      <formula>"u16"</formula>
    </cfRule>
    <cfRule type="cellIs" dxfId="10" priority="760" operator="equal">
      <formula>"u32"</formula>
    </cfRule>
    <cfRule type="cellIs" dxfId="11" priority="759" operator="equal">
      <formula>"u64"</formula>
    </cfRule>
    <cfRule type="cellIs" dxfId="12" priority="758" operator="equal">
      <formula>"f32"</formula>
    </cfRule>
    <cfRule type="cellIs" dxfId="13" priority="757" operator="equal">
      <formula>"f64"</formula>
    </cfRule>
    <cfRule type="cellIs" dxfId="12" priority="756" operator="equal">
      <formula>"f32"</formula>
    </cfRule>
    <cfRule type="cellIs" dxfId="13" priority="755" operator="equal">
      <formula>"f64"</formula>
    </cfRule>
    <cfRule type="cellIs" dxfId="13" priority="747" operator="equal">
      <formula>"f64"</formula>
    </cfRule>
  </conditionalFormatting>
  <conditionalFormatting sqref="K63 K60:K61">
    <cfRule type="cellIs" dxfId="0" priority="748" operator="equal">
      <formula>"读写 - 立即更改，立即生效"</formula>
    </cfRule>
    <cfRule type="cellIs" dxfId="1" priority="749" operator="equal">
      <formula>"读写 - 立即更改，重启生效"</formula>
    </cfRule>
    <cfRule type="cellIs" dxfId="2" priority="750" operator="equal">
      <formula>"读写 - 停机更改，立即生效"</formula>
    </cfRule>
  </conditionalFormatting>
  <conditionalFormatting sqref="L60:L61 L63">
    <cfRule type="cellIs" dxfId="3" priority="751" operator="equal">
      <formula>"允许保存，不可恢复"</formula>
    </cfRule>
    <cfRule type="cellIs" dxfId="4" priority="754" operator="equal">
      <formula>"允许保存，可恢复"</formula>
    </cfRule>
  </conditionalFormatting>
  <conditionalFormatting sqref="M60:M61 M63">
    <cfRule type="cellIs" dxfId="5" priority="752" operator="equal">
      <formula>"User"</formula>
    </cfRule>
    <cfRule type="cellIs" dxfId="6" priority="753" operator="equal">
      <formula>"Admin"</formula>
    </cfRule>
  </conditionalFormatting>
  <conditionalFormatting sqref="E146 E131 E128 E125 E122 E119 E134 E137 E140 E143 E149 E152 E155 E158 E161">
    <cfRule type="cellIs" dxfId="13" priority="140" operator="equal">
      <formula>"f64"</formula>
    </cfRule>
    <cfRule type="cellIs" dxfId="13" priority="141" operator="equal">
      <formula>"f64"</formula>
    </cfRule>
    <cfRule type="cellIs" dxfId="12" priority="142" operator="equal">
      <formula>"f32"</formula>
    </cfRule>
    <cfRule type="cellIs" dxfId="13" priority="143" operator="equal">
      <formula>"f64"</formula>
    </cfRule>
    <cfRule type="cellIs" dxfId="12" priority="144" operator="equal">
      <formula>"f32"</formula>
    </cfRule>
    <cfRule type="cellIs" dxfId="11" priority="145" operator="equal">
      <formula>"u64"</formula>
    </cfRule>
    <cfRule type="cellIs" dxfId="10" priority="146" operator="equal">
      <formula>"u32"</formula>
    </cfRule>
    <cfRule type="cellIs" priority="147" operator="equal">
      <formula>"u16"</formula>
    </cfRule>
    <cfRule type="cellIs" dxfId="9" priority="148" operator="equal">
      <formula>"s64"</formula>
    </cfRule>
    <cfRule type="cellIs" dxfId="8" priority="149" operator="equal">
      <formula>"s32"</formula>
    </cfRule>
    <cfRule type="cellIs" priority="150" operator="equal">
      <formula>"s16"</formula>
    </cfRule>
  </conditionalFormatting>
  <conditionalFormatting sqref="F146 F131 F128 F125 F122 F119 F134 F137 F140 F143 F149 F152 F155 F158 F161">
    <cfRule type="containsBlanks" dxfId="7" priority="139">
      <formula>LEN(TRIM(F119))=0</formula>
    </cfRule>
  </conditionalFormatting>
  <conditionalFormatting sqref="K146 K131 K128 K125 K122 K119 K134 K137 K140 K143 K149 K152 K155 K158 K161">
    <cfRule type="cellIs" dxfId="0" priority="151" operator="equal">
      <formula>"读写 - 立即更改，立即生效"</formula>
    </cfRule>
    <cfRule type="cellIs" dxfId="1" priority="152" operator="equal">
      <formula>"读写 - 立即更改，重启生效"</formula>
    </cfRule>
    <cfRule type="cellIs" dxfId="2" priority="153" operator="equal">
      <formula>"读写 - 停机更改，立即生效"</formula>
    </cfRule>
  </conditionalFormatting>
  <conditionalFormatting sqref="L146 L131 L128 L125 L122 L119 L134 L137 L140 L143 L149 L152 L155 L158 L161">
    <cfRule type="cellIs" dxfId="3" priority="154" operator="equal">
      <formula>"允许保存，不可恢复"</formula>
    </cfRule>
    <cfRule type="cellIs" dxfId="4" priority="157" operator="equal">
      <formula>"允许保存，可恢复"</formula>
    </cfRule>
  </conditionalFormatting>
  <conditionalFormatting sqref="M146 M131 M128 M125 M122 M119 M134 M137 M140 M143 M149 M152 M155 M158 M161">
    <cfRule type="cellIs" dxfId="5" priority="155" operator="equal">
      <formula>"User"</formula>
    </cfRule>
    <cfRule type="cellIs" dxfId="6" priority="156" operator="equal">
      <formula>"Admin"</formula>
    </cfRule>
  </conditionalFormatting>
  <conditionalFormatting sqref="E147 E132 E129 E126 E123 E120 E135 E138 E141 E144 E150 E153 E156 E159 E162">
    <cfRule type="cellIs" dxfId="13" priority="121" operator="equal">
      <formula>"f64"</formula>
    </cfRule>
    <cfRule type="cellIs" dxfId="13" priority="122" operator="equal">
      <formula>"f64"</formula>
    </cfRule>
    <cfRule type="cellIs" dxfId="12" priority="123" operator="equal">
      <formula>"f32"</formula>
    </cfRule>
    <cfRule type="cellIs" dxfId="13" priority="124" operator="equal">
      <formula>"f64"</formula>
    </cfRule>
    <cfRule type="cellIs" dxfId="12" priority="125" operator="equal">
      <formula>"f32"</formula>
    </cfRule>
    <cfRule type="cellIs" dxfId="11" priority="126" operator="equal">
      <formula>"u64"</formula>
    </cfRule>
    <cfRule type="cellIs" dxfId="10" priority="127" operator="equal">
      <formula>"u32"</formula>
    </cfRule>
    <cfRule type="cellIs" priority="128" operator="equal">
      <formula>"u16"</formula>
    </cfRule>
    <cfRule type="cellIs" dxfId="9" priority="129" operator="equal">
      <formula>"s64"</formula>
    </cfRule>
    <cfRule type="cellIs" dxfId="8" priority="130" operator="equal">
      <formula>"s32"</formula>
    </cfRule>
    <cfRule type="cellIs" priority="131" operator="equal">
      <formula>"s16"</formula>
    </cfRule>
  </conditionalFormatting>
  <conditionalFormatting sqref="F147 F132 F129 F126 F123 F120 F135 F138 F141 F144 F150 F153 F156 F159 F162">
    <cfRule type="containsBlanks" dxfId="7" priority="120">
      <formula>LEN(TRIM(F120))=0</formula>
    </cfRule>
  </conditionalFormatting>
  <conditionalFormatting sqref="K147 K132 K129 K126 K123 K120 K135 K138 K141 K144 K150 K153 K156 K159 K162">
    <cfRule type="cellIs" dxfId="0" priority="132" operator="equal">
      <formula>"读写 - 立即更改，立即生效"</formula>
    </cfRule>
    <cfRule type="cellIs" dxfId="1" priority="133" operator="equal">
      <formula>"读写 - 立即更改，重启生效"</formula>
    </cfRule>
    <cfRule type="cellIs" dxfId="2" priority="134" operator="equal">
      <formula>"读写 - 停机更改，立即生效"</formula>
    </cfRule>
  </conditionalFormatting>
  <conditionalFormatting sqref="L147 L132 L129 L126 L123 L120 L135 L138 L141 L144 L150 L153 L156 L159 L162">
    <cfRule type="cellIs" dxfId="3" priority="135" operator="equal">
      <formula>"允许保存，不可恢复"</formula>
    </cfRule>
    <cfRule type="cellIs" dxfId="4" priority="138" operator="equal">
      <formula>"允许保存，可恢复"</formula>
    </cfRule>
  </conditionalFormatting>
  <conditionalFormatting sqref="M147 M132 M129 M126 M123 M120 M135 M138 M141 M144 M150 M153 M156 M159 M162">
    <cfRule type="cellIs" dxfId="5" priority="136" operator="equal">
      <formula>"User"</formula>
    </cfRule>
    <cfRule type="cellIs" dxfId="6" priority="137" operator="equal">
      <formula>"Admin"</formula>
    </cfRule>
  </conditionalFormatting>
  <conditionalFormatting sqref="E257:E260 E262:E271">
    <cfRule type="cellIs" dxfId="13" priority="544" operator="equal">
      <formula>"f64"</formula>
    </cfRule>
    <cfRule type="cellIs" dxfId="13" priority="545" operator="equal">
      <formula>"f64"</formula>
    </cfRule>
    <cfRule type="cellIs" dxfId="12" priority="546" operator="equal">
      <formula>"f32"</formula>
    </cfRule>
    <cfRule type="cellIs" dxfId="13" priority="547" operator="equal">
      <formula>"f64"</formula>
    </cfRule>
    <cfRule type="cellIs" dxfId="12" priority="548" operator="equal">
      <formula>"f32"</formula>
    </cfRule>
    <cfRule type="cellIs" dxfId="11" priority="549" operator="equal">
      <formula>"u64"</formula>
    </cfRule>
    <cfRule type="cellIs" dxfId="10" priority="550" operator="equal">
      <formula>"u32"</formula>
    </cfRule>
    <cfRule type="cellIs" priority="551" operator="equal">
      <formula>"u16"</formula>
    </cfRule>
    <cfRule type="cellIs" dxfId="9" priority="552" operator="equal">
      <formula>"s64"</formula>
    </cfRule>
    <cfRule type="cellIs" dxfId="8" priority="553" operator="equal">
      <formula>"s32"</formula>
    </cfRule>
    <cfRule type="cellIs" priority="554" operator="equal">
      <formula>"s16"</formula>
    </cfRule>
  </conditionalFormatting>
  <conditionalFormatting sqref="F257:F260 F262:F271">
    <cfRule type="containsBlanks" dxfId="7" priority="543">
      <formula>LEN(TRIM(F257))=0</formula>
    </cfRule>
  </conditionalFormatting>
  <conditionalFormatting sqref="K257:K260 K262:K271">
    <cfRule type="cellIs" dxfId="0" priority="555" operator="equal">
      <formula>"读写 - 立即更改，立即生效"</formula>
    </cfRule>
    <cfRule type="cellIs" dxfId="1" priority="556" operator="equal">
      <formula>"读写 - 立即更改，重启生效"</formula>
    </cfRule>
    <cfRule type="cellIs" dxfId="2" priority="557" operator="equal">
      <formula>"读写 - 停机更改，立即生效"</formula>
    </cfRule>
  </conditionalFormatting>
  <conditionalFormatting sqref="L257:L260 L262:L271">
    <cfRule type="cellIs" dxfId="3" priority="558" operator="equal">
      <formula>"允许保存，不可恢复"</formula>
    </cfRule>
    <cfRule type="cellIs" dxfId="4" priority="561" operator="equal">
      <formula>"允许保存，可恢复"</formula>
    </cfRule>
  </conditionalFormatting>
  <conditionalFormatting sqref="M257:M260 M262:M271">
    <cfRule type="cellIs" dxfId="5" priority="559" operator="equal">
      <formula>"User"</formula>
    </cfRule>
    <cfRule type="cellIs" dxfId="6" priority="560" operator="equal">
      <formula>"Admin"</formula>
    </cfRule>
  </conditionalFormatting>
  <conditionalFormatting sqref="E272 E274 E276 E278">
    <cfRule type="cellIs" dxfId="13" priority="484" operator="equal">
      <formula>"f64"</formula>
    </cfRule>
    <cfRule type="cellIs" dxfId="13" priority="485" operator="equal">
      <formula>"f64"</formula>
    </cfRule>
    <cfRule type="cellIs" dxfId="12" priority="486" operator="equal">
      <formula>"f32"</formula>
    </cfRule>
    <cfRule type="cellIs" dxfId="13" priority="487" operator="equal">
      <formula>"f64"</formula>
    </cfRule>
    <cfRule type="cellIs" dxfId="12" priority="488" operator="equal">
      <formula>"f32"</formula>
    </cfRule>
    <cfRule type="cellIs" dxfId="11" priority="489" operator="equal">
      <formula>"u64"</formula>
    </cfRule>
    <cfRule type="cellIs" dxfId="10" priority="490" operator="equal">
      <formula>"u32"</formula>
    </cfRule>
    <cfRule type="cellIs" priority="491" operator="equal">
      <formula>"u16"</formula>
    </cfRule>
    <cfRule type="cellIs" dxfId="9" priority="492" operator="equal">
      <formula>"s64"</formula>
    </cfRule>
    <cfRule type="cellIs" dxfId="8" priority="493" operator="equal">
      <formula>"s32"</formula>
    </cfRule>
    <cfRule type="cellIs" priority="494" operator="equal">
      <formula>"s16"</formula>
    </cfRule>
  </conditionalFormatting>
  <conditionalFormatting sqref="F272 F274 F276 F283:F286">
    <cfRule type="containsBlanks" dxfId="7" priority="483">
      <formula>LEN(TRIM(F272))=0</formula>
    </cfRule>
  </conditionalFormatting>
  <conditionalFormatting sqref="K272 K274 K276 K278">
    <cfRule type="cellIs" dxfId="0" priority="495" operator="equal">
      <formula>"读写 - 立即更改，立即生效"</formula>
    </cfRule>
    <cfRule type="cellIs" dxfId="1" priority="496" operator="equal">
      <formula>"读写 - 立即更改，重启生效"</formula>
    </cfRule>
    <cfRule type="cellIs" dxfId="2" priority="497" operator="equal">
      <formula>"读写 - 停机更改，立即生效"</formula>
    </cfRule>
  </conditionalFormatting>
  <conditionalFormatting sqref="L272 L274 L276 L278 L280">
    <cfRule type="cellIs" dxfId="3" priority="498" operator="equal">
      <formula>"允许保存，不可恢复"</formula>
    </cfRule>
    <cfRule type="cellIs" dxfId="4" priority="501" operator="equal">
      <formula>"允许保存，可恢复"</formula>
    </cfRule>
  </conditionalFormatting>
  <conditionalFormatting sqref="M272 M274 M276 M278 M280">
    <cfRule type="cellIs" dxfId="5" priority="499" operator="equal">
      <formula>"User"</formula>
    </cfRule>
    <cfRule type="cellIs" dxfId="6" priority="500" operator="equal">
      <formula>"Admin"</formula>
    </cfRule>
  </conditionalFormatting>
  <conditionalFormatting sqref="E273 E275 E277">
    <cfRule type="cellIs" dxfId="13" priority="465" operator="equal">
      <formula>"f64"</formula>
    </cfRule>
    <cfRule type="cellIs" dxfId="13" priority="466" operator="equal">
      <formula>"f64"</formula>
    </cfRule>
    <cfRule type="cellIs" dxfId="12" priority="467" operator="equal">
      <formula>"f32"</formula>
    </cfRule>
    <cfRule type="cellIs" dxfId="13" priority="468" operator="equal">
      <formula>"f64"</formula>
    </cfRule>
    <cfRule type="cellIs" dxfId="12" priority="469" operator="equal">
      <formula>"f32"</formula>
    </cfRule>
    <cfRule type="cellIs" dxfId="11" priority="470" operator="equal">
      <formula>"u64"</formula>
    </cfRule>
    <cfRule type="cellIs" dxfId="10" priority="471" operator="equal">
      <formula>"u32"</formula>
    </cfRule>
    <cfRule type="cellIs" priority="472" operator="equal">
      <formula>"u16"</formula>
    </cfRule>
    <cfRule type="cellIs" dxfId="9" priority="473" operator="equal">
      <formula>"s64"</formula>
    </cfRule>
    <cfRule type="cellIs" dxfId="8" priority="474" operator="equal">
      <formula>"s32"</formula>
    </cfRule>
    <cfRule type="cellIs" priority="475" operator="equal">
      <formula>"s16"</formula>
    </cfRule>
  </conditionalFormatting>
  <conditionalFormatting sqref="F273 F275 F277">
    <cfRule type="containsBlanks" dxfId="7" priority="464">
      <formula>LEN(TRIM(F273))=0</formula>
    </cfRule>
  </conditionalFormatting>
  <conditionalFormatting sqref="K273 K275 K277">
    <cfRule type="cellIs" dxfId="0" priority="476" operator="equal">
      <formula>"读写 - 立即更改，立即生效"</formula>
    </cfRule>
    <cfRule type="cellIs" dxfId="1" priority="477" operator="equal">
      <formula>"读写 - 立即更改，重启生效"</formula>
    </cfRule>
    <cfRule type="cellIs" dxfId="2" priority="478" operator="equal">
      <formula>"读写 - 停机更改，立即生效"</formula>
    </cfRule>
  </conditionalFormatting>
  <conditionalFormatting sqref="L273 L275 L277 L279 L281">
    <cfRule type="cellIs" dxfId="3" priority="479" operator="equal">
      <formula>"允许保存，不可恢复"</formula>
    </cfRule>
    <cfRule type="cellIs" dxfId="4" priority="482" operator="equal">
      <formula>"允许保存，可恢复"</formula>
    </cfRule>
  </conditionalFormatting>
  <conditionalFormatting sqref="M273 M275 M277 M279 M281">
    <cfRule type="cellIs" dxfId="5" priority="480" operator="equal">
      <formula>"User"</formula>
    </cfRule>
    <cfRule type="cellIs" dxfId="6" priority="481" operator="equal">
      <formula>"Admin"</formula>
    </cfRule>
  </conditionalFormatting>
  <conditionalFormatting sqref="E283 E285">
    <cfRule type="cellIs" dxfId="13" priority="439" operator="equal">
      <formula>"f64"</formula>
    </cfRule>
    <cfRule type="cellIs" dxfId="13" priority="440" operator="equal">
      <formula>"f64"</formula>
    </cfRule>
    <cfRule type="cellIs" dxfId="12" priority="441" operator="equal">
      <formula>"f32"</formula>
    </cfRule>
    <cfRule type="cellIs" dxfId="13" priority="442" operator="equal">
      <formula>"f64"</formula>
    </cfRule>
    <cfRule type="cellIs" dxfId="12" priority="443" operator="equal">
      <formula>"f32"</formula>
    </cfRule>
    <cfRule type="cellIs" dxfId="11" priority="444" operator="equal">
      <formula>"u64"</formula>
    </cfRule>
    <cfRule type="cellIs" dxfId="10" priority="445" operator="equal">
      <formula>"u32"</formula>
    </cfRule>
    <cfRule type="cellIs" priority="446" operator="equal">
      <formula>"u16"</formula>
    </cfRule>
    <cfRule type="cellIs" dxfId="9" priority="447" operator="equal">
      <formula>"s64"</formula>
    </cfRule>
    <cfRule type="cellIs" dxfId="8" priority="448" operator="equal">
      <formula>"s32"</formula>
    </cfRule>
    <cfRule type="cellIs" priority="449" operator="equal">
      <formula>"s16"</formula>
    </cfRule>
  </conditionalFormatting>
  <conditionalFormatting sqref="E284 E286">
    <cfRule type="cellIs" dxfId="13" priority="450" operator="equal">
      <formula>"f64"</formula>
    </cfRule>
    <cfRule type="cellIs" dxfId="13" priority="451" operator="equal">
      <formula>"f64"</formula>
    </cfRule>
    <cfRule type="cellIs" dxfId="12" priority="452" operator="equal">
      <formula>"f32"</formula>
    </cfRule>
    <cfRule type="cellIs" dxfId="13" priority="453" operator="equal">
      <formula>"f64"</formula>
    </cfRule>
    <cfRule type="cellIs" dxfId="12" priority="454" operator="equal">
      <formula>"f32"</formula>
    </cfRule>
    <cfRule type="cellIs" dxfId="11" priority="455" operator="equal">
      <formula>"u64"</formula>
    </cfRule>
    <cfRule type="cellIs" dxfId="10" priority="456" operator="equal">
      <formula>"u32"</formula>
    </cfRule>
    <cfRule type="cellIs" priority="457" operator="equal">
      <formula>"u16"</formula>
    </cfRule>
    <cfRule type="cellIs" dxfId="9" priority="458" operator="equal">
      <formula>"s64"</formula>
    </cfRule>
    <cfRule type="cellIs" dxfId="8" priority="459" operator="equal">
      <formula>"s32"</formula>
    </cfRule>
    <cfRule type="cellIs" priority="460" operator="equal">
      <formula>"s16"</formula>
    </cfRule>
  </conditionalFormatting>
  <dataValidations count="5">
    <dataValidation type="list" allowBlank="1" showInputMessage="1" showErrorMessage="1" sqref="E5 E8 E9 E10 E22 E23 E26 E31 E32 E33 E34 E35 E36 E37 E38 E39 E40 E41 E42 E43 E44 E45 E46 E47 E48 E49 E50 E51 E52 E53 E54 E55 E56 E57 E58 E59 E60 E61 E62 E63 E64 E65 E66 E73 E85 E86 E87 E88 E89 E90 E91 E92 E93 E94 E95 E96 E97 E98 E112 E113 E114 E115 E116 E117 E118 E119 E120 E121 E122 E123 E124 E125 E126 E127 E128 E129 E130 E131 E132 E133 E134 E135 E136 E137 E138 E139 E140 E141 E142 E143 E144 E145 E146 E147 E148 E149 E150 E151 E152 E153 E154 E155 E156 E157 E158 E159 E160 E161 E162 E163 E164 E165 E168 E169 E170 E171 E172 E173 E174 E175 E176 E177 E178 E179 E180 E181 E182 E183 E184 E185 E186 E187 E188 E189 E190 E191 E192 E193 E194 E195 E196 E197 E198 E199 E200 E209 E210 E211 E212 E222 E256 E261 E272 E273 E274 E275 E276 E277 E278 E279 E280 E281 E282 E283 E284 E285 E286 E287 E288 E289 E290 E291 E292 E293 E294 E295 E6:E7 E11:E18 E19:E21 E24:E25 E27:E30 E67:E72 E74:E84 E99:E101 E102:E105 E106:E109 E110:E111 E166:E167 E201:E208 E213:E221 E223:E233 E234:E255 E257:E260 E262:E271">
      <formula1>"s16,u16,s32,u32,s64,u64,f32,f64"</formula1>
    </dataValidation>
    <dataValidation type="list" allowBlank="1" showInputMessage="1" showErrorMessage="1" sqref="J8 J9 J22 J26 J32 J33 J34 J35 J36 J37 J38 J39 J40 J41 J42 J43 J44 J45 J46 J47 J48 J49 J50 J51 J52 J53 J54 J55 J56 J57 J58 J59 J60 J61 J62 J63 J64 J65 J66 J73 J85 J86 J87 J88 J89 J90 J91 J92 J93 J94 J95 J96 J97 J98 J112 J113 J114 J115 J116 J117 J118 J119 J120 J121 J122 J123 J124 J125 J126 J127 J128 J129 J130 J131 J132 J133 J134 J135 J136 J137 J138 J139 J140 J141 J142 J143 J144 J145 J146 J147 J148 J149 J150 J151 J152 J153 J154 J155 J156 J157 J158 J159 J160 J161 J162 J163 J164 J165 J168 J169 J170 J171 J172 J173 J177 J178 J179 J187 J188 J189 J190 J191 J192 J193 J194 J195 J196 J197 J198 J199 J200 J209 J210 J211 J212 J222 J256 J261 J272 J273 J274 J275 J276 J277 J278 J279 J280 J281 J282 J283 J284 J285 J286 J287 J288 J289 J290 J291 J292 J293 J294 J295 J5:J7 J10:J21 J23:J25 J27:J31 J67:J70 J71:J72 J74:J84 J99:J101 J102:J105 J106:J109 J110:J111 J166:J167 J174:J176 J180:J184 J185:J186 J201:J208 J213:J221 J223:J233 J234:J255 J257:J260 J262:J271">
      <formula1>Unit!$A$2:$A$62</formula1>
    </dataValidation>
    <dataValidation type="list" allowBlank="1" showInputMessage="1" showErrorMessage="1" sqref="L5 L6 L7 L8 L9 L10 L11 L12 L13 L14 L15 L22 L26 L32 L33 L34 L35 L36 L37 L38 L39 L40 L41 L42 L43 L44 L45 L46 L47 L48 L49 L50 L51 L52 L53 L54 L55 L56 L57 L58 L59 L60 L61 L62 L63 L64 L65 L66 L78 L85 L86 L87 L88 L89 L90 L91 L92 L93 L94 L95 L96 L97 L98 L112 L113 L114 L115 L116 L117 L118 L119 L120 L121 L122 L123 L124 L125 L126 L127 L128 L129 L130 L131 L132 L133 L134 L135 L136 L137 L138 L139 L140 L141 L142 L143 L144 L145 L146 L147 L148 L149 L150 L151 L152 L153 L154 L155 L156 L157 L158 L159 L160 L161 L162 L163 L164 L165 L168 L169 L170 L171 L172 L173 L177 L187 L188 L189 L190 L191 L195 L196 L197 L198 L199 L200 L209 L210 L211 L212 L222 L256 L261 L272 L273 L274 L275 L276 L277 L278 L279 L280 L281 L282 L283 L284 L285 L286 L287 L288 L289 L290 L291 L292 L293 L294 L295 L16:L21 L23:L25 L27:L31 L67:L73 L74:L77 L79:L84 L99:L101 L102:L105 L106:L109 L110:L111 L166:L167 L174:L176 L178:L179 L180:L184 L185:L186 L192:L194 L201:L208 L213:L221 L223:L233 L234:L255 L257:L260 L262:L271">
      <formula1>"允许保存，可恢复,允许保存，不可恢复,不允许保存，不可恢复"</formula1>
    </dataValidation>
    <dataValidation type="list" allowBlank="1" showInputMessage="1" showErrorMessage="1" sqref="K8 K9 K22 K26 K32 K33 K34 K35 K36 K37 K38 K39 K40 K41 K42 K43 K44 K45 K46 K47 K48 K49 K50 K51 K52 K53 K54 K55 K56 K57 K58 K59 K60 K61 K62 K63 K64 K65 K66 K73 K85 K86 K87 K88 K89 K90 K91 K92 K93 K94 K95 K96 K97 K98 K112 K113 K114 K115 K116 K117 K118 K119 K120 K121 K122 K123 K124 K125 K126 K127 K128 K129 K130 K131 K132 K133 K134 K135 K136 K137 K138 K139 K140 K141 K142 K143 K144 K145 K146 K147 K148 K149 K150 K151 K152 K153 K154 K155 K156 K157 K158 K159 K160 K161 K162 K163 K164 K165 K168 K169 K170 K171 K172 K173 K177 K187 K188 K189 K190 K191 K195 K196 K197 K198 K199 K200 K209 K210 K211 K212 K222 K231 K232 K233 K238 K256 K261 K272 K273 K274 K275 K276 K277 K278 K295 K5:K7 K10:K21 K23:K25 K27:K31 K67:K69 K70:K72 K74:K84 K99:K101 K102:K105 K106:K109 K110:K111 K166:K167 K174:K176 K178:K179 K180:K184 K185:K186 K192:K194 K201:K208 K213:K221 K223:K230 K234:K237 K239:K255 K257:K260 K262:K271 K279:K282 K283:K289 K290:K294">
      <formula1>"只读,读写 - 立即更改，立即生效,读写 - 立即更改，重启生效,读写 - 停机更改，立即生效"</formula1>
    </dataValidation>
    <dataValidation type="list" allowBlank="1" showInputMessage="1" showErrorMessage="1" sqref="M8 M9 M22 M26 M32 M33 M34 M35 M36 M37 M38 M39 M40 M41 M42 M43 M44 M45 M46 M47 M48 M49 M50 M51 M52 M53 M54 M55 M56 M57 M58 M59 M60 M61 M62 M63 M64 M65 M66 M85 M86 M87 M88 M89 M90 M91 M92 M93 M94 M95 M96 M97 M98 M112 M113 M114 M115 M116 M117 M118 M119 M120 M121 M122 M123 M124 M125 M126 M127 M128 M129 M130 M131 M132 M133 M134 M135 M136 M137 M138 M139 M140 M141 M142 M143 M144 M145 M146 M147 M148 M149 M150 M151 M152 M153 M154 M155 M156 M157 M158 M159 M160 M161 M162 M163 M164 M165 M168 M169 M170 M171 M172 M173 M177 M187 M188 M189 M190 M191 M195 M196 M197 M198 M199 M200 M209 M210 M211 M212 M222 M256 M261 M272 M273 M274 M275 M276 M277 M278 M279 M280 M281 M282 M283 M284 M285 M286 M287 M288 M289 M290 M291 M292 M293 M294 M295 M5:M7 M10:M21 M23:M25 M27:M31 M67:M73 M74:M78 M79:M84 M99:M101 M102:M105 M106:M109 M110:M111 M166:M167 M174:M176 M178:M179 M180:M184 M185:M186 M192:M194 M201:M208 M213:M221 M223:M233 M234:M255 M257:M260 M262:M271">
      <formula1>"Admin,User,Anyone"</formula1>
    </dataValidation>
  </dataValidation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R543"/>
  <sheetViews>
    <sheetView showGridLines="0" tabSelected="1" zoomScale="85" zoomScaleNormal="85" topLeftCell="D135" workbookViewId="0">
      <selection activeCell="P165" sqref="P165"/>
    </sheetView>
  </sheetViews>
  <sheetFormatPr defaultColWidth="9" defaultRowHeight="14.4"/>
  <cols>
    <col min="1" max="1" width="5.22222222222222" style="7" customWidth="1"/>
    <col min="2" max="2" width="9.66666666666667" style="7" customWidth="1"/>
    <col min="3" max="3" width="8.77777777777778" style="7" customWidth="1"/>
    <col min="4" max="4" width="6.66666666666667" style="7" customWidth="1"/>
    <col min="5" max="5" width="5.22222222222222" style="7" customWidth="1"/>
    <col min="6" max="6" width="34.4444444444444" style="8" customWidth="1"/>
    <col min="7" max="7" width="7.22222222222222" style="7" customWidth="1"/>
    <col min="8" max="9" width="8.66666666666667" style="7" customWidth="1"/>
    <col min="10" max="10" width="13" style="7" customWidth="1"/>
    <col min="11" max="11" width="26.8888888888889" style="7" customWidth="1"/>
    <col min="12" max="12" width="21.4444444444444" style="7" customWidth="1"/>
    <col min="13" max="14" width="9.22222222222222" style="7" customWidth="1"/>
    <col min="15" max="15" width="45.3888888888889" style="8" customWidth="1"/>
    <col min="16" max="16" width="73.7777777777778" style="7" customWidth="1"/>
    <col min="17" max="17" width="2.66666666666667" style="9" customWidth="1"/>
    <col min="18" max="18" width="15.1574074074074" style="10" customWidth="1"/>
    <col min="19" max="16374" width="9" style="7"/>
    <col min="16375" max="16384" width="9" style="1"/>
  </cols>
  <sheetData>
    <row r="1" spans="1:18">
      <c r="A1" s="11" t="s">
        <v>0</v>
      </c>
      <c r="B1" s="11"/>
      <c r="C1" s="11"/>
      <c r="D1" s="11" t="s">
        <v>1</v>
      </c>
      <c r="E1" s="11"/>
      <c r="F1" s="12"/>
      <c r="G1" s="11"/>
      <c r="H1" s="11"/>
      <c r="I1" s="11"/>
      <c r="J1" s="11"/>
      <c r="K1" s="11"/>
      <c r="L1" s="11"/>
      <c r="M1" s="11"/>
      <c r="N1" s="11"/>
      <c r="O1" s="12"/>
      <c r="P1" s="11"/>
      <c r="Q1" s="28"/>
      <c r="R1" s="11"/>
    </row>
    <row r="2" spans="1:18">
      <c r="A2" s="11"/>
      <c r="B2" s="11"/>
      <c r="C2" s="11"/>
      <c r="D2" s="11"/>
      <c r="E2" s="11"/>
      <c r="F2" s="12"/>
      <c r="G2" s="11"/>
      <c r="H2" s="11"/>
      <c r="I2" s="11"/>
      <c r="J2" s="11"/>
      <c r="K2" s="11"/>
      <c r="L2" s="11"/>
      <c r="M2" s="11"/>
      <c r="N2" s="11"/>
      <c r="O2" s="12"/>
      <c r="P2" s="11"/>
      <c r="Q2" s="28"/>
      <c r="R2" s="11"/>
    </row>
    <row r="3" spans="1:18">
      <c r="A3" s="13" t="s">
        <v>2</v>
      </c>
      <c r="B3" s="13" t="s">
        <v>3</v>
      </c>
      <c r="C3" s="13" t="s">
        <v>4</v>
      </c>
      <c r="D3" s="11" t="s">
        <v>5</v>
      </c>
      <c r="E3" s="14" t="s">
        <v>6</v>
      </c>
      <c r="F3" s="15" t="s">
        <v>3</v>
      </c>
      <c r="G3" s="14" t="s">
        <v>7</v>
      </c>
      <c r="H3" s="16" t="s">
        <v>8</v>
      </c>
      <c r="I3" s="16" t="s">
        <v>9</v>
      </c>
      <c r="J3" s="11" t="s">
        <v>10</v>
      </c>
      <c r="K3" s="11"/>
      <c r="L3" s="11"/>
      <c r="M3" s="11"/>
      <c r="N3" s="14" t="s">
        <v>11</v>
      </c>
      <c r="O3" s="14" t="s">
        <v>12</v>
      </c>
      <c r="P3" s="14" t="s">
        <v>13</v>
      </c>
      <c r="Q3" s="28"/>
      <c r="R3" s="14"/>
    </row>
    <row r="4" spans="1:18">
      <c r="A4" s="13"/>
      <c r="B4" s="13"/>
      <c r="C4" s="13"/>
      <c r="D4" s="11"/>
      <c r="E4" s="11"/>
      <c r="F4" s="12"/>
      <c r="G4" s="11"/>
      <c r="H4" s="11"/>
      <c r="I4" s="11"/>
      <c r="J4" s="11" t="s">
        <v>14</v>
      </c>
      <c r="K4" s="11" t="s">
        <v>15</v>
      </c>
      <c r="L4" s="11" t="s">
        <v>16</v>
      </c>
      <c r="M4" s="14" t="s">
        <v>17</v>
      </c>
      <c r="N4" s="11"/>
      <c r="O4" s="11"/>
      <c r="P4" s="11"/>
      <c r="Q4" s="28"/>
      <c r="R4" s="11"/>
    </row>
    <row r="5" spans="1:18">
      <c r="A5" s="10"/>
      <c r="B5" s="10"/>
      <c r="C5" s="17"/>
      <c r="D5" s="10">
        <v>9000</v>
      </c>
      <c r="E5" s="18" t="s">
        <v>34</v>
      </c>
      <c r="F5" s="19" t="s">
        <v>445</v>
      </c>
      <c r="G5" s="20" t="s">
        <v>39</v>
      </c>
      <c r="H5" s="20" t="s">
        <v>23</v>
      </c>
      <c r="I5" s="20" t="s">
        <v>35</v>
      </c>
      <c r="J5" s="10" t="s">
        <v>25</v>
      </c>
      <c r="K5" s="10" t="s">
        <v>26</v>
      </c>
      <c r="L5" s="10" t="s">
        <v>30</v>
      </c>
      <c r="M5" s="18" t="s">
        <v>28</v>
      </c>
      <c r="N5" s="10"/>
      <c r="O5" s="23" t="s">
        <v>446</v>
      </c>
      <c r="P5" s="24"/>
      <c r="Q5" s="29">
        <f>IF(OR(F7="",LEFT(TRIM(F7),3)=E7),1,0)</f>
        <v>1</v>
      </c>
      <c r="R5" s="30" t="str">
        <f>"P"&amp;TEXT(ROUND(D5/256,0),"00")&amp;"."&amp;TEXT(MOD(D5,256),"000")</f>
        <v>P35.040</v>
      </c>
    </row>
    <row r="6" spans="1:18">
      <c r="A6" s="10"/>
      <c r="B6" s="10"/>
      <c r="C6" s="17"/>
      <c r="D6" s="10">
        <f>INDEX(D:D,ROW()-1)+_xlfn.IFS(INDEX(E:E,ROW()-1)="u16",1,INDEX(E:E,ROW()-1)="s16",1,INDEX(E:E,ROW()-1)="s32",2,INDEX(E:E,ROW()-1)="s64",4,INDEX(E:E,ROW()-1)="u16",1,INDEX(E:E,ROW()-1)="u32",2,INDEX(E:E,ROW()-1)="u64",4,INDEX(E:E,ROW()-1)="f32",2,INDEX(E:E,ROW()-1)="f64",4)</f>
        <v>9001</v>
      </c>
      <c r="E6" s="18" t="s">
        <v>34</v>
      </c>
      <c r="F6" s="19"/>
      <c r="G6" s="20" t="s">
        <v>23</v>
      </c>
      <c r="H6" s="20" t="s">
        <v>23</v>
      </c>
      <c r="I6" s="20" t="s">
        <v>35</v>
      </c>
      <c r="J6" s="10" t="s">
        <v>25</v>
      </c>
      <c r="K6" s="10" t="s">
        <v>26</v>
      </c>
      <c r="L6" s="10" t="s">
        <v>30</v>
      </c>
      <c r="M6" s="18" t="s">
        <v>28</v>
      </c>
      <c r="N6" s="10"/>
      <c r="O6" s="21"/>
      <c r="P6" s="24"/>
      <c r="Q6" s="29"/>
      <c r="R6" s="30"/>
    </row>
    <row r="7" ht="26.4" spans="1:18">
      <c r="A7" s="10"/>
      <c r="B7" s="10"/>
      <c r="C7" s="17"/>
      <c r="D7" s="10">
        <f>INDEX(D:D,ROW()-1)+_xlfn.IFS(INDEX(E:E,ROW()-1)="u16",1,INDEX(E:E,ROW()-1)="s16",1,INDEX(E:E,ROW()-1)="s32",2,INDEX(E:E,ROW()-1)="s64",4,INDEX(E:E,ROW()-1)="u16",1,INDEX(E:E,ROW()-1)="u32",2,INDEX(E:E,ROW()-1)="u64",4,INDEX(E:E,ROW()-1)="f32",2,INDEX(E:E,ROW()-1)="f64",4)</f>
        <v>9002</v>
      </c>
      <c r="E7" s="18" t="s">
        <v>34</v>
      </c>
      <c r="F7" s="19" t="s">
        <v>447</v>
      </c>
      <c r="G7" s="20" t="s">
        <v>39</v>
      </c>
      <c r="H7" s="20" t="s">
        <v>23</v>
      </c>
      <c r="I7" s="20" t="s">
        <v>42</v>
      </c>
      <c r="J7" s="10" t="s">
        <v>25</v>
      </c>
      <c r="K7" s="10" t="s">
        <v>68</v>
      </c>
      <c r="L7" s="10" t="s">
        <v>27</v>
      </c>
      <c r="M7" s="18" t="s">
        <v>28</v>
      </c>
      <c r="N7" s="10"/>
      <c r="O7" s="25" t="s">
        <v>448</v>
      </c>
      <c r="P7" s="24" t="s">
        <v>449</v>
      </c>
      <c r="Q7" s="29"/>
      <c r="R7" s="30"/>
    </row>
    <row r="8" spans="1:18">
      <c r="A8" s="10"/>
      <c r="B8" s="10"/>
      <c r="C8" s="17"/>
      <c r="D8" s="10">
        <f>INDEX(D:D,ROW()-1)+_xlfn.IFS(INDEX(E:E,ROW()-1)="u16",1,INDEX(E:E,ROW()-1)="s16",1,INDEX(E:E,ROW()-1)="s32",2,INDEX(E:E,ROW()-1)="s64",4,INDEX(E:E,ROW()-1)="u16",1,INDEX(E:E,ROW()-1)="u32",2,INDEX(E:E,ROW()-1)="u64",4,INDEX(E:E,ROW()-1)="f32",2,INDEX(E:E,ROW()-1)="f64",4)</f>
        <v>9003</v>
      </c>
      <c r="E8" s="18" t="s">
        <v>34</v>
      </c>
      <c r="F8" s="21" t="s">
        <v>450</v>
      </c>
      <c r="G8" s="20" t="s">
        <v>451</v>
      </c>
      <c r="H8" s="20" t="s">
        <v>23</v>
      </c>
      <c r="I8" s="20" t="s">
        <v>35</v>
      </c>
      <c r="J8" s="10" t="s">
        <v>25</v>
      </c>
      <c r="K8" s="10" t="s">
        <v>68</v>
      </c>
      <c r="L8" s="10" t="s">
        <v>452</v>
      </c>
      <c r="M8" s="18" t="s">
        <v>74</v>
      </c>
      <c r="N8" s="10"/>
      <c r="O8" s="21" t="s">
        <v>453</v>
      </c>
      <c r="P8" s="21"/>
      <c r="Q8" s="29">
        <f t="shared" ref="Q8:Q71" si="0">IF(OR(F8="",LEFT(TRIM(F8),3)=E8),1,0)</f>
        <v>1</v>
      </c>
      <c r="R8" s="30" t="str">
        <f t="shared" ref="R8:R71" si="1">"P"&amp;TEXT(ROUND(D8/256,0),"00")&amp;"."&amp;TEXT(MOD(D8,256),"000")</f>
        <v>P35.043</v>
      </c>
    </row>
    <row r="9" spans="1:18">
      <c r="A9" s="10"/>
      <c r="B9" s="10"/>
      <c r="C9" s="17"/>
      <c r="D9" s="10">
        <f t="shared" ref="D9:D72" si="2">INDEX(D:D,ROW()-1)+_xlfn.IFS(INDEX(E:E,ROW()-1)="u16",1,INDEX(E:E,ROW()-1)="s16",1,INDEX(E:E,ROW()-1)="s32",2,INDEX(E:E,ROW()-1)="s64",4,INDEX(E:E,ROW()-1)="u16",1,INDEX(E:E,ROW()-1)="u32",2,INDEX(E:E,ROW()-1)="u64",4,INDEX(E:E,ROW()-1)="f32",2,INDEX(E:E,ROW()-1)="f64",4)</f>
        <v>9004</v>
      </c>
      <c r="E9" s="18" t="s">
        <v>20</v>
      </c>
      <c r="F9" s="21" t="s">
        <v>454</v>
      </c>
      <c r="G9" s="20" t="s">
        <v>23</v>
      </c>
      <c r="H9" s="20" t="s">
        <v>23</v>
      </c>
      <c r="I9" s="20" t="s">
        <v>24</v>
      </c>
      <c r="J9" s="10" t="s">
        <v>455</v>
      </c>
      <c r="K9" s="10" t="s">
        <v>68</v>
      </c>
      <c r="L9" s="10" t="s">
        <v>452</v>
      </c>
      <c r="M9" s="18" t="s">
        <v>74</v>
      </c>
      <c r="N9" s="10"/>
      <c r="O9" s="21" t="s">
        <v>456</v>
      </c>
      <c r="P9" s="21"/>
      <c r="Q9" s="29">
        <f t="shared" si="0"/>
        <v>1</v>
      </c>
      <c r="R9" s="30" t="str">
        <f t="shared" si="1"/>
        <v>P35.044</v>
      </c>
    </row>
    <row r="10" spans="1:18">
      <c r="A10" s="10"/>
      <c r="B10" s="10"/>
      <c r="C10" s="17"/>
      <c r="D10" s="10">
        <f t="shared" si="2"/>
        <v>9006</v>
      </c>
      <c r="E10" s="18" t="s">
        <v>34</v>
      </c>
      <c r="F10" s="21" t="s">
        <v>457</v>
      </c>
      <c r="G10" s="20" t="s">
        <v>23</v>
      </c>
      <c r="H10" s="20" t="s">
        <v>23</v>
      </c>
      <c r="I10" s="20" t="s">
        <v>35</v>
      </c>
      <c r="J10" s="10" t="s">
        <v>458</v>
      </c>
      <c r="K10" s="10" t="s">
        <v>68</v>
      </c>
      <c r="L10" s="10" t="s">
        <v>452</v>
      </c>
      <c r="M10" s="18" t="s">
        <v>74</v>
      </c>
      <c r="N10" s="10"/>
      <c r="O10" s="21" t="s">
        <v>459</v>
      </c>
      <c r="P10" s="21"/>
      <c r="Q10" s="29">
        <f t="shared" si="0"/>
        <v>1</v>
      </c>
      <c r="R10" s="30" t="str">
        <f t="shared" si="1"/>
        <v>P35.046</v>
      </c>
    </row>
    <row r="11" spans="1:18">
      <c r="A11" s="10"/>
      <c r="B11" s="10"/>
      <c r="C11" s="17"/>
      <c r="D11" s="10">
        <f t="shared" si="2"/>
        <v>9007</v>
      </c>
      <c r="E11" s="18" t="s">
        <v>34</v>
      </c>
      <c r="F11" s="21" t="s">
        <v>460</v>
      </c>
      <c r="G11" s="20" t="s">
        <v>23</v>
      </c>
      <c r="H11" s="20" t="s">
        <v>23</v>
      </c>
      <c r="I11" s="20" t="s">
        <v>35</v>
      </c>
      <c r="J11" s="10" t="s">
        <v>461</v>
      </c>
      <c r="K11" s="10" t="s">
        <v>68</v>
      </c>
      <c r="L11" s="10" t="s">
        <v>452</v>
      </c>
      <c r="M11" s="18" t="s">
        <v>74</v>
      </c>
      <c r="N11" s="10"/>
      <c r="O11" s="21" t="s">
        <v>462</v>
      </c>
      <c r="P11" s="21"/>
      <c r="Q11" s="29">
        <f t="shared" si="0"/>
        <v>1</v>
      </c>
      <c r="R11" s="30" t="str">
        <f t="shared" si="1"/>
        <v>P35.047</v>
      </c>
    </row>
    <row r="12" spans="1:18">
      <c r="A12" s="10"/>
      <c r="B12" s="10"/>
      <c r="C12" s="17"/>
      <c r="D12" s="10">
        <f t="shared" si="2"/>
        <v>9008</v>
      </c>
      <c r="E12" s="18" t="s">
        <v>34</v>
      </c>
      <c r="F12" s="21" t="s">
        <v>463</v>
      </c>
      <c r="G12" s="20" t="s">
        <v>23</v>
      </c>
      <c r="H12" s="20" t="s">
        <v>23</v>
      </c>
      <c r="I12" s="20" t="s">
        <v>35</v>
      </c>
      <c r="J12" s="10" t="s">
        <v>461</v>
      </c>
      <c r="K12" s="10" t="s">
        <v>68</v>
      </c>
      <c r="L12" s="10" t="s">
        <v>452</v>
      </c>
      <c r="M12" s="18" t="s">
        <v>74</v>
      </c>
      <c r="N12" s="10"/>
      <c r="O12" s="21" t="s">
        <v>464</v>
      </c>
      <c r="P12" s="21"/>
      <c r="Q12" s="29">
        <f t="shared" si="0"/>
        <v>1</v>
      </c>
      <c r="R12" s="30" t="str">
        <f t="shared" si="1"/>
        <v>P35.048</v>
      </c>
    </row>
    <row r="13" spans="1:18">
      <c r="A13" s="10"/>
      <c r="B13" s="10"/>
      <c r="C13" s="17"/>
      <c r="D13" s="10">
        <f t="shared" si="2"/>
        <v>9009</v>
      </c>
      <c r="E13" s="18" t="s">
        <v>34</v>
      </c>
      <c r="F13" s="21" t="s">
        <v>465</v>
      </c>
      <c r="G13" s="20" t="s">
        <v>23</v>
      </c>
      <c r="H13" s="20" t="s">
        <v>23</v>
      </c>
      <c r="I13" s="20" t="s">
        <v>35</v>
      </c>
      <c r="J13" s="10" t="s">
        <v>25</v>
      </c>
      <c r="K13" s="10" t="s">
        <v>68</v>
      </c>
      <c r="L13" s="10" t="s">
        <v>452</v>
      </c>
      <c r="M13" s="18" t="s">
        <v>74</v>
      </c>
      <c r="N13" s="10"/>
      <c r="O13" s="21" t="s">
        <v>466</v>
      </c>
      <c r="P13" s="21"/>
      <c r="Q13" s="29">
        <f t="shared" si="0"/>
        <v>1</v>
      </c>
      <c r="R13" s="30" t="str">
        <f t="shared" si="1"/>
        <v>P35.049</v>
      </c>
    </row>
    <row r="14" spans="1:18">
      <c r="A14" s="10"/>
      <c r="B14" s="10"/>
      <c r="C14" s="17"/>
      <c r="D14" s="10">
        <f t="shared" si="2"/>
        <v>9010</v>
      </c>
      <c r="E14" s="18" t="s">
        <v>34</v>
      </c>
      <c r="F14" s="21" t="s">
        <v>467</v>
      </c>
      <c r="G14" s="20" t="s">
        <v>23</v>
      </c>
      <c r="H14" s="20" t="s">
        <v>23</v>
      </c>
      <c r="I14" s="20" t="s">
        <v>35</v>
      </c>
      <c r="J14" s="10" t="s">
        <v>25</v>
      </c>
      <c r="K14" s="10" t="s">
        <v>68</v>
      </c>
      <c r="L14" s="10" t="s">
        <v>452</v>
      </c>
      <c r="M14" s="18" t="s">
        <v>74</v>
      </c>
      <c r="N14" s="10"/>
      <c r="O14" s="21" t="s">
        <v>468</v>
      </c>
      <c r="P14" s="21"/>
      <c r="Q14" s="29">
        <f t="shared" si="0"/>
        <v>1</v>
      </c>
      <c r="R14" s="30" t="str">
        <f t="shared" si="1"/>
        <v>P35.050</v>
      </c>
    </row>
    <row r="15" spans="1:18">
      <c r="A15" s="10"/>
      <c r="B15" s="10"/>
      <c r="C15" s="17"/>
      <c r="D15" s="10">
        <f t="shared" si="2"/>
        <v>9011</v>
      </c>
      <c r="E15" s="18" t="s">
        <v>34</v>
      </c>
      <c r="F15" s="21" t="s">
        <v>469</v>
      </c>
      <c r="G15" s="20" t="s">
        <v>23</v>
      </c>
      <c r="H15" s="20" t="s">
        <v>23</v>
      </c>
      <c r="I15" s="20" t="s">
        <v>35</v>
      </c>
      <c r="J15" s="10" t="s">
        <v>470</v>
      </c>
      <c r="K15" s="10" t="s">
        <v>68</v>
      </c>
      <c r="L15" s="10" t="s">
        <v>452</v>
      </c>
      <c r="M15" s="18" t="s">
        <v>74</v>
      </c>
      <c r="N15" s="10"/>
      <c r="O15" s="21" t="s">
        <v>471</v>
      </c>
      <c r="P15" s="21"/>
      <c r="Q15" s="29">
        <f t="shared" si="0"/>
        <v>1</v>
      </c>
      <c r="R15" s="30" t="str">
        <f t="shared" si="1"/>
        <v>P35.051</v>
      </c>
    </row>
    <row r="16" ht="66" spans="1:18">
      <c r="A16" s="10"/>
      <c r="B16" s="10"/>
      <c r="C16" s="17"/>
      <c r="D16" s="10">
        <f t="shared" si="2"/>
        <v>9012</v>
      </c>
      <c r="E16" s="18" t="s">
        <v>34</v>
      </c>
      <c r="F16" s="21" t="s">
        <v>472</v>
      </c>
      <c r="G16" s="20" t="s">
        <v>23</v>
      </c>
      <c r="H16" s="20" t="s">
        <v>23</v>
      </c>
      <c r="I16" s="20" t="s">
        <v>335</v>
      </c>
      <c r="J16" s="10" t="s">
        <v>473</v>
      </c>
      <c r="K16" s="10" t="s">
        <v>68</v>
      </c>
      <c r="L16" s="10" t="s">
        <v>452</v>
      </c>
      <c r="M16" s="18" t="s">
        <v>74</v>
      </c>
      <c r="N16" s="10"/>
      <c r="O16" s="19" t="s">
        <v>474</v>
      </c>
      <c r="P16" s="24" t="s">
        <v>475</v>
      </c>
      <c r="Q16" s="29">
        <f t="shared" si="0"/>
        <v>1</v>
      </c>
      <c r="R16" s="30" t="str">
        <f t="shared" si="1"/>
        <v>P35.052</v>
      </c>
    </row>
    <row r="17" spans="1:18">
      <c r="A17" s="10"/>
      <c r="B17" s="10"/>
      <c r="C17" s="17"/>
      <c r="D17" s="10">
        <f t="shared" si="2"/>
        <v>9013</v>
      </c>
      <c r="E17" s="18" t="s">
        <v>34</v>
      </c>
      <c r="F17" s="21" t="s">
        <v>476</v>
      </c>
      <c r="G17" s="20" t="s">
        <v>23</v>
      </c>
      <c r="H17" s="20" t="s">
        <v>23</v>
      </c>
      <c r="I17" s="20" t="s">
        <v>35</v>
      </c>
      <c r="J17" s="10" t="s">
        <v>477</v>
      </c>
      <c r="K17" s="10" t="s">
        <v>68</v>
      </c>
      <c r="L17" s="10" t="s">
        <v>452</v>
      </c>
      <c r="M17" s="18" t="s">
        <v>74</v>
      </c>
      <c r="N17" s="10"/>
      <c r="O17" s="19" t="s">
        <v>478</v>
      </c>
      <c r="P17" s="19"/>
      <c r="Q17" s="29">
        <f t="shared" si="0"/>
        <v>1</v>
      </c>
      <c r="R17" s="30" t="str">
        <f t="shared" si="1"/>
        <v>P35.053</v>
      </c>
    </row>
    <row r="18" spans="1:18">
      <c r="A18" s="10"/>
      <c r="B18" s="10"/>
      <c r="C18" s="17"/>
      <c r="D18" s="10">
        <f t="shared" si="2"/>
        <v>9014</v>
      </c>
      <c r="E18" s="18" t="s">
        <v>34</v>
      </c>
      <c r="F18" s="21" t="s">
        <v>479</v>
      </c>
      <c r="G18" s="20" t="s">
        <v>23</v>
      </c>
      <c r="H18" s="20" t="s">
        <v>23</v>
      </c>
      <c r="I18" s="20" t="s">
        <v>35</v>
      </c>
      <c r="J18" s="10" t="s">
        <v>124</v>
      </c>
      <c r="K18" s="10" t="s">
        <v>68</v>
      </c>
      <c r="L18" s="10" t="s">
        <v>452</v>
      </c>
      <c r="M18" s="18" t="s">
        <v>74</v>
      </c>
      <c r="N18" s="10"/>
      <c r="O18" s="21" t="s">
        <v>480</v>
      </c>
      <c r="P18" s="19"/>
      <c r="Q18" s="29">
        <f t="shared" si="0"/>
        <v>1</v>
      </c>
      <c r="R18" s="30" t="str">
        <f t="shared" si="1"/>
        <v>P35.054</v>
      </c>
    </row>
    <row r="19" spans="1:18">
      <c r="A19" s="10"/>
      <c r="B19" s="10"/>
      <c r="C19" s="17"/>
      <c r="D19" s="10">
        <f t="shared" si="2"/>
        <v>9015</v>
      </c>
      <c r="E19" s="18" t="s">
        <v>34</v>
      </c>
      <c r="F19" s="21" t="s">
        <v>481</v>
      </c>
      <c r="G19" s="20" t="s">
        <v>23</v>
      </c>
      <c r="H19" s="20" t="s">
        <v>23</v>
      </c>
      <c r="I19" s="20" t="s">
        <v>35</v>
      </c>
      <c r="J19" s="10" t="s">
        <v>124</v>
      </c>
      <c r="K19" s="10" t="s">
        <v>68</v>
      </c>
      <c r="L19" s="10" t="s">
        <v>452</v>
      </c>
      <c r="M19" s="18" t="s">
        <v>74</v>
      </c>
      <c r="N19" s="10"/>
      <c r="O19" s="21" t="s">
        <v>482</v>
      </c>
      <c r="P19" s="19"/>
      <c r="Q19" s="29">
        <f t="shared" si="0"/>
        <v>1</v>
      </c>
      <c r="R19" s="30" t="str">
        <f t="shared" si="1"/>
        <v>P35.055</v>
      </c>
    </row>
    <row r="20" spans="1:18">
      <c r="A20" s="10"/>
      <c r="B20" s="10"/>
      <c r="C20" s="17"/>
      <c r="D20" s="10">
        <f t="shared" si="2"/>
        <v>9016</v>
      </c>
      <c r="E20" s="18" t="s">
        <v>34</v>
      </c>
      <c r="F20" s="21" t="s">
        <v>483</v>
      </c>
      <c r="G20" s="20" t="s">
        <v>23</v>
      </c>
      <c r="H20" s="20" t="s">
        <v>23</v>
      </c>
      <c r="I20" s="20" t="s">
        <v>35</v>
      </c>
      <c r="J20" s="10" t="s">
        <v>484</v>
      </c>
      <c r="K20" s="10" t="s">
        <v>68</v>
      </c>
      <c r="L20" s="10" t="s">
        <v>452</v>
      </c>
      <c r="M20" s="18" t="s">
        <v>74</v>
      </c>
      <c r="N20" s="10"/>
      <c r="O20" s="21" t="s">
        <v>485</v>
      </c>
      <c r="P20" s="19"/>
      <c r="Q20" s="29">
        <f t="shared" si="0"/>
        <v>1</v>
      </c>
      <c r="R20" s="30" t="str">
        <f t="shared" si="1"/>
        <v>P35.056</v>
      </c>
    </row>
    <row r="21" spans="1:18">
      <c r="A21" s="10"/>
      <c r="B21" s="10"/>
      <c r="C21" s="17"/>
      <c r="D21" s="10">
        <f t="shared" si="2"/>
        <v>9017</v>
      </c>
      <c r="E21" s="18" t="s">
        <v>34</v>
      </c>
      <c r="F21" s="21" t="s">
        <v>486</v>
      </c>
      <c r="G21" s="20" t="s">
        <v>23</v>
      </c>
      <c r="H21" s="20" t="s">
        <v>23</v>
      </c>
      <c r="I21" s="20" t="s">
        <v>35</v>
      </c>
      <c r="J21" s="10" t="s">
        <v>484</v>
      </c>
      <c r="K21" s="10" t="s">
        <v>68</v>
      </c>
      <c r="L21" s="10" t="s">
        <v>452</v>
      </c>
      <c r="M21" s="18" t="s">
        <v>74</v>
      </c>
      <c r="N21" s="10"/>
      <c r="O21" s="21" t="s">
        <v>487</v>
      </c>
      <c r="P21" s="19"/>
      <c r="Q21" s="29">
        <f t="shared" si="0"/>
        <v>1</v>
      </c>
      <c r="R21" s="30" t="str">
        <f t="shared" si="1"/>
        <v>P35.057</v>
      </c>
    </row>
    <row r="22" spans="1:18">
      <c r="A22" s="10"/>
      <c r="B22" s="10"/>
      <c r="C22" s="17"/>
      <c r="D22" s="10">
        <f t="shared" si="2"/>
        <v>9018</v>
      </c>
      <c r="E22" s="18" t="s">
        <v>34</v>
      </c>
      <c r="F22" s="21" t="s">
        <v>488</v>
      </c>
      <c r="G22" s="20" t="s">
        <v>23</v>
      </c>
      <c r="H22" s="20" t="s">
        <v>23</v>
      </c>
      <c r="I22" s="20" t="s">
        <v>35</v>
      </c>
      <c r="J22" s="10" t="s">
        <v>489</v>
      </c>
      <c r="K22" s="10" t="s">
        <v>68</v>
      </c>
      <c r="L22" s="10" t="s">
        <v>452</v>
      </c>
      <c r="M22" s="18" t="s">
        <v>74</v>
      </c>
      <c r="N22" s="10"/>
      <c r="O22" s="21" t="s">
        <v>490</v>
      </c>
      <c r="P22" s="19"/>
      <c r="Q22" s="29">
        <f t="shared" si="0"/>
        <v>1</v>
      </c>
      <c r="R22" s="30" t="str">
        <f t="shared" si="1"/>
        <v>P35.058</v>
      </c>
    </row>
    <row r="23" spans="1:18">
      <c r="A23" s="10"/>
      <c r="B23" s="10"/>
      <c r="C23" s="17"/>
      <c r="D23" s="10">
        <f t="shared" si="2"/>
        <v>9019</v>
      </c>
      <c r="E23" s="18" t="s">
        <v>34</v>
      </c>
      <c r="F23" s="21" t="s">
        <v>491</v>
      </c>
      <c r="G23" s="20" t="s">
        <v>23</v>
      </c>
      <c r="H23" s="20" t="s">
        <v>23</v>
      </c>
      <c r="I23" s="20" t="s">
        <v>35</v>
      </c>
      <c r="J23" s="10" t="s">
        <v>489</v>
      </c>
      <c r="K23" s="10" t="s">
        <v>68</v>
      </c>
      <c r="L23" s="10" t="s">
        <v>452</v>
      </c>
      <c r="M23" s="18" t="s">
        <v>74</v>
      </c>
      <c r="N23" s="10"/>
      <c r="O23" s="21" t="s">
        <v>492</v>
      </c>
      <c r="P23" s="19"/>
      <c r="Q23" s="29">
        <f t="shared" si="0"/>
        <v>1</v>
      </c>
      <c r="R23" s="30" t="str">
        <f t="shared" si="1"/>
        <v>P35.059</v>
      </c>
    </row>
    <row r="24" spans="1:18">
      <c r="A24" s="10"/>
      <c r="B24" s="10"/>
      <c r="C24" s="17"/>
      <c r="D24" s="10">
        <f t="shared" si="2"/>
        <v>9020</v>
      </c>
      <c r="E24" s="18" t="s">
        <v>34</v>
      </c>
      <c r="F24" s="22" t="s">
        <v>493</v>
      </c>
      <c r="G24" s="20" t="s">
        <v>23</v>
      </c>
      <c r="H24" s="20" t="s">
        <v>23</v>
      </c>
      <c r="I24" s="20" t="s">
        <v>35</v>
      </c>
      <c r="J24" s="10" t="s">
        <v>494</v>
      </c>
      <c r="K24" s="10" t="s">
        <v>68</v>
      </c>
      <c r="L24" s="10" t="s">
        <v>452</v>
      </c>
      <c r="M24" s="18" t="s">
        <v>74</v>
      </c>
      <c r="N24" s="10"/>
      <c r="O24" s="23" t="s">
        <v>495</v>
      </c>
      <c r="P24" s="19"/>
      <c r="Q24" s="29">
        <f t="shared" si="0"/>
        <v>1</v>
      </c>
      <c r="R24" s="30" t="str">
        <f t="shared" si="1"/>
        <v>P35.060</v>
      </c>
    </row>
    <row r="25" spans="1:18">
      <c r="A25" s="10"/>
      <c r="B25" s="10"/>
      <c r="C25" s="17"/>
      <c r="D25" s="10">
        <f t="shared" si="2"/>
        <v>9021</v>
      </c>
      <c r="E25" s="18" t="s">
        <v>34</v>
      </c>
      <c r="F25" s="21" t="s">
        <v>496</v>
      </c>
      <c r="G25" s="20" t="s">
        <v>23</v>
      </c>
      <c r="H25" s="20" t="s">
        <v>23</v>
      </c>
      <c r="I25" s="20" t="s">
        <v>35</v>
      </c>
      <c r="J25" s="10" t="s">
        <v>25</v>
      </c>
      <c r="K25" s="10" t="s">
        <v>68</v>
      </c>
      <c r="L25" s="10" t="s">
        <v>452</v>
      </c>
      <c r="M25" s="18" t="s">
        <v>74</v>
      </c>
      <c r="N25" s="10"/>
      <c r="O25" s="21" t="s">
        <v>497</v>
      </c>
      <c r="P25" s="26"/>
      <c r="Q25" s="29">
        <f t="shared" si="0"/>
        <v>1</v>
      </c>
      <c r="R25" s="30" t="str">
        <f t="shared" si="1"/>
        <v>P35.061</v>
      </c>
    </row>
    <row r="26" ht="79.2" spans="1:18">
      <c r="A26" s="10"/>
      <c r="B26" s="10"/>
      <c r="C26" s="17"/>
      <c r="D26" s="10">
        <f t="shared" si="2"/>
        <v>9022</v>
      </c>
      <c r="E26" s="18" t="s">
        <v>34</v>
      </c>
      <c r="F26" s="19" t="s">
        <v>498</v>
      </c>
      <c r="G26" s="20" t="s">
        <v>23</v>
      </c>
      <c r="H26" s="20" t="s">
        <v>23</v>
      </c>
      <c r="I26" s="20" t="s">
        <v>35</v>
      </c>
      <c r="J26" s="10" t="s">
        <v>25</v>
      </c>
      <c r="K26" s="10" t="s">
        <v>68</v>
      </c>
      <c r="L26" s="10" t="s">
        <v>452</v>
      </c>
      <c r="M26" s="18" t="s">
        <v>74</v>
      </c>
      <c r="N26" s="26"/>
      <c r="O26" s="26" t="s">
        <v>499</v>
      </c>
      <c r="P26" s="24" t="s">
        <v>500</v>
      </c>
      <c r="Q26" s="29">
        <f t="shared" si="0"/>
        <v>1</v>
      </c>
      <c r="R26" s="30" t="str">
        <f t="shared" si="1"/>
        <v>P35.062</v>
      </c>
    </row>
    <row r="27" ht="105.6" spans="1:18">
      <c r="A27" s="10"/>
      <c r="B27" s="10"/>
      <c r="C27" s="17"/>
      <c r="D27" s="10">
        <f t="shared" si="2"/>
        <v>9023</v>
      </c>
      <c r="E27" s="18" t="s">
        <v>34</v>
      </c>
      <c r="F27" s="19" t="s">
        <v>501</v>
      </c>
      <c r="G27" s="20" t="s">
        <v>23</v>
      </c>
      <c r="H27" s="20" t="s">
        <v>23</v>
      </c>
      <c r="I27" s="20" t="s">
        <v>35</v>
      </c>
      <c r="J27" s="10" t="s">
        <v>25</v>
      </c>
      <c r="K27" s="10" t="s">
        <v>68</v>
      </c>
      <c r="L27" s="10" t="s">
        <v>452</v>
      </c>
      <c r="M27" s="18" t="s">
        <v>74</v>
      </c>
      <c r="N27" s="10"/>
      <c r="O27" s="21" t="s">
        <v>502</v>
      </c>
      <c r="P27" s="24" t="s">
        <v>503</v>
      </c>
      <c r="Q27" s="29">
        <f t="shared" si="0"/>
        <v>1</v>
      </c>
      <c r="R27" s="30" t="str">
        <f t="shared" si="1"/>
        <v>P35.063</v>
      </c>
    </row>
    <row r="28" spans="1:18">
      <c r="A28" s="10"/>
      <c r="B28" s="10"/>
      <c r="C28" s="17"/>
      <c r="D28" s="10">
        <f t="shared" si="2"/>
        <v>9024</v>
      </c>
      <c r="E28" s="18" t="s">
        <v>20</v>
      </c>
      <c r="F28" s="19" t="s">
        <v>504</v>
      </c>
      <c r="G28" s="20" t="s">
        <v>505</v>
      </c>
      <c r="H28" s="20" t="s">
        <v>23</v>
      </c>
      <c r="I28" s="20" t="s">
        <v>24</v>
      </c>
      <c r="J28" s="10" t="s">
        <v>25</v>
      </c>
      <c r="K28" s="10" t="s">
        <v>68</v>
      </c>
      <c r="L28" s="10" t="s">
        <v>452</v>
      </c>
      <c r="M28" s="18" t="s">
        <v>74</v>
      </c>
      <c r="N28" s="10"/>
      <c r="O28" s="21" t="s">
        <v>506</v>
      </c>
      <c r="P28" s="19"/>
      <c r="Q28" s="29">
        <f t="shared" si="0"/>
        <v>1</v>
      </c>
      <c r="R28" s="30" t="str">
        <f t="shared" si="1"/>
        <v>P35.064</v>
      </c>
    </row>
    <row r="29" spans="1:18">
      <c r="A29" s="10"/>
      <c r="B29" s="10"/>
      <c r="C29" s="17"/>
      <c r="D29" s="10">
        <f t="shared" si="2"/>
        <v>9026</v>
      </c>
      <c r="E29" s="18" t="s">
        <v>20</v>
      </c>
      <c r="F29" s="19" t="s">
        <v>507</v>
      </c>
      <c r="G29" s="20" t="s">
        <v>23</v>
      </c>
      <c r="H29" s="20" t="s">
        <v>508</v>
      </c>
      <c r="I29" s="20" t="s">
        <v>24</v>
      </c>
      <c r="J29" s="10" t="s">
        <v>25</v>
      </c>
      <c r="K29" s="10" t="s">
        <v>68</v>
      </c>
      <c r="L29" s="10" t="s">
        <v>73</v>
      </c>
      <c r="M29" s="18" t="s">
        <v>74</v>
      </c>
      <c r="N29" s="19"/>
      <c r="O29" s="23" t="s">
        <v>509</v>
      </c>
      <c r="P29" s="19"/>
      <c r="Q29" s="29">
        <f t="shared" si="0"/>
        <v>1</v>
      </c>
      <c r="R29" s="30" t="str">
        <f t="shared" si="1"/>
        <v>P35.066</v>
      </c>
    </row>
    <row r="30" spans="1:18">
      <c r="A30" s="10"/>
      <c r="B30" s="10"/>
      <c r="C30" s="17"/>
      <c r="D30" s="10">
        <f t="shared" si="2"/>
        <v>9028</v>
      </c>
      <c r="E30" s="18" t="s">
        <v>20</v>
      </c>
      <c r="F30" s="19" t="s">
        <v>510</v>
      </c>
      <c r="G30" s="20" t="s">
        <v>23</v>
      </c>
      <c r="H30" s="20" t="s">
        <v>23</v>
      </c>
      <c r="I30" s="20" t="s">
        <v>24</v>
      </c>
      <c r="J30" s="10" t="s">
        <v>25</v>
      </c>
      <c r="K30" s="10" t="s">
        <v>26</v>
      </c>
      <c r="L30" s="10" t="s">
        <v>30</v>
      </c>
      <c r="M30" s="18" t="s">
        <v>28</v>
      </c>
      <c r="N30" s="10"/>
      <c r="O30" s="21" t="s">
        <v>511</v>
      </c>
      <c r="P30" s="26"/>
      <c r="Q30" s="29">
        <f t="shared" si="0"/>
        <v>1</v>
      </c>
      <c r="R30" s="30" t="str">
        <f t="shared" si="1"/>
        <v>P35.068</v>
      </c>
    </row>
    <row r="31" spans="1:18">
      <c r="A31" s="10"/>
      <c r="B31" s="10"/>
      <c r="C31" s="17"/>
      <c r="D31" s="10">
        <f t="shared" si="2"/>
        <v>9030</v>
      </c>
      <c r="E31" s="18" t="s">
        <v>20</v>
      </c>
      <c r="F31" s="19" t="s">
        <v>512</v>
      </c>
      <c r="G31" s="20" t="s">
        <v>23</v>
      </c>
      <c r="H31" s="20" t="s">
        <v>23</v>
      </c>
      <c r="I31" s="20" t="s">
        <v>24</v>
      </c>
      <c r="J31" s="10" t="s">
        <v>25</v>
      </c>
      <c r="K31" s="10" t="s">
        <v>26</v>
      </c>
      <c r="L31" s="10" t="s">
        <v>30</v>
      </c>
      <c r="M31" s="18" t="s">
        <v>28</v>
      </c>
      <c r="N31" s="10"/>
      <c r="O31" s="21" t="s">
        <v>513</v>
      </c>
      <c r="P31" s="26"/>
      <c r="Q31" s="29">
        <f t="shared" si="0"/>
        <v>1</v>
      </c>
      <c r="R31" s="30" t="str">
        <f t="shared" si="1"/>
        <v>P35.070</v>
      </c>
    </row>
    <row r="32" spans="1:18">
      <c r="A32" s="10"/>
      <c r="B32" s="10"/>
      <c r="C32" s="17"/>
      <c r="D32" s="10">
        <f t="shared" si="2"/>
        <v>9032</v>
      </c>
      <c r="E32" s="18" t="s">
        <v>434</v>
      </c>
      <c r="F32" s="19" t="s">
        <v>514</v>
      </c>
      <c r="G32" s="20" t="s">
        <v>23</v>
      </c>
      <c r="H32" s="20" t="s">
        <v>436</v>
      </c>
      <c r="I32" s="20" t="s">
        <v>437</v>
      </c>
      <c r="J32" s="10" t="s">
        <v>25</v>
      </c>
      <c r="K32" s="10" t="s">
        <v>26</v>
      </c>
      <c r="L32" s="10" t="s">
        <v>30</v>
      </c>
      <c r="M32" s="18" t="s">
        <v>28</v>
      </c>
      <c r="N32" s="10"/>
      <c r="O32" s="21" t="s">
        <v>515</v>
      </c>
      <c r="P32" s="26"/>
      <c r="Q32" s="29">
        <f t="shared" si="0"/>
        <v>1</v>
      </c>
      <c r="R32" s="30" t="str">
        <f t="shared" si="1"/>
        <v>P35.072</v>
      </c>
    </row>
    <row r="33" spans="1:18">
      <c r="A33" s="10"/>
      <c r="B33" s="10"/>
      <c r="C33" s="17"/>
      <c r="D33" s="10">
        <f t="shared" si="2"/>
        <v>9034</v>
      </c>
      <c r="E33" s="18" t="s">
        <v>383</v>
      </c>
      <c r="F33" s="19" t="s">
        <v>516</v>
      </c>
      <c r="G33" s="20" t="s">
        <v>23</v>
      </c>
      <c r="H33" s="20" t="s">
        <v>385</v>
      </c>
      <c r="I33" s="20" t="s">
        <v>386</v>
      </c>
      <c r="J33" s="10" t="s">
        <v>25</v>
      </c>
      <c r="K33" s="10" t="s">
        <v>26</v>
      </c>
      <c r="L33" s="10" t="s">
        <v>30</v>
      </c>
      <c r="M33" s="18" t="s">
        <v>28</v>
      </c>
      <c r="N33" s="10"/>
      <c r="O33" s="23" t="s">
        <v>517</v>
      </c>
      <c r="P33" s="21"/>
      <c r="Q33" s="29">
        <f t="shared" si="0"/>
        <v>1</v>
      </c>
      <c r="R33" s="30" t="str">
        <f t="shared" si="1"/>
        <v>P35.074</v>
      </c>
    </row>
    <row r="34" spans="1:18">
      <c r="A34" s="10"/>
      <c r="B34" s="10"/>
      <c r="C34" s="17"/>
      <c r="D34" s="10">
        <f t="shared" si="2"/>
        <v>9038</v>
      </c>
      <c r="E34" s="18" t="s">
        <v>34</v>
      </c>
      <c r="F34" s="19" t="s">
        <v>518</v>
      </c>
      <c r="G34" s="20" t="s">
        <v>23</v>
      </c>
      <c r="H34" s="20" t="s">
        <v>23</v>
      </c>
      <c r="I34" s="20" t="s">
        <v>35</v>
      </c>
      <c r="J34" s="10" t="s">
        <v>25</v>
      </c>
      <c r="K34" s="10" t="s">
        <v>26</v>
      </c>
      <c r="L34" s="10" t="s">
        <v>30</v>
      </c>
      <c r="M34" s="18" t="s">
        <v>28</v>
      </c>
      <c r="N34" s="10"/>
      <c r="O34" s="23" t="s">
        <v>519</v>
      </c>
      <c r="P34" s="21"/>
      <c r="Q34" s="29">
        <f t="shared" si="0"/>
        <v>1</v>
      </c>
      <c r="R34" s="30" t="str">
        <f t="shared" si="1"/>
        <v>P35.078</v>
      </c>
    </row>
    <row r="35" spans="1:18">
      <c r="A35" s="10"/>
      <c r="B35" s="10"/>
      <c r="C35" s="17"/>
      <c r="D35" s="10">
        <f t="shared" si="2"/>
        <v>9039</v>
      </c>
      <c r="E35" s="18" t="s">
        <v>34</v>
      </c>
      <c r="F35" s="19"/>
      <c r="G35" s="20" t="s">
        <v>23</v>
      </c>
      <c r="H35" s="20" t="s">
        <v>23</v>
      </c>
      <c r="I35" s="20" t="s">
        <v>35</v>
      </c>
      <c r="J35" s="10" t="s">
        <v>25</v>
      </c>
      <c r="K35" s="10" t="s">
        <v>26</v>
      </c>
      <c r="L35" s="10" t="s">
        <v>30</v>
      </c>
      <c r="M35" s="18" t="s">
        <v>28</v>
      </c>
      <c r="N35" s="10"/>
      <c r="O35" s="21"/>
      <c r="P35" s="21"/>
      <c r="Q35" s="29">
        <f t="shared" si="0"/>
        <v>1</v>
      </c>
      <c r="R35" s="30" t="str">
        <f t="shared" si="1"/>
        <v>P35.079</v>
      </c>
    </row>
    <row r="36" ht="26.4" spans="1:18">
      <c r="A36" s="10"/>
      <c r="B36" s="10"/>
      <c r="C36" s="17"/>
      <c r="D36" s="10">
        <f t="shared" si="2"/>
        <v>9040</v>
      </c>
      <c r="E36" s="18" t="s">
        <v>34</v>
      </c>
      <c r="F36" s="19" t="s">
        <v>520</v>
      </c>
      <c r="G36" s="20" t="s">
        <v>23</v>
      </c>
      <c r="H36" s="20" t="s">
        <v>23</v>
      </c>
      <c r="I36" s="20" t="s">
        <v>35</v>
      </c>
      <c r="J36" s="10" t="s">
        <v>25</v>
      </c>
      <c r="K36" s="10" t="s">
        <v>68</v>
      </c>
      <c r="L36" s="10" t="s">
        <v>27</v>
      </c>
      <c r="M36" s="18" t="s">
        <v>28</v>
      </c>
      <c r="N36" s="10"/>
      <c r="O36" s="21" t="s">
        <v>521</v>
      </c>
      <c r="P36" s="24" t="s">
        <v>522</v>
      </c>
      <c r="Q36" s="29">
        <f t="shared" si="0"/>
        <v>1</v>
      </c>
      <c r="R36" s="30" t="str">
        <f t="shared" si="1"/>
        <v>P35.080</v>
      </c>
    </row>
    <row r="37" spans="1:18">
      <c r="A37" s="10"/>
      <c r="B37" s="10"/>
      <c r="C37" s="17"/>
      <c r="D37" s="10">
        <f t="shared" si="2"/>
        <v>9041</v>
      </c>
      <c r="E37" s="18" t="s">
        <v>34</v>
      </c>
      <c r="F37" s="19"/>
      <c r="G37" s="20" t="s">
        <v>23</v>
      </c>
      <c r="H37" s="20" t="s">
        <v>23</v>
      </c>
      <c r="I37" s="20" t="s">
        <v>35</v>
      </c>
      <c r="J37" s="10" t="s">
        <v>25</v>
      </c>
      <c r="K37" s="10" t="s">
        <v>26</v>
      </c>
      <c r="L37" s="10" t="s">
        <v>30</v>
      </c>
      <c r="M37" s="18" t="s">
        <v>28</v>
      </c>
      <c r="N37" s="10"/>
      <c r="O37" s="21"/>
      <c r="P37" s="27"/>
      <c r="Q37" s="29">
        <f t="shared" si="0"/>
        <v>1</v>
      </c>
      <c r="R37" s="30" t="str">
        <f t="shared" si="1"/>
        <v>P35.081</v>
      </c>
    </row>
    <row r="38" spans="1:18">
      <c r="A38" s="10"/>
      <c r="B38" s="10"/>
      <c r="C38" s="17"/>
      <c r="D38" s="10">
        <f t="shared" si="2"/>
        <v>9042</v>
      </c>
      <c r="E38" s="18" t="s">
        <v>34</v>
      </c>
      <c r="F38" s="19"/>
      <c r="G38" s="20" t="s">
        <v>23</v>
      </c>
      <c r="H38" s="20" t="s">
        <v>23</v>
      </c>
      <c r="I38" s="20" t="s">
        <v>35</v>
      </c>
      <c r="J38" s="10" t="s">
        <v>25</v>
      </c>
      <c r="K38" s="10" t="s">
        <v>26</v>
      </c>
      <c r="L38" s="10" t="s">
        <v>30</v>
      </c>
      <c r="M38" s="18" t="s">
        <v>28</v>
      </c>
      <c r="N38" s="10"/>
      <c r="O38" s="21"/>
      <c r="P38" s="21"/>
      <c r="Q38" s="29">
        <f t="shared" si="0"/>
        <v>1</v>
      </c>
      <c r="R38" s="30" t="str">
        <f t="shared" si="1"/>
        <v>P35.082</v>
      </c>
    </row>
    <row r="39" spans="1:18">
      <c r="A39" s="10"/>
      <c r="B39" s="10"/>
      <c r="C39" s="17"/>
      <c r="D39" s="10">
        <f t="shared" si="2"/>
        <v>9043</v>
      </c>
      <c r="E39" s="18" t="s">
        <v>34</v>
      </c>
      <c r="F39" s="19" t="s">
        <v>523</v>
      </c>
      <c r="G39" s="20" t="s">
        <v>135</v>
      </c>
      <c r="H39" s="20" t="s">
        <v>23</v>
      </c>
      <c r="I39" s="20" t="s">
        <v>35</v>
      </c>
      <c r="J39" s="10" t="s">
        <v>524</v>
      </c>
      <c r="K39" s="10" t="s">
        <v>26</v>
      </c>
      <c r="L39" s="10" t="s">
        <v>30</v>
      </c>
      <c r="M39" s="18" t="s">
        <v>28</v>
      </c>
      <c r="N39" s="10"/>
      <c r="O39" s="21" t="s">
        <v>525</v>
      </c>
      <c r="P39" s="21"/>
      <c r="Q39" s="29">
        <f t="shared" si="0"/>
        <v>1</v>
      </c>
      <c r="R39" s="30" t="str">
        <f t="shared" si="1"/>
        <v>P35.083</v>
      </c>
    </row>
    <row r="40" spans="1:18">
      <c r="A40" s="10"/>
      <c r="B40" s="10"/>
      <c r="C40" s="17"/>
      <c r="D40" s="10">
        <f t="shared" si="2"/>
        <v>9044</v>
      </c>
      <c r="E40" s="18" t="s">
        <v>34</v>
      </c>
      <c r="F40" s="19" t="s">
        <v>526</v>
      </c>
      <c r="G40" s="20" t="s">
        <v>23</v>
      </c>
      <c r="H40" s="20" t="s">
        <v>23</v>
      </c>
      <c r="I40" s="20" t="s">
        <v>35</v>
      </c>
      <c r="J40" s="10" t="s">
        <v>25</v>
      </c>
      <c r="K40" s="10" t="s">
        <v>26</v>
      </c>
      <c r="L40" s="10" t="s">
        <v>30</v>
      </c>
      <c r="M40" s="18" t="s">
        <v>28</v>
      </c>
      <c r="N40" s="10"/>
      <c r="O40" s="21" t="s">
        <v>527</v>
      </c>
      <c r="P40" s="21"/>
      <c r="Q40" s="29">
        <f t="shared" si="0"/>
        <v>1</v>
      </c>
      <c r="R40" s="30" t="str">
        <f t="shared" si="1"/>
        <v>P35.084</v>
      </c>
    </row>
    <row r="41" spans="1:18">
      <c r="A41" s="10"/>
      <c r="B41" s="10"/>
      <c r="C41" s="17"/>
      <c r="D41" s="10">
        <f t="shared" si="2"/>
        <v>9045</v>
      </c>
      <c r="E41" s="18" t="s">
        <v>34</v>
      </c>
      <c r="F41" s="19" t="s">
        <v>528</v>
      </c>
      <c r="G41" s="20" t="s">
        <v>529</v>
      </c>
      <c r="H41" s="20" t="s">
        <v>23</v>
      </c>
      <c r="I41" s="20" t="s">
        <v>35</v>
      </c>
      <c r="J41" s="10" t="s">
        <v>530</v>
      </c>
      <c r="K41" s="10" t="s">
        <v>26</v>
      </c>
      <c r="L41" s="10" t="s">
        <v>30</v>
      </c>
      <c r="M41" s="18" t="s">
        <v>28</v>
      </c>
      <c r="N41" s="10"/>
      <c r="O41" s="21" t="s">
        <v>531</v>
      </c>
      <c r="P41" s="21"/>
      <c r="Q41" s="29">
        <f t="shared" si="0"/>
        <v>1</v>
      </c>
      <c r="R41" s="30" t="str">
        <f t="shared" si="1"/>
        <v>P35.085</v>
      </c>
    </row>
    <row r="42" spans="1:18">
      <c r="A42" s="10"/>
      <c r="B42" s="10"/>
      <c r="C42" s="17"/>
      <c r="D42" s="10">
        <f t="shared" si="2"/>
        <v>9046</v>
      </c>
      <c r="E42" s="18" t="s">
        <v>34</v>
      </c>
      <c r="F42" s="19"/>
      <c r="G42" s="20" t="s">
        <v>23</v>
      </c>
      <c r="H42" s="20" t="s">
        <v>23</v>
      </c>
      <c r="I42" s="20" t="s">
        <v>35</v>
      </c>
      <c r="J42" s="10" t="s">
        <v>25</v>
      </c>
      <c r="K42" s="10" t="s">
        <v>26</v>
      </c>
      <c r="L42" s="10" t="s">
        <v>30</v>
      </c>
      <c r="M42" s="18" t="s">
        <v>28</v>
      </c>
      <c r="N42" s="10"/>
      <c r="O42" s="21"/>
      <c r="P42" s="21"/>
      <c r="Q42" s="29">
        <f t="shared" si="0"/>
        <v>1</v>
      </c>
      <c r="R42" s="30" t="str">
        <f t="shared" si="1"/>
        <v>P35.086</v>
      </c>
    </row>
    <row r="43" spans="1:18">
      <c r="A43" s="10"/>
      <c r="B43" s="10"/>
      <c r="C43" s="17"/>
      <c r="D43" s="10">
        <f t="shared" si="2"/>
        <v>9047</v>
      </c>
      <c r="E43" s="18" t="s">
        <v>34</v>
      </c>
      <c r="F43" s="19"/>
      <c r="G43" s="20" t="s">
        <v>23</v>
      </c>
      <c r="H43" s="20" t="s">
        <v>23</v>
      </c>
      <c r="I43" s="20" t="s">
        <v>35</v>
      </c>
      <c r="J43" s="10" t="s">
        <v>25</v>
      </c>
      <c r="K43" s="10" t="s">
        <v>26</v>
      </c>
      <c r="L43" s="10" t="s">
        <v>30</v>
      </c>
      <c r="M43" s="18" t="s">
        <v>28</v>
      </c>
      <c r="N43" s="10"/>
      <c r="O43" s="21"/>
      <c r="P43" s="21"/>
      <c r="Q43" s="29">
        <f t="shared" si="0"/>
        <v>1</v>
      </c>
      <c r="R43" s="30" t="str">
        <f t="shared" si="1"/>
        <v>P35.087</v>
      </c>
    </row>
    <row r="44" spans="1:18">
      <c r="A44" s="10"/>
      <c r="B44" s="10"/>
      <c r="C44" s="17"/>
      <c r="D44" s="10">
        <f t="shared" si="2"/>
        <v>9048</v>
      </c>
      <c r="E44" s="18" t="s">
        <v>34</v>
      </c>
      <c r="F44" s="19"/>
      <c r="G44" s="20" t="s">
        <v>23</v>
      </c>
      <c r="H44" s="20" t="s">
        <v>23</v>
      </c>
      <c r="I44" s="20" t="s">
        <v>35</v>
      </c>
      <c r="J44" s="10" t="s">
        <v>25</v>
      </c>
      <c r="K44" s="10" t="s">
        <v>26</v>
      </c>
      <c r="L44" s="10" t="s">
        <v>30</v>
      </c>
      <c r="M44" s="18" t="s">
        <v>28</v>
      </c>
      <c r="N44" s="10"/>
      <c r="O44" s="21"/>
      <c r="P44" s="21"/>
      <c r="Q44" s="29">
        <f t="shared" si="0"/>
        <v>1</v>
      </c>
      <c r="R44" s="30" t="str">
        <f t="shared" si="1"/>
        <v>P35.088</v>
      </c>
    </row>
    <row r="45" spans="1:18">
      <c r="A45" s="10"/>
      <c r="B45" s="10"/>
      <c r="C45" s="17"/>
      <c r="D45" s="10">
        <f t="shared" si="2"/>
        <v>9049</v>
      </c>
      <c r="E45" s="18" t="s">
        <v>34</v>
      </c>
      <c r="F45" s="21" t="s">
        <v>532</v>
      </c>
      <c r="G45" s="20" t="s">
        <v>533</v>
      </c>
      <c r="H45" s="20" t="s">
        <v>23</v>
      </c>
      <c r="I45" s="20" t="s">
        <v>35</v>
      </c>
      <c r="J45" s="10" t="s">
        <v>25</v>
      </c>
      <c r="K45" s="10" t="s">
        <v>62</v>
      </c>
      <c r="L45" s="10" t="s">
        <v>73</v>
      </c>
      <c r="M45" s="18" t="s">
        <v>74</v>
      </c>
      <c r="N45" s="10"/>
      <c r="O45" s="21" t="s">
        <v>534</v>
      </c>
      <c r="P45" s="21"/>
      <c r="Q45" s="29">
        <f t="shared" si="0"/>
        <v>1</v>
      </c>
      <c r="R45" s="30" t="str">
        <f t="shared" si="1"/>
        <v>P35.089</v>
      </c>
    </row>
    <row r="46" spans="1:18">
      <c r="A46" s="10"/>
      <c r="B46" s="10"/>
      <c r="C46" s="17"/>
      <c r="D46" s="10">
        <f t="shared" si="2"/>
        <v>9050</v>
      </c>
      <c r="E46" s="18" t="s">
        <v>34</v>
      </c>
      <c r="F46" s="21" t="s">
        <v>535</v>
      </c>
      <c r="G46" s="20" t="s">
        <v>536</v>
      </c>
      <c r="H46" s="20" t="s">
        <v>23</v>
      </c>
      <c r="I46" s="20" t="s">
        <v>35</v>
      </c>
      <c r="J46" s="10" t="s">
        <v>25</v>
      </c>
      <c r="K46" s="10" t="s">
        <v>62</v>
      </c>
      <c r="L46" s="10" t="s">
        <v>73</v>
      </c>
      <c r="M46" s="18" t="s">
        <v>74</v>
      </c>
      <c r="N46" s="10"/>
      <c r="O46" s="21" t="s">
        <v>537</v>
      </c>
      <c r="P46" s="21"/>
      <c r="Q46" s="29">
        <f t="shared" si="0"/>
        <v>1</v>
      </c>
      <c r="R46" s="30" t="str">
        <f t="shared" si="1"/>
        <v>P35.090</v>
      </c>
    </row>
    <row r="47" spans="1:18">
      <c r="A47" s="10"/>
      <c r="B47" s="10"/>
      <c r="C47" s="17"/>
      <c r="D47" s="10">
        <f t="shared" si="2"/>
        <v>9051</v>
      </c>
      <c r="E47" s="18" t="s">
        <v>34</v>
      </c>
      <c r="F47" s="21" t="s">
        <v>538</v>
      </c>
      <c r="G47" s="20" t="s">
        <v>143</v>
      </c>
      <c r="H47" s="20" t="s">
        <v>23</v>
      </c>
      <c r="I47" s="20" t="s">
        <v>35</v>
      </c>
      <c r="J47" s="10" t="s">
        <v>25</v>
      </c>
      <c r="K47" s="10" t="s">
        <v>62</v>
      </c>
      <c r="L47" s="10" t="s">
        <v>73</v>
      </c>
      <c r="M47" s="18" t="s">
        <v>74</v>
      </c>
      <c r="N47" s="10"/>
      <c r="O47" s="21" t="s">
        <v>539</v>
      </c>
      <c r="P47" s="21"/>
      <c r="Q47" s="29">
        <f t="shared" si="0"/>
        <v>1</v>
      </c>
      <c r="R47" s="30" t="str">
        <f t="shared" si="1"/>
        <v>P35.091</v>
      </c>
    </row>
    <row r="48" spans="1:18">
      <c r="A48" s="10"/>
      <c r="B48" s="10"/>
      <c r="C48" s="17"/>
      <c r="D48" s="10">
        <f t="shared" si="2"/>
        <v>9052</v>
      </c>
      <c r="E48" s="18" t="s">
        <v>34</v>
      </c>
      <c r="F48" s="21" t="s">
        <v>540</v>
      </c>
      <c r="G48" s="20" t="s">
        <v>529</v>
      </c>
      <c r="H48" s="20" t="s">
        <v>23</v>
      </c>
      <c r="I48" s="20" t="s">
        <v>35</v>
      </c>
      <c r="J48" s="10" t="s">
        <v>25</v>
      </c>
      <c r="K48" s="10" t="s">
        <v>62</v>
      </c>
      <c r="L48" s="10" t="s">
        <v>73</v>
      </c>
      <c r="M48" s="18" t="s">
        <v>74</v>
      </c>
      <c r="N48" s="10"/>
      <c r="O48" s="21" t="s">
        <v>541</v>
      </c>
      <c r="P48" s="21"/>
      <c r="Q48" s="29">
        <f t="shared" si="0"/>
        <v>1</v>
      </c>
      <c r="R48" s="30" t="str">
        <f t="shared" si="1"/>
        <v>P35.092</v>
      </c>
    </row>
    <row r="49" spans="1:18">
      <c r="A49" s="10"/>
      <c r="B49" s="10"/>
      <c r="C49" s="17"/>
      <c r="D49" s="10">
        <f t="shared" si="2"/>
        <v>9053</v>
      </c>
      <c r="E49" s="18" t="s">
        <v>34</v>
      </c>
      <c r="F49" s="21" t="s">
        <v>542</v>
      </c>
      <c r="G49" s="20" t="s">
        <v>543</v>
      </c>
      <c r="H49" s="20" t="s">
        <v>23</v>
      </c>
      <c r="I49" s="20" t="s">
        <v>35</v>
      </c>
      <c r="J49" s="10" t="s">
        <v>25</v>
      </c>
      <c r="K49" s="10" t="s">
        <v>62</v>
      </c>
      <c r="L49" s="10" t="s">
        <v>73</v>
      </c>
      <c r="M49" s="18" t="s">
        <v>74</v>
      </c>
      <c r="N49" s="10"/>
      <c r="O49" s="21" t="s">
        <v>544</v>
      </c>
      <c r="P49" s="21"/>
      <c r="Q49" s="29">
        <f t="shared" si="0"/>
        <v>1</v>
      </c>
      <c r="R49" s="30" t="str">
        <f t="shared" si="1"/>
        <v>P35.093</v>
      </c>
    </row>
    <row r="50" spans="1:18">
      <c r="A50" s="10"/>
      <c r="B50" s="10"/>
      <c r="C50" s="17"/>
      <c r="D50" s="10">
        <f t="shared" si="2"/>
        <v>9054</v>
      </c>
      <c r="E50" s="18" t="s">
        <v>34</v>
      </c>
      <c r="F50" s="21" t="s">
        <v>545</v>
      </c>
      <c r="G50" s="20" t="s">
        <v>451</v>
      </c>
      <c r="H50" s="20" t="s">
        <v>23</v>
      </c>
      <c r="I50" s="20" t="s">
        <v>35</v>
      </c>
      <c r="J50" s="10" t="s">
        <v>25</v>
      </c>
      <c r="K50" s="10" t="s">
        <v>62</v>
      </c>
      <c r="L50" s="10" t="s">
        <v>73</v>
      </c>
      <c r="M50" s="18" t="s">
        <v>74</v>
      </c>
      <c r="N50" s="10"/>
      <c r="O50" s="21" t="s">
        <v>546</v>
      </c>
      <c r="P50" s="21"/>
      <c r="Q50" s="29">
        <f t="shared" si="0"/>
        <v>1</v>
      </c>
      <c r="R50" s="30" t="str">
        <f t="shared" si="1"/>
        <v>P35.094</v>
      </c>
    </row>
    <row r="51" spans="1:18">
      <c r="A51" s="10"/>
      <c r="B51" s="10"/>
      <c r="C51" s="17"/>
      <c r="D51" s="10">
        <f t="shared" si="2"/>
        <v>9055</v>
      </c>
      <c r="E51" s="18" t="s">
        <v>34</v>
      </c>
      <c r="F51" s="21" t="s">
        <v>547</v>
      </c>
      <c r="G51" s="20" t="s">
        <v>543</v>
      </c>
      <c r="H51" s="20" t="s">
        <v>23</v>
      </c>
      <c r="I51" s="20" t="s">
        <v>35</v>
      </c>
      <c r="J51" s="10" t="s">
        <v>25</v>
      </c>
      <c r="K51" s="10" t="s">
        <v>62</v>
      </c>
      <c r="L51" s="10" t="s">
        <v>73</v>
      </c>
      <c r="M51" s="18" t="s">
        <v>74</v>
      </c>
      <c r="N51" s="21"/>
      <c r="O51" s="21" t="s">
        <v>548</v>
      </c>
      <c r="P51" s="21"/>
      <c r="Q51" s="29">
        <f t="shared" si="0"/>
        <v>1</v>
      </c>
      <c r="R51" s="30" t="str">
        <f t="shared" si="1"/>
        <v>P35.095</v>
      </c>
    </row>
    <row r="52" spans="1:18">
      <c r="A52" s="10"/>
      <c r="B52" s="10"/>
      <c r="C52" s="17"/>
      <c r="D52" s="10">
        <f t="shared" si="2"/>
        <v>9056</v>
      </c>
      <c r="E52" s="18" t="s">
        <v>34</v>
      </c>
      <c r="F52" s="21" t="s">
        <v>549</v>
      </c>
      <c r="G52" s="20" t="s">
        <v>451</v>
      </c>
      <c r="H52" s="20" t="s">
        <v>23</v>
      </c>
      <c r="I52" s="20" t="s">
        <v>35</v>
      </c>
      <c r="J52" s="10" t="s">
        <v>25</v>
      </c>
      <c r="K52" s="10" t="s">
        <v>62</v>
      </c>
      <c r="L52" s="10" t="s">
        <v>73</v>
      </c>
      <c r="M52" s="18" t="s">
        <v>74</v>
      </c>
      <c r="N52" s="21"/>
      <c r="O52" s="21" t="s">
        <v>550</v>
      </c>
      <c r="P52" s="21"/>
      <c r="Q52" s="29">
        <f t="shared" si="0"/>
        <v>1</v>
      </c>
      <c r="R52" s="30" t="str">
        <f t="shared" si="1"/>
        <v>P35.096</v>
      </c>
    </row>
    <row r="53" spans="1:18">
      <c r="A53" s="10"/>
      <c r="B53" s="10"/>
      <c r="C53" s="17"/>
      <c r="D53" s="10">
        <f t="shared" si="2"/>
        <v>9057</v>
      </c>
      <c r="E53" s="18" t="s">
        <v>34</v>
      </c>
      <c r="F53" s="19"/>
      <c r="G53" s="20" t="s">
        <v>23</v>
      </c>
      <c r="H53" s="20" t="s">
        <v>23</v>
      </c>
      <c r="I53" s="20" t="s">
        <v>35</v>
      </c>
      <c r="J53" s="10" t="s">
        <v>25</v>
      </c>
      <c r="K53" s="10" t="s">
        <v>26</v>
      </c>
      <c r="L53" s="10" t="s">
        <v>30</v>
      </c>
      <c r="M53" s="18" t="s">
        <v>28</v>
      </c>
      <c r="N53" s="21"/>
      <c r="O53" s="21"/>
      <c r="P53" s="21"/>
      <c r="Q53" s="29">
        <f t="shared" si="0"/>
        <v>1</v>
      </c>
      <c r="R53" s="30" t="str">
        <f t="shared" si="1"/>
        <v>P35.097</v>
      </c>
    </row>
    <row r="54" spans="1:18">
      <c r="A54" s="10"/>
      <c r="B54" s="10"/>
      <c r="C54" s="17"/>
      <c r="D54" s="10">
        <f t="shared" si="2"/>
        <v>9058</v>
      </c>
      <c r="E54" s="18" t="s">
        <v>34</v>
      </c>
      <c r="F54" s="19" t="s">
        <v>551</v>
      </c>
      <c r="G54" s="20" t="s">
        <v>23</v>
      </c>
      <c r="H54" s="20" t="s">
        <v>23</v>
      </c>
      <c r="I54" s="20" t="s">
        <v>35</v>
      </c>
      <c r="J54" s="10" t="s">
        <v>470</v>
      </c>
      <c r="K54" s="10" t="s">
        <v>62</v>
      </c>
      <c r="L54" s="10" t="s">
        <v>27</v>
      </c>
      <c r="M54" s="18" t="s">
        <v>28</v>
      </c>
      <c r="N54" s="10"/>
      <c r="O54" s="21" t="s">
        <v>552</v>
      </c>
      <c r="P54" s="21"/>
      <c r="Q54" s="29">
        <f t="shared" si="0"/>
        <v>1</v>
      </c>
      <c r="R54" s="30" t="str">
        <f t="shared" si="1"/>
        <v>P35.098</v>
      </c>
    </row>
    <row r="55" spans="1:18">
      <c r="A55" s="10"/>
      <c r="B55" s="10"/>
      <c r="C55" s="17"/>
      <c r="D55" s="10">
        <f t="shared" si="2"/>
        <v>9059</v>
      </c>
      <c r="E55" s="18" t="s">
        <v>34</v>
      </c>
      <c r="F55" s="19" t="s">
        <v>553</v>
      </c>
      <c r="G55" s="20" t="s">
        <v>451</v>
      </c>
      <c r="H55" s="20" t="s">
        <v>23</v>
      </c>
      <c r="I55" s="20" t="s">
        <v>35</v>
      </c>
      <c r="J55" s="10" t="s">
        <v>470</v>
      </c>
      <c r="K55" s="10" t="s">
        <v>62</v>
      </c>
      <c r="L55" s="10" t="s">
        <v>27</v>
      </c>
      <c r="M55" s="18" t="s">
        <v>28</v>
      </c>
      <c r="N55" s="10"/>
      <c r="O55" s="21" t="s">
        <v>554</v>
      </c>
      <c r="P55" s="21"/>
      <c r="Q55" s="29">
        <f t="shared" si="0"/>
        <v>1</v>
      </c>
      <c r="R55" s="30" t="str">
        <f t="shared" si="1"/>
        <v>P35.099</v>
      </c>
    </row>
    <row r="56" spans="1:18">
      <c r="A56" s="10"/>
      <c r="B56" s="10"/>
      <c r="C56" s="17"/>
      <c r="D56" s="10">
        <f t="shared" si="2"/>
        <v>9060</v>
      </c>
      <c r="E56" s="18" t="s">
        <v>34</v>
      </c>
      <c r="F56" s="19" t="s">
        <v>555</v>
      </c>
      <c r="G56" s="20" t="s">
        <v>198</v>
      </c>
      <c r="H56" s="20" t="s">
        <v>23</v>
      </c>
      <c r="I56" s="20" t="s">
        <v>35</v>
      </c>
      <c r="J56" s="10" t="s">
        <v>470</v>
      </c>
      <c r="K56" s="10" t="s">
        <v>62</v>
      </c>
      <c r="L56" s="10" t="s">
        <v>27</v>
      </c>
      <c r="M56" s="18" t="s">
        <v>28</v>
      </c>
      <c r="N56" s="10"/>
      <c r="O56" s="21" t="s">
        <v>556</v>
      </c>
      <c r="P56" s="21"/>
      <c r="Q56" s="29">
        <f t="shared" si="0"/>
        <v>1</v>
      </c>
      <c r="R56" s="30" t="str">
        <f t="shared" si="1"/>
        <v>P35.100</v>
      </c>
    </row>
    <row r="57" spans="1:18">
      <c r="A57" s="10"/>
      <c r="B57" s="10"/>
      <c r="C57" s="17"/>
      <c r="D57" s="10">
        <f t="shared" si="2"/>
        <v>9061</v>
      </c>
      <c r="E57" s="18" t="s">
        <v>34</v>
      </c>
      <c r="F57" s="19" t="s">
        <v>557</v>
      </c>
      <c r="G57" s="20" t="s">
        <v>198</v>
      </c>
      <c r="H57" s="20" t="s">
        <v>23</v>
      </c>
      <c r="I57" s="20" t="s">
        <v>35</v>
      </c>
      <c r="J57" s="10" t="s">
        <v>470</v>
      </c>
      <c r="K57" s="10" t="s">
        <v>62</v>
      </c>
      <c r="L57" s="10" t="s">
        <v>27</v>
      </c>
      <c r="M57" s="18" t="s">
        <v>28</v>
      </c>
      <c r="N57" s="10"/>
      <c r="O57" s="21" t="s">
        <v>558</v>
      </c>
      <c r="P57" s="21"/>
      <c r="Q57" s="29">
        <f t="shared" si="0"/>
        <v>1</v>
      </c>
      <c r="R57" s="30" t="str">
        <f t="shared" si="1"/>
        <v>P35.101</v>
      </c>
    </row>
    <row r="58" spans="1:18">
      <c r="A58" s="10"/>
      <c r="B58" s="10"/>
      <c r="C58" s="17"/>
      <c r="D58" s="10">
        <f t="shared" si="2"/>
        <v>9062</v>
      </c>
      <c r="E58" s="18" t="s">
        <v>34</v>
      </c>
      <c r="F58" s="19" t="s">
        <v>559</v>
      </c>
      <c r="G58" s="20" t="s">
        <v>198</v>
      </c>
      <c r="H58" s="20" t="s">
        <v>23</v>
      </c>
      <c r="I58" s="20" t="s">
        <v>35</v>
      </c>
      <c r="J58" s="10" t="s">
        <v>470</v>
      </c>
      <c r="K58" s="10" t="s">
        <v>62</v>
      </c>
      <c r="L58" s="10" t="s">
        <v>27</v>
      </c>
      <c r="M58" s="18" t="s">
        <v>28</v>
      </c>
      <c r="N58" s="10"/>
      <c r="O58" s="21" t="s">
        <v>560</v>
      </c>
      <c r="P58" s="21"/>
      <c r="Q58" s="29">
        <f t="shared" si="0"/>
        <v>1</v>
      </c>
      <c r="R58" s="30" t="str">
        <f t="shared" si="1"/>
        <v>P35.102</v>
      </c>
    </row>
    <row r="59" spans="1:18">
      <c r="A59" s="10"/>
      <c r="B59" s="10"/>
      <c r="C59" s="17"/>
      <c r="D59" s="10">
        <f t="shared" si="2"/>
        <v>9063</v>
      </c>
      <c r="E59" s="18" t="s">
        <v>34</v>
      </c>
      <c r="F59" s="19" t="s">
        <v>561</v>
      </c>
      <c r="G59" s="20" t="s">
        <v>198</v>
      </c>
      <c r="H59" s="20" t="s">
        <v>23</v>
      </c>
      <c r="I59" s="20" t="s">
        <v>35</v>
      </c>
      <c r="J59" s="10" t="s">
        <v>470</v>
      </c>
      <c r="K59" s="10" t="s">
        <v>62</v>
      </c>
      <c r="L59" s="10" t="s">
        <v>27</v>
      </c>
      <c r="M59" s="18" t="s">
        <v>28</v>
      </c>
      <c r="N59" s="10"/>
      <c r="O59" s="21" t="s">
        <v>562</v>
      </c>
      <c r="P59" s="21"/>
      <c r="Q59" s="29">
        <f t="shared" si="0"/>
        <v>1</v>
      </c>
      <c r="R59" s="30" t="str">
        <f t="shared" si="1"/>
        <v>P35.103</v>
      </c>
    </row>
    <row r="60" spans="1:18">
      <c r="A60" s="10"/>
      <c r="B60" s="10"/>
      <c r="C60" s="17"/>
      <c r="D60" s="10">
        <f t="shared" si="2"/>
        <v>9064</v>
      </c>
      <c r="E60" s="18" t="s">
        <v>34</v>
      </c>
      <c r="F60" s="19"/>
      <c r="G60" s="20" t="s">
        <v>23</v>
      </c>
      <c r="H60" s="20" t="s">
        <v>23</v>
      </c>
      <c r="I60" s="20" t="s">
        <v>35</v>
      </c>
      <c r="J60" s="10" t="s">
        <v>25</v>
      </c>
      <c r="K60" s="10" t="s">
        <v>26</v>
      </c>
      <c r="L60" s="10" t="s">
        <v>30</v>
      </c>
      <c r="M60" s="18" t="s">
        <v>28</v>
      </c>
      <c r="N60" s="21"/>
      <c r="O60" s="21"/>
      <c r="P60" s="21"/>
      <c r="Q60" s="29">
        <f t="shared" si="0"/>
        <v>1</v>
      </c>
      <c r="R60" s="30" t="str">
        <f t="shared" si="1"/>
        <v>P35.104</v>
      </c>
    </row>
    <row r="61" spans="1:18">
      <c r="A61" s="10"/>
      <c r="B61" s="10"/>
      <c r="C61" s="17"/>
      <c r="D61" s="10">
        <f t="shared" si="2"/>
        <v>9065</v>
      </c>
      <c r="E61" s="18" t="s">
        <v>34</v>
      </c>
      <c r="F61" s="19" t="s">
        <v>563</v>
      </c>
      <c r="G61" s="20" t="s">
        <v>23</v>
      </c>
      <c r="H61" s="20" t="s">
        <v>23</v>
      </c>
      <c r="I61" s="20" t="s">
        <v>564</v>
      </c>
      <c r="J61" s="10" t="s">
        <v>25</v>
      </c>
      <c r="K61" s="10" t="s">
        <v>62</v>
      </c>
      <c r="L61" s="10" t="s">
        <v>27</v>
      </c>
      <c r="M61" s="18" t="s">
        <v>74</v>
      </c>
      <c r="N61" s="10"/>
      <c r="O61" s="21" t="s">
        <v>565</v>
      </c>
      <c r="P61" s="21"/>
      <c r="Q61" s="29">
        <f t="shared" si="0"/>
        <v>1</v>
      </c>
      <c r="R61" s="30" t="str">
        <f t="shared" si="1"/>
        <v>P35.105</v>
      </c>
    </row>
    <row r="62" spans="1:18">
      <c r="A62" s="10"/>
      <c r="B62" s="10"/>
      <c r="C62" s="17"/>
      <c r="D62" s="10">
        <f t="shared" si="2"/>
        <v>9066</v>
      </c>
      <c r="E62" s="18" t="s">
        <v>34</v>
      </c>
      <c r="F62" s="19" t="s">
        <v>566</v>
      </c>
      <c r="G62" s="20" t="s">
        <v>567</v>
      </c>
      <c r="H62" s="20" t="s">
        <v>171</v>
      </c>
      <c r="I62" s="20" t="s">
        <v>35</v>
      </c>
      <c r="J62" s="10" t="s">
        <v>25</v>
      </c>
      <c r="K62" s="10" t="s">
        <v>62</v>
      </c>
      <c r="L62" s="10" t="s">
        <v>27</v>
      </c>
      <c r="M62" s="18" t="s">
        <v>74</v>
      </c>
      <c r="N62" s="10"/>
      <c r="O62" s="21" t="s">
        <v>568</v>
      </c>
      <c r="P62" s="21" t="s">
        <v>569</v>
      </c>
      <c r="Q62" s="29">
        <f t="shared" si="0"/>
        <v>1</v>
      </c>
      <c r="R62" s="30" t="str">
        <f t="shared" si="1"/>
        <v>P35.106</v>
      </c>
    </row>
    <row r="63" spans="1:18">
      <c r="A63" s="10"/>
      <c r="B63" s="10"/>
      <c r="C63" s="17"/>
      <c r="D63" s="10">
        <f t="shared" si="2"/>
        <v>9067</v>
      </c>
      <c r="E63" s="18" t="s">
        <v>34</v>
      </c>
      <c r="F63" s="19" t="s">
        <v>570</v>
      </c>
      <c r="G63" s="20" t="s">
        <v>88</v>
      </c>
      <c r="H63" s="20" t="s">
        <v>39</v>
      </c>
      <c r="I63" s="20" t="s">
        <v>571</v>
      </c>
      <c r="J63" s="10" t="s">
        <v>89</v>
      </c>
      <c r="K63" s="10" t="s">
        <v>62</v>
      </c>
      <c r="L63" s="10" t="s">
        <v>27</v>
      </c>
      <c r="M63" s="18" t="s">
        <v>28</v>
      </c>
      <c r="N63" s="10"/>
      <c r="O63" s="21" t="s">
        <v>572</v>
      </c>
      <c r="P63" s="21"/>
      <c r="Q63" s="29">
        <f t="shared" si="0"/>
        <v>1</v>
      </c>
      <c r="R63" s="30" t="str">
        <f t="shared" si="1"/>
        <v>P35.107</v>
      </c>
    </row>
    <row r="64" spans="1:18">
      <c r="A64" s="10"/>
      <c r="B64" s="10"/>
      <c r="C64" s="17"/>
      <c r="D64" s="10">
        <f t="shared" si="2"/>
        <v>9068</v>
      </c>
      <c r="E64" s="18" t="s">
        <v>91</v>
      </c>
      <c r="F64" s="19" t="s">
        <v>573</v>
      </c>
      <c r="G64" s="20" t="s">
        <v>23</v>
      </c>
      <c r="H64" s="20" t="s">
        <v>93</v>
      </c>
      <c r="I64" s="20" t="s">
        <v>94</v>
      </c>
      <c r="J64" s="10" t="s">
        <v>365</v>
      </c>
      <c r="K64" s="10" t="s">
        <v>62</v>
      </c>
      <c r="L64" s="10" t="s">
        <v>27</v>
      </c>
      <c r="M64" s="18" t="s">
        <v>28</v>
      </c>
      <c r="N64" s="10"/>
      <c r="O64" s="21" t="s">
        <v>574</v>
      </c>
      <c r="P64" s="21"/>
      <c r="Q64" s="29">
        <f t="shared" si="0"/>
        <v>1</v>
      </c>
      <c r="R64" s="30" t="str">
        <f t="shared" si="1"/>
        <v>P35.108</v>
      </c>
    </row>
    <row r="65" spans="1:18">
      <c r="A65" s="10"/>
      <c r="B65" s="10"/>
      <c r="C65" s="17"/>
      <c r="D65" s="10">
        <f t="shared" si="2"/>
        <v>9069</v>
      </c>
      <c r="E65" s="18" t="s">
        <v>91</v>
      </c>
      <c r="F65" s="19" t="s">
        <v>575</v>
      </c>
      <c r="G65" s="20" t="s">
        <v>23</v>
      </c>
      <c r="H65" s="20" t="s">
        <v>93</v>
      </c>
      <c r="I65" s="20" t="s">
        <v>94</v>
      </c>
      <c r="J65" s="10" t="s">
        <v>365</v>
      </c>
      <c r="K65" s="10" t="s">
        <v>62</v>
      </c>
      <c r="L65" s="10" t="s">
        <v>27</v>
      </c>
      <c r="M65" s="18" t="s">
        <v>28</v>
      </c>
      <c r="N65" s="10"/>
      <c r="O65" s="21" t="s">
        <v>576</v>
      </c>
      <c r="P65" s="21"/>
      <c r="Q65" s="29">
        <f t="shared" si="0"/>
        <v>1</v>
      </c>
      <c r="R65" s="30" t="str">
        <f t="shared" si="1"/>
        <v>P35.109</v>
      </c>
    </row>
    <row r="66" spans="1:18">
      <c r="A66" s="10"/>
      <c r="B66" s="10"/>
      <c r="C66" s="17"/>
      <c r="D66" s="10">
        <f t="shared" si="2"/>
        <v>9070</v>
      </c>
      <c r="E66" s="18" t="s">
        <v>91</v>
      </c>
      <c r="F66" s="19" t="s">
        <v>577</v>
      </c>
      <c r="G66" s="20" t="s">
        <v>23</v>
      </c>
      <c r="H66" s="20" t="s">
        <v>93</v>
      </c>
      <c r="I66" s="20" t="s">
        <v>94</v>
      </c>
      <c r="J66" s="10" t="s">
        <v>365</v>
      </c>
      <c r="K66" s="10" t="s">
        <v>62</v>
      </c>
      <c r="L66" s="10" t="s">
        <v>27</v>
      </c>
      <c r="M66" s="18" t="s">
        <v>28</v>
      </c>
      <c r="N66" s="10"/>
      <c r="O66" s="21" t="s">
        <v>578</v>
      </c>
      <c r="P66" s="21"/>
      <c r="Q66" s="29">
        <f t="shared" si="0"/>
        <v>1</v>
      </c>
      <c r="R66" s="30" t="str">
        <f t="shared" si="1"/>
        <v>P35.110</v>
      </c>
    </row>
    <row r="67" spans="1:18">
      <c r="A67" s="10"/>
      <c r="B67" s="10"/>
      <c r="C67" s="17"/>
      <c r="D67" s="10">
        <f t="shared" si="2"/>
        <v>9071</v>
      </c>
      <c r="E67" s="18" t="s">
        <v>34</v>
      </c>
      <c r="F67" s="19"/>
      <c r="G67" s="20" t="s">
        <v>23</v>
      </c>
      <c r="H67" s="20" t="s">
        <v>23</v>
      </c>
      <c r="I67" s="20" t="s">
        <v>35</v>
      </c>
      <c r="J67" s="10" t="s">
        <v>25</v>
      </c>
      <c r="K67" s="10" t="s">
        <v>26</v>
      </c>
      <c r="L67" s="10" t="s">
        <v>30</v>
      </c>
      <c r="M67" s="18" t="s">
        <v>28</v>
      </c>
      <c r="N67" s="21"/>
      <c r="O67" s="21"/>
      <c r="P67" s="21"/>
      <c r="Q67" s="29">
        <f t="shared" si="0"/>
        <v>1</v>
      </c>
      <c r="R67" s="30" t="str">
        <f t="shared" si="1"/>
        <v>P35.111</v>
      </c>
    </row>
    <row r="68" spans="1:18">
      <c r="A68" s="10"/>
      <c r="B68" s="10"/>
      <c r="C68" s="17"/>
      <c r="D68" s="10">
        <f t="shared" si="2"/>
        <v>9072</v>
      </c>
      <c r="E68" s="18" t="s">
        <v>34</v>
      </c>
      <c r="F68" s="19" t="s">
        <v>579</v>
      </c>
      <c r="G68" s="20" t="s">
        <v>182</v>
      </c>
      <c r="H68" s="20" t="s">
        <v>23</v>
      </c>
      <c r="I68" s="20" t="s">
        <v>88</v>
      </c>
      <c r="J68" s="10" t="s">
        <v>580</v>
      </c>
      <c r="K68" s="10" t="s">
        <v>62</v>
      </c>
      <c r="L68" s="10" t="s">
        <v>27</v>
      </c>
      <c r="M68" s="18" t="s">
        <v>28</v>
      </c>
      <c r="N68" s="21"/>
      <c r="O68" s="21" t="s">
        <v>581</v>
      </c>
      <c r="P68" s="21"/>
      <c r="Q68" s="29">
        <f t="shared" si="0"/>
        <v>1</v>
      </c>
      <c r="R68" s="30" t="str">
        <f t="shared" si="1"/>
        <v>P35.112</v>
      </c>
    </row>
    <row r="69" spans="1:18">
      <c r="A69" s="10"/>
      <c r="B69" s="10"/>
      <c r="C69" s="17"/>
      <c r="D69" s="10">
        <f t="shared" si="2"/>
        <v>9073</v>
      </c>
      <c r="E69" s="18" t="s">
        <v>34</v>
      </c>
      <c r="F69" s="19"/>
      <c r="G69" s="20" t="s">
        <v>23</v>
      </c>
      <c r="H69" s="20" t="s">
        <v>23</v>
      </c>
      <c r="I69" s="20" t="s">
        <v>35</v>
      </c>
      <c r="J69" s="10" t="s">
        <v>25</v>
      </c>
      <c r="K69" s="10" t="s">
        <v>26</v>
      </c>
      <c r="L69" s="10" t="s">
        <v>30</v>
      </c>
      <c r="M69" s="18" t="s">
        <v>28</v>
      </c>
      <c r="N69" s="21"/>
      <c r="O69" s="21"/>
      <c r="P69" s="21"/>
      <c r="Q69" s="29">
        <f t="shared" si="0"/>
        <v>1</v>
      </c>
      <c r="R69" s="30" t="str">
        <f t="shared" si="1"/>
        <v>P35.113</v>
      </c>
    </row>
    <row r="70" spans="1:18">
      <c r="A70" s="10"/>
      <c r="B70" s="10"/>
      <c r="C70" s="17"/>
      <c r="D70" s="10">
        <f t="shared" si="2"/>
        <v>9074</v>
      </c>
      <c r="E70" s="18" t="s">
        <v>34</v>
      </c>
      <c r="F70" s="19" t="s">
        <v>582</v>
      </c>
      <c r="G70" s="20" t="s">
        <v>143</v>
      </c>
      <c r="H70" s="20" t="s">
        <v>23</v>
      </c>
      <c r="I70" s="20" t="s">
        <v>35</v>
      </c>
      <c r="J70" s="10" t="s">
        <v>25</v>
      </c>
      <c r="K70" s="10" t="s">
        <v>62</v>
      </c>
      <c r="L70" s="10" t="s">
        <v>27</v>
      </c>
      <c r="M70" s="18" t="s">
        <v>74</v>
      </c>
      <c r="N70" s="10"/>
      <c r="O70" s="19" t="s">
        <v>583</v>
      </c>
      <c r="P70" s="21"/>
      <c r="Q70" s="29">
        <f t="shared" si="0"/>
        <v>1</v>
      </c>
      <c r="R70" s="30" t="str">
        <f t="shared" si="1"/>
        <v>P35.114</v>
      </c>
    </row>
    <row r="71" spans="1:18">
      <c r="A71" s="10"/>
      <c r="B71" s="10"/>
      <c r="C71" s="17"/>
      <c r="D71" s="10">
        <f t="shared" si="2"/>
        <v>9075</v>
      </c>
      <c r="E71" s="18" t="s">
        <v>34</v>
      </c>
      <c r="F71" s="19"/>
      <c r="G71" s="20" t="s">
        <v>23</v>
      </c>
      <c r="H71" s="20" t="s">
        <v>23</v>
      </c>
      <c r="I71" s="20" t="s">
        <v>35</v>
      </c>
      <c r="J71" s="10" t="s">
        <v>25</v>
      </c>
      <c r="K71" s="10" t="s">
        <v>26</v>
      </c>
      <c r="L71" s="10" t="s">
        <v>30</v>
      </c>
      <c r="M71" s="18" t="s">
        <v>28</v>
      </c>
      <c r="N71" s="21"/>
      <c r="O71" s="21"/>
      <c r="P71" s="21"/>
      <c r="Q71" s="29">
        <f t="shared" si="0"/>
        <v>1</v>
      </c>
      <c r="R71" s="30" t="str">
        <f t="shared" si="1"/>
        <v>P35.115</v>
      </c>
    </row>
    <row r="72" spans="1:18">
      <c r="A72" s="10"/>
      <c r="B72" s="10"/>
      <c r="C72" s="17"/>
      <c r="D72" s="10">
        <f t="shared" si="2"/>
        <v>9076</v>
      </c>
      <c r="E72" s="18" t="s">
        <v>34</v>
      </c>
      <c r="F72" s="19"/>
      <c r="G72" s="20" t="s">
        <v>23</v>
      </c>
      <c r="H72" s="20" t="s">
        <v>23</v>
      </c>
      <c r="I72" s="20" t="s">
        <v>35</v>
      </c>
      <c r="J72" s="10" t="s">
        <v>25</v>
      </c>
      <c r="K72" s="10" t="s">
        <v>26</v>
      </c>
      <c r="L72" s="10" t="s">
        <v>30</v>
      </c>
      <c r="M72" s="18" t="s">
        <v>28</v>
      </c>
      <c r="N72" s="21"/>
      <c r="O72" s="21"/>
      <c r="P72" s="21"/>
      <c r="Q72" s="29">
        <f t="shared" ref="Q72:Q135" si="3">IF(OR(F72="",LEFT(TRIM(F72),3)=E72),1,0)</f>
        <v>1</v>
      </c>
      <c r="R72" s="30" t="str">
        <f t="shared" ref="R72:R135" si="4">"P"&amp;TEXT(ROUND(D72/256,0),"00")&amp;"."&amp;TEXT(MOD(D72,256),"000")</f>
        <v>P35.116</v>
      </c>
    </row>
    <row r="73" spans="1:18">
      <c r="A73" s="10"/>
      <c r="B73" s="10"/>
      <c r="C73" s="17"/>
      <c r="D73" s="10">
        <f t="shared" ref="D73:D136" si="5">INDEX(D:D,ROW()-1)+_xlfn.IFS(INDEX(E:E,ROW()-1)="u16",1,INDEX(E:E,ROW()-1)="s16",1,INDEX(E:E,ROW()-1)="s32",2,INDEX(E:E,ROW()-1)="s64",4,INDEX(E:E,ROW()-1)="u16",1,INDEX(E:E,ROW()-1)="u32",2,INDEX(E:E,ROW()-1)="u64",4,INDEX(E:E,ROW()-1)="f32",2,INDEX(E:E,ROW()-1)="f64",4)</f>
        <v>9077</v>
      </c>
      <c r="E73" s="18" t="s">
        <v>34</v>
      </c>
      <c r="F73" s="19" t="s">
        <v>584</v>
      </c>
      <c r="G73" s="20" t="s">
        <v>571</v>
      </c>
      <c r="H73" s="20" t="s">
        <v>23</v>
      </c>
      <c r="I73" s="20" t="s">
        <v>35</v>
      </c>
      <c r="J73" s="10" t="s">
        <v>365</v>
      </c>
      <c r="K73" s="10" t="s">
        <v>62</v>
      </c>
      <c r="L73" s="10" t="s">
        <v>27</v>
      </c>
      <c r="M73" s="18" t="s">
        <v>74</v>
      </c>
      <c r="N73" s="21"/>
      <c r="O73" s="21" t="s">
        <v>585</v>
      </c>
      <c r="P73" s="21" t="s">
        <v>586</v>
      </c>
      <c r="Q73" s="29">
        <f t="shared" si="3"/>
        <v>1</v>
      </c>
      <c r="R73" s="30" t="str">
        <f t="shared" si="4"/>
        <v>P35.117</v>
      </c>
    </row>
    <row r="74" spans="1:18">
      <c r="A74" s="10"/>
      <c r="B74" s="10"/>
      <c r="C74" s="17"/>
      <c r="D74" s="10">
        <f t="shared" si="5"/>
        <v>9078</v>
      </c>
      <c r="E74" s="18" t="s">
        <v>34</v>
      </c>
      <c r="F74" s="19" t="s">
        <v>587</v>
      </c>
      <c r="G74" s="20" t="s">
        <v>23</v>
      </c>
      <c r="H74" s="20" t="s">
        <v>23</v>
      </c>
      <c r="I74" s="20" t="s">
        <v>35</v>
      </c>
      <c r="J74" s="10" t="s">
        <v>489</v>
      </c>
      <c r="K74" s="10" t="s">
        <v>62</v>
      </c>
      <c r="L74" s="10" t="s">
        <v>27</v>
      </c>
      <c r="M74" s="18" t="s">
        <v>74</v>
      </c>
      <c r="N74" s="21"/>
      <c r="O74" s="21" t="s">
        <v>588</v>
      </c>
      <c r="P74" s="21" t="s">
        <v>589</v>
      </c>
      <c r="Q74" s="29">
        <f t="shared" si="3"/>
        <v>1</v>
      </c>
      <c r="R74" s="30" t="str">
        <f t="shared" si="4"/>
        <v>P35.118</v>
      </c>
    </row>
    <row r="75" spans="1:18">
      <c r="A75" s="10"/>
      <c r="B75" s="10"/>
      <c r="C75" s="17"/>
      <c r="D75" s="10">
        <f t="shared" si="5"/>
        <v>9079</v>
      </c>
      <c r="E75" s="18" t="s">
        <v>34</v>
      </c>
      <c r="F75" s="19" t="s">
        <v>590</v>
      </c>
      <c r="G75" s="20" t="s">
        <v>591</v>
      </c>
      <c r="H75" s="20" t="s">
        <v>23</v>
      </c>
      <c r="I75" s="20" t="s">
        <v>592</v>
      </c>
      <c r="J75" s="10" t="s">
        <v>358</v>
      </c>
      <c r="K75" s="10" t="s">
        <v>62</v>
      </c>
      <c r="L75" s="10" t="s">
        <v>27</v>
      </c>
      <c r="M75" s="18" t="s">
        <v>74</v>
      </c>
      <c r="N75" s="10"/>
      <c r="O75" s="21" t="s">
        <v>593</v>
      </c>
      <c r="P75" s="21"/>
      <c r="Q75" s="29">
        <f t="shared" si="3"/>
        <v>1</v>
      </c>
      <c r="R75" s="30" t="str">
        <f t="shared" si="4"/>
        <v>P35.119</v>
      </c>
    </row>
    <row r="76" spans="1:18">
      <c r="A76" s="10"/>
      <c r="B76" s="10"/>
      <c r="C76" s="17"/>
      <c r="D76" s="10">
        <f t="shared" si="5"/>
        <v>9080</v>
      </c>
      <c r="E76" s="18" t="s">
        <v>34</v>
      </c>
      <c r="F76" s="19" t="s">
        <v>594</v>
      </c>
      <c r="G76" s="20" t="s">
        <v>23</v>
      </c>
      <c r="H76" s="20" t="s">
        <v>23</v>
      </c>
      <c r="I76" s="20" t="s">
        <v>35</v>
      </c>
      <c r="J76" s="10" t="s">
        <v>25</v>
      </c>
      <c r="K76" s="10" t="s">
        <v>26</v>
      </c>
      <c r="L76" s="10" t="s">
        <v>30</v>
      </c>
      <c r="M76" s="18" t="s">
        <v>28</v>
      </c>
      <c r="N76" s="24"/>
      <c r="O76" s="21" t="s">
        <v>595</v>
      </c>
      <c r="P76" s="21"/>
      <c r="Q76" s="29">
        <f t="shared" si="3"/>
        <v>1</v>
      </c>
      <c r="R76" s="30" t="str">
        <f t="shared" si="4"/>
        <v>P35.120</v>
      </c>
    </row>
    <row r="77" spans="1:18">
      <c r="A77" s="10"/>
      <c r="B77" s="10"/>
      <c r="C77" s="17"/>
      <c r="D77" s="10">
        <f t="shared" si="5"/>
        <v>9081</v>
      </c>
      <c r="E77" s="18" t="s">
        <v>34</v>
      </c>
      <c r="F77" s="19"/>
      <c r="G77" s="20" t="s">
        <v>23</v>
      </c>
      <c r="H77" s="20" t="s">
        <v>23</v>
      </c>
      <c r="I77" s="20" t="s">
        <v>35</v>
      </c>
      <c r="J77" s="10" t="s">
        <v>25</v>
      </c>
      <c r="K77" s="10" t="s">
        <v>26</v>
      </c>
      <c r="L77" s="10" t="s">
        <v>30</v>
      </c>
      <c r="M77" s="18" t="s">
        <v>28</v>
      </c>
      <c r="N77" s="24"/>
      <c r="O77" s="21"/>
      <c r="P77" s="21"/>
      <c r="Q77" s="29">
        <f t="shared" si="3"/>
        <v>1</v>
      </c>
      <c r="R77" s="30" t="str">
        <f t="shared" si="4"/>
        <v>P35.121</v>
      </c>
    </row>
    <row r="78" spans="1:18">
      <c r="A78" s="10"/>
      <c r="B78" s="10"/>
      <c r="C78" s="17"/>
      <c r="D78" s="10">
        <f t="shared" si="5"/>
        <v>9082</v>
      </c>
      <c r="E78" s="18" t="s">
        <v>34</v>
      </c>
      <c r="F78" s="19"/>
      <c r="G78" s="20" t="s">
        <v>23</v>
      </c>
      <c r="H78" s="20" t="s">
        <v>23</v>
      </c>
      <c r="I78" s="20" t="s">
        <v>35</v>
      </c>
      <c r="J78" s="10" t="s">
        <v>25</v>
      </c>
      <c r="K78" s="10" t="s">
        <v>26</v>
      </c>
      <c r="L78" s="10" t="s">
        <v>30</v>
      </c>
      <c r="M78" s="18" t="s">
        <v>28</v>
      </c>
      <c r="N78" s="10"/>
      <c r="O78" s="21"/>
      <c r="P78" s="21"/>
      <c r="Q78" s="29">
        <f t="shared" si="3"/>
        <v>1</v>
      </c>
      <c r="R78" s="30" t="str">
        <f t="shared" si="4"/>
        <v>P35.122</v>
      </c>
    </row>
    <row r="79" spans="1:18">
      <c r="A79" s="10"/>
      <c r="B79" s="10"/>
      <c r="C79" s="17"/>
      <c r="D79" s="10">
        <f t="shared" si="5"/>
        <v>9083</v>
      </c>
      <c r="E79" s="18" t="s">
        <v>34</v>
      </c>
      <c r="F79" s="19"/>
      <c r="G79" s="20" t="s">
        <v>23</v>
      </c>
      <c r="H79" s="20" t="s">
        <v>23</v>
      </c>
      <c r="I79" s="20" t="s">
        <v>35</v>
      </c>
      <c r="J79" s="10" t="s">
        <v>25</v>
      </c>
      <c r="K79" s="10" t="s">
        <v>26</v>
      </c>
      <c r="L79" s="10" t="s">
        <v>30</v>
      </c>
      <c r="M79" s="18" t="s">
        <v>28</v>
      </c>
      <c r="N79" s="24"/>
      <c r="O79" s="21"/>
      <c r="P79" s="21"/>
      <c r="Q79" s="29">
        <f t="shared" si="3"/>
        <v>1</v>
      </c>
      <c r="R79" s="30" t="str">
        <f t="shared" si="4"/>
        <v>P35.123</v>
      </c>
    </row>
    <row r="80" spans="1:18">
      <c r="A80" s="10"/>
      <c r="B80" s="10"/>
      <c r="C80" s="17"/>
      <c r="D80" s="10">
        <f t="shared" si="5"/>
        <v>9084</v>
      </c>
      <c r="E80" s="18" t="s">
        <v>34</v>
      </c>
      <c r="F80" s="19"/>
      <c r="G80" s="20" t="s">
        <v>23</v>
      </c>
      <c r="H80" s="20" t="s">
        <v>23</v>
      </c>
      <c r="I80" s="20" t="s">
        <v>35</v>
      </c>
      <c r="J80" s="10" t="s">
        <v>25</v>
      </c>
      <c r="K80" s="10" t="s">
        <v>26</v>
      </c>
      <c r="L80" s="10" t="s">
        <v>30</v>
      </c>
      <c r="M80" s="18" t="s">
        <v>28</v>
      </c>
      <c r="N80" s="24"/>
      <c r="O80" s="21"/>
      <c r="P80" s="21"/>
      <c r="Q80" s="29">
        <f t="shared" si="3"/>
        <v>1</v>
      </c>
      <c r="R80" s="30" t="str">
        <f t="shared" si="4"/>
        <v>P35.124</v>
      </c>
    </row>
    <row r="81" spans="1:18">
      <c r="A81" s="10"/>
      <c r="B81" s="10"/>
      <c r="C81" s="17"/>
      <c r="D81" s="10">
        <f t="shared" si="5"/>
        <v>9085</v>
      </c>
      <c r="E81" s="18" t="s">
        <v>34</v>
      </c>
      <c r="F81" s="19"/>
      <c r="G81" s="20" t="s">
        <v>23</v>
      </c>
      <c r="H81" s="20" t="s">
        <v>23</v>
      </c>
      <c r="I81" s="20" t="s">
        <v>35</v>
      </c>
      <c r="J81" s="10" t="s">
        <v>25</v>
      </c>
      <c r="K81" s="10" t="s">
        <v>26</v>
      </c>
      <c r="L81" s="10" t="s">
        <v>30</v>
      </c>
      <c r="M81" s="18" t="s">
        <v>28</v>
      </c>
      <c r="N81" s="24"/>
      <c r="O81" s="21"/>
      <c r="P81" s="21"/>
      <c r="Q81" s="29">
        <f t="shared" si="3"/>
        <v>1</v>
      </c>
      <c r="R81" s="30" t="str">
        <f t="shared" si="4"/>
        <v>P35.125</v>
      </c>
    </row>
    <row r="82" spans="1:18">
      <c r="A82" s="10"/>
      <c r="B82" s="10"/>
      <c r="C82" s="17"/>
      <c r="D82" s="10">
        <f t="shared" si="5"/>
        <v>9086</v>
      </c>
      <c r="E82" s="18" t="s">
        <v>34</v>
      </c>
      <c r="F82" s="19"/>
      <c r="G82" s="20" t="s">
        <v>23</v>
      </c>
      <c r="H82" s="20" t="s">
        <v>23</v>
      </c>
      <c r="I82" s="20" t="s">
        <v>35</v>
      </c>
      <c r="J82" s="10" t="s">
        <v>25</v>
      </c>
      <c r="K82" s="10" t="s">
        <v>26</v>
      </c>
      <c r="L82" s="10" t="s">
        <v>30</v>
      </c>
      <c r="M82" s="18" t="s">
        <v>28</v>
      </c>
      <c r="N82" s="24"/>
      <c r="O82" s="21"/>
      <c r="P82" s="21"/>
      <c r="Q82" s="29">
        <f t="shared" si="3"/>
        <v>1</v>
      </c>
      <c r="R82" s="30" t="str">
        <f t="shared" si="4"/>
        <v>P35.126</v>
      </c>
    </row>
    <row r="83" spans="1:18">
      <c r="A83" s="10"/>
      <c r="B83" s="10"/>
      <c r="C83" s="17"/>
      <c r="D83" s="10">
        <f t="shared" si="5"/>
        <v>9087</v>
      </c>
      <c r="E83" s="18" t="s">
        <v>34</v>
      </c>
      <c r="F83" s="19"/>
      <c r="G83" s="20" t="s">
        <v>23</v>
      </c>
      <c r="H83" s="20" t="s">
        <v>23</v>
      </c>
      <c r="I83" s="20" t="s">
        <v>35</v>
      </c>
      <c r="J83" s="10" t="s">
        <v>25</v>
      </c>
      <c r="K83" s="10" t="s">
        <v>26</v>
      </c>
      <c r="L83" s="10" t="s">
        <v>30</v>
      </c>
      <c r="M83" s="18" t="s">
        <v>28</v>
      </c>
      <c r="N83" s="10"/>
      <c r="O83" s="21"/>
      <c r="P83" s="21"/>
      <c r="Q83" s="29">
        <f t="shared" si="3"/>
        <v>1</v>
      </c>
      <c r="R83" s="30" t="str">
        <f t="shared" si="4"/>
        <v>P35.127</v>
      </c>
    </row>
    <row r="84" spans="1:18">
      <c r="A84" s="10"/>
      <c r="B84" s="10"/>
      <c r="C84" s="17"/>
      <c r="D84" s="10">
        <f t="shared" si="5"/>
        <v>9088</v>
      </c>
      <c r="E84" s="18" t="s">
        <v>34</v>
      </c>
      <c r="F84" s="19"/>
      <c r="G84" s="20" t="s">
        <v>23</v>
      </c>
      <c r="H84" s="20" t="s">
        <v>23</v>
      </c>
      <c r="I84" s="20" t="s">
        <v>35</v>
      </c>
      <c r="J84" s="10" t="s">
        <v>25</v>
      </c>
      <c r="K84" s="10" t="s">
        <v>26</v>
      </c>
      <c r="L84" s="10" t="s">
        <v>30</v>
      </c>
      <c r="M84" s="18" t="s">
        <v>28</v>
      </c>
      <c r="N84" s="24"/>
      <c r="O84" s="21"/>
      <c r="P84" s="21"/>
      <c r="Q84" s="29">
        <f t="shared" si="3"/>
        <v>1</v>
      </c>
      <c r="R84" s="30" t="str">
        <f t="shared" si="4"/>
        <v>P36.128</v>
      </c>
    </row>
    <row r="85" spans="1:18">
      <c r="A85" s="10"/>
      <c r="B85" s="10"/>
      <c r="C85" s="17"/>
      <c r="D85" s="10">
        <f t="shared" si="5"/>
        <v>9089</v>
      </c>
      <c r="E85" s="18" t="s">
        <v>34</v>
      </c>
      <c r="F85" s="19"/>
      <c r="G85" s="20" t="s">
        <v>23</v>
      </c>
      <c r="H85" s="20" t="s">
        <v>23</v>
      </c>
      <c r="I85" s="20" t="s">
        <v>35</v>
      </c>
      <c r="J85" s="10" t="s">
        <v>25</v>
      </c>
      <c r="K85" s="10" t="s">
        <v>26</v>
      </c>
      <c r="L85" s="10" t="s">
        <v>30</v>
      </c>
      <c r="M85" s="18" t="s">
        <v>28</v>
      </c>
      <c r="N85" s="24"/>
      <c r="O85" s="21"/>
      <c r="P85" s="21"/>
      <c r="Q85" s="29">
        <f t="shared" si="3"/>
        <v>1</v>
      </c>
      <c r="R85" s="30" t="str">
        <f t="shared" si="4"/>
        <v>P36.129</v>
      </c>
    </row>
    <row r="86" spans="1:18">
      <c r="A86" s="10"/>
      <c r="B86" s="10"/>
      <c r="C86" s="17"/>
      <c r="D86" s="10">
        <f t="shared" si="5"/>
        <v>9090</v>
      </c>
      <c r="E86" s="18" t="s">
        <v>34</v>
      </c>
      <c r="F86" s="19"/>
      <c r="G86" s="20" t="s">
        <v>23</v>
      </c>
      <c r="H86" s="20" t="s">
        <v>23</v>
      </c>
      <c r="I86" s="20" t="s">
        <v>35</v>
      </c>
      <c r="J86" s="10" t="s">
        <v>25</v>
      </c>
      <c r="K86" s="10" t="s">
        <v>26</v>
      </c>
      <c r="L86" s="10" t="s">
        <v>30</v>
      </c>
      <c r="M86" s="18" t="s">
        <v>28</v>
      </c>
      <c r="N86" s="10"/>
      <c r="O86" s="21"/>
      <c r="P86" s="21"/>
      <c r="Q86" s="29">
        <f t="shared" si="3"/>
        <v>1</v>
      </c>
      <c r="R86" s="30" t="str">
        <f t="shared" si="4"/>
        <v>P36.130</v>
      </c>
    </row>
    <row r="87" spans="1:18">
      <c r="A87" s="10"/>
      <c r="B87" s="10"/>
      <c r="C87" s="17"/>
      <c r="D87" s="10">
        <f t="shared" si="5"/>
        <v>9091</v>
      </c>
      <c r="E87" s="18" t="s">
        <v>34</v>
      </c>
      <c r="F87" s="19"/>
      <c r="G87" s="20" t="s">
        <v>23</v>
      </c>
      <c r="H87" s="20" t="s">
        <v>23</v>
      </c>
      <c r="I87" s="20" t="s">
        <v>35</v>
      </c>
      <c r="J87" s="10" t="s">
        <v>25</v>
      </c>
      <c r="K87" s="10" t="s">
        <v>26</v>
      </c>
      <c r="L87" s="10" t="s">
        <v>30</v>
      </c>
      <c r="M87" s="18" t="s">
        <v>28</v>
      </c>
      <c r="N87" s="24"/>
      <c r="O87" s="21"/>
      <c r="P87" s="21"/>
      <c r="Q87" s="29">
        <f t="shared" si="3"/>
        <v>1</v>
      </c>
      <c r="R87" s="30" t="str">
        <f t="shared" si="4"/>
        <v>P36.131</v>
      </c>
    </row>
    <row r="88" spans="1:18">
      <c r="A88" s="10"/>
      <c r="B88" s="10"/>
      <c r="C88" s="17"/>
      <c r="D88" s="10">
        <f t="shared" si="5"/>
        <v>9092</v>
      </c>
      <c r="E88" s="18" t="s">
        <v>34</v>
      </c>
      <c r="F88" s="19"/>
      <c r="G88" s="20" t="s">
        <v>23</v>
      </c>
      <c r="H88" s="20" t="s">
        <v>23</v>
      </c>
      <c r="I88" s="20" t="s">
        <v>35</v>
      </c>
      <c r="J88" s="10" t="s">
        <v>25</v>
      </c>
      <c r="K88" s="10" t="s">
        <v>26</v>
      </c>
      <c r="L88" s="10" t="s">
        <v>30</v>
      </c>
      <c r="M88" s="18" t="s">
        <v>28</v>
      </c>
      <c r="N88" s="24"/>
      <c r="O88" s="21"/>
      <c r="P88" s="21"/>
      <c r="Q88" s="29">
        <f t="shared" si="3"/>
        <v>1</v>
      </c>
      <c r="R88" s="30" t="str">
        <f t="shared" si="4"/>
        <v>P36.132</v>
      </c>
    </row>
    <row r="89" spans="1:18">
      <c r="A89" s="10"/>
      <c r="B89" s="10"/>
      <c r="C89" s="17"/>
      <c r="D89" s="10">
        <f t="shared" si="5"/>
        <v>9093</v>
      </c>
      <c r="E89" s="18" t="s">
        <v>34</v>
      </c>
      <c r="F89" s="19"/>
      <c r="G89" s="20" t="s">
        <v>23</v>
      </c>
      <c r="H89" s="20" t="s">
        <v>23</v>
      </c>
      <c r="I89" s="20" t="s">
        <v>35</v>
      </c>
      <c r="J89" s="10" t="s">
        <v>25</v>
      </c>
      <c r="K89" s="10" t="s">
        <v>26</v>
      </c>
      <c r="L89" s="10" t="s">
        <v>30</v>
      </c>
      <c r="M89" s="18" t="s">
        <v>28</v>
      </c>
      <c r="N89" s="10"/>
      <c r="O89" s="21"/>
      <c r="P89" s="21"/>
      <c r="Q89" s="29">
        <f t="shared" si="3"/>
        <v>1</v>
      </c>
      <c r="R89" s="30" t="str">
        <f t="shared" si="4"/>
        <v>P36.133</v>
      </c>
    </row>
    <row r="90" spans="1:18">
      <c r="A90" s="10"/>
      <c r="B90" s="10"/>
      <c r="C90" s="31"/>
      <c r="D90" s="10">
        <f t="shared" si="5"/>
        <v>9094</v>
      </c>
      <c r="E90" s="18" t="s">
        <v>34</v>
      </c>
      <c r="F90" s="19"/>
      <c r="G90" s="20" t="s">
        <v>23</v>
      </c>
      <c r="H90" s="20" t="s">
        <v>23</v>
      </c>
      <c r="I90" s="20" t="s">
        <v>35</v>
      </c>
      <c r="J90" s="10" t="s">
        <v>25</v>
      </c>
      <c r="K90" s="10" t="s">
        <v>26</v>
      </c>
      <c r="L90" s="10" t="s">
        <v>30</v>
      </c>
      <c r="M90" s="18" t="s">
        <v>28</v>
      </c>
      <c r="N90" s="24"/>
      <c r="O90" s="21"/>
      <c r="P90" s="21"/>
      <c r="Q90" s="29">
        <f t="shared" si="3"/>
        <v>1</v>
      </c>
      <c r="R90" s="30" t="str">
        <f t="shared" si="4"/>
        <v>P36.134</v>
      </c>
    </row>
    <row r="91" ht="52.8" spans="1:18">
      <c r="A91" s="32">
        <v>2</v>
      </c>
      <c r="B91" s="32"/>
      <c r="C91" s="32"/>
      <c r="D91" s="10">
        <f t="shared" si="5"/>
        <v>9095</v>
      </c>
      <c r="E91" s="18" t="s">
        <v>34</v>
      </c>
      <c r="F91" s="21" t="s">
        <v>596</v>
      </c>
      <c r="G91" s="20" t="s">
        <v>23</v>
      </c>
      <c r="H91" s="20" t="s">
        <v>23</v>
      </c>
      <c r="I91" s="20" t="s">
        <v>45</v>
      </c>
      <c r="J91" s="10" t="s">
        <v>25</v>
      </c>
      <c r="K91" s="10" t="s">
        <v>68</v>
      </c>
      <c r="L91" s="10" t="s">
        <v>27</v>
      </c>
      <c r="M91" s="18" t="s">
        <v>74</v>
      </c>
      <c r="N91" s="24"/>
      <c r="O91" s="21" t="s">
        <v>597</v>
      </c>
      <c r="P91" s="24" t="s">
        <v>598</v>
      </c>
      <c r="Q91" s="29">
        <f t="shared" si="3"/>
        <v>0</v>
      </c>
      <c r="R91" s="30" t="str">
        <f t="shared" si="4"/>
        <v>P36.135</v>
      </c>
    </row>
    <row r="92" ht="52.8" spans="1:18">
      <c r="A92" s="17"/>
      <c r="B92" s="17"/>
      <c r="C92" s="17"/>
      <c r="D92" s="10">
        <f t="shared" si="5"/>
        <v>9096</v>
      </c>
      <c r="E92" s="18" t="s">
        <v>34</v>
      </c>
      <c r="F92" s="21" t="s">
        <v>599</v>
      </c>
      <c r="G92" s="20" t="s">
        <v>23</v>
      </c>
      <c r="H92" s="20" t="s">
        <v>23</v>
      </c>
      <c r="I92" s="20" t="s">
        <v>335</v>
      </c>
      <c r="J92" s="10" t="s">
        <v>25</v>
      </c>
      <c r="K92" s="10" t="s">
        <v>68</v>
      </c>
      <c r="L92" s="10" t="s">
        <v>27</v>
      </c>
      <c r="M92" s="18" t="s">
        <v>28</v>
      </c>
      <c r="N92" s="24"/>
      <c r="O92" s="21" t="s">
        <v>600</v>
      </c>
      <c r="P92" s="24" t="s">
        <v>601</v>
      </c>
      <c r="Q92" s="29">
        <f t="shared" si="3"/>
        <v>0</v>
      </c>
      <c r="R92" s="30" t="str">
        <f t="shared" si="4"/>
        <v>P36.136</v>
      </c>
    </row>
    <row r="93" ht="52.8" spans="1:18">
      <c r="A93" s="17"/>
      <c r="B93" s="17"/>
      <c r="C93" s="17"/>
      <c r="D93" s="10">
        <f t="shared" si="5"/>
        <v>9097</v>
      </c>
      <c r="E93" s="18" t="s">
        <v>34</v>
      </c>
      <c r="F93" s="21" t="s">
        <v>602</v>
      </c>
      <c r="G93" s="20" t="s">
        <v>39</v>
      </c>
      <c r="H93" s="20" t="s">
        <v>23</v>
      </c>
      <c r="I93" s="20" t="s">
        <v>45</v>
      </c>
      <c r="J93" s="10" t="s">
        <v>25</v>
      </c>
      <c r="K93" s="10" t="s">
        <v>68</v>
      </c>
      <c r="L93" s="10" t="s">
        <v>27</v>
      </c>
      <c r="M93" s="18" t="s">
        <v>28</v>
      </c>
      <c r="N93" s="24"/>
      <c r="O93" s="21" t="s">
        <v>603</v>
      </c>
      <c r="P93" s="24" t="s">
        <v>604</v>
      </c>
      <c r="Q93" s="29">
        <f t="shared" si="3"/>
        <v>0</v>
      </c>
      <c r="R93" s="30" t="str">
        <f t="shared" si="4"/>
        <v>P36.137</v>
      </c>
    </row>
    <row r="94" spans="1:18">
      <c r="A94" s="17"/>
      <c r="B94" s="17"/>
      <c r="C94" s="17"/>
      <c r="D94" s="10">
        <f t="shared" si="5"/>
        <v>9098</v>
      </c>
      <c r="E94" s="18" t="s">
        <v>34</v>
      </c>
      <c r="F94" s="21" t="s">
        <v>605</v>
      </c>
      <c r="G94" s="20" t="s">
        <v>23</v>
      </c>
      <c r="H94" s="20" t="s">
        <v>23</v>
      </c>
      <c r="I94" s="20" t="s">
        <v>35</v>
      </c>
      <c r="J94" s="10" t="s">
        <v>25</v>
      </c>
      <c r="K94" s="10" t="s">
        <v>68</v>
      </c>
      <c r="L94" s="10" t="s">
        <v>27</v>
      </c>
      <c r="M94" s="18" t="s">
        <v>28</v>
      </c>
      <c r="N94" s="24"/>
      <c r="O94" s="21" t="s">
        <v>606</v>
      </c>
      <c r="P94" s="21"/>
      <c r="Q94" s="29">
        <f t="shared" si="3"/>
        <v>0</v>
      </c>
      <c r="R94" s="30" t="str">
        <f t="shared" si="4"/>
        <v>P36.138</v>
      </c>
    </row>
    <row r="95" ht="26.4" spans="1:18">
      <c r="A95" s="17"/>
      <c r="B95" s="17"/>
      <c r="C95" s="17"/>
      <c r="D95" s="10">
        <f t="shared" si="5"/>
        <v>9099</v>
      </c>
      <c r="E95" s="18" t="s">
        <v>34</v>
      </c>
      <c r="F95" s="21" t="s">
        <v>607</v>
      </c>
      <c r="G95" s="20" t="s">
        <v>23</v>
      </c>
      <c r="H95" s="20" t="s">
        <v>23</v>
      </c>
      <c r="I95" s="20" t="s">
        <v>39</v>
      </c>
      <c r="J95" s="10" t="s">
        <v>25</v>
      </c>
      <c r="K95" s="10" t="s">
        <v>68</v>
      </c>
      <c r="L95" s="10" t="s">
        <v>27</v>
      </c>
      <c r="M95" s="18" t="s">
        <v>28</v>
      </c>
      <c r="N95" s="10"/>
      <c r="O95" s="21" t="s">
        <v>608</v>
      </c>
      <c r="P95" s="24" t="s">
        <v>609</v>
      </c>
      <c r="Q95" s="29">
        <f t="shared" si="3"/>
        <v>0</v>
      </c>
      <c r="R95" s="30" t="str">
        <f t="shared" si="4"/>
        <v>P36.139</v>
      </c>
    </row>
    <row r="96" ht="26.4" spans="1:18">
      <c r="A96" s="17"/>
      <c r="B96" s="17"/>
      <c r="C96" s="17"/>
      <c r="D96" s="10">
        <f t="shared" si="5"/>
        <v>9100</v>
      </c>
      <c r="E96" s="18" t="s">
        <v>34</v>
      </c>
      <c r="F96" s="21" t="s">
        <v>610</v>
      </c>
      <c r="G96" s="20" t="s">
        <v>23</v>
      </c>
      <c r="H96" s="20" t="s">
        <v>23</v>
      </c>
      <c r="I96" s="20" t="s">
        <v>39</v>
      </c>
      <c r="J96" s="10" t="s">
        <v>25</v>
      </c>
      <c r="K96" s="10" t="s">
        <v>68</v>
      </c>
      <c r="L96" s="10" t="s">
        <v>27</v>
      </c>
      <c r="M96" s="18" t="s">
        <v>28</v>
      </c>
      <c r="N96" s="10"/>
      <c r="O96" s="21" t="s">
        <v>611</v>
      </c>
      <c r="P96" s="24" t="s">
        <v>612</v>
      </c>
      <c r="Q96" s="29">
        <f t="shared" si="3"/>
        <v>0</v>
      </c>
      <c r="R96" s="30" t="str">
        <f t="shared" si="4"/>
        <v>P36.140</v>
      </c>
    </row>
    <row r="97" spans="1:18">
      <c r="A97" s="17"/>
      <c r="B97" s="17"/>
      <c r="C97" s="17"/>
      <c r="D97" s="10">
        <f t="shared" si="5"/>
        <v>9101</v>
      </c>
      <c r="E97" s="18" t="s">
        <v>20</v>
      </c>
      <c r="F97" s="21" t="s">
        <v>613</v>
      </c>
      <c r="G97" s="20" t="s">
        <v>23</v>
      </c>
      <c r="H97" s="20" t="s">
        <v>23</v>
      </c>
      <c r="I97" s="20" t="s">
        <v>24</v>
      </c>
      <c r="J97" s="10" t="s">
        <v>25</v>
      </c>
      <c r="K97" s="10" t="s">
        <v>62</v>
      </c>
      <c r="L97" s="10" t="s">
        <v>30</v>
      </c>
      <c r="M97" s="18" t="s">
        <v>28</v>
      </c>
      <c r="N97" s="24"/>
      <c r="O97" s="21" t="s">
        <v>614</v>
      </c>
      <c r="P97" s="21" t="s">
        <v>615</v>
      </c>
      <c r="Q97" s="29">
        <f t="shared" si="3"/>
        <v>1</v>
      </c>
      <c r="R97" s="30" t="str">
        <f t="shared" si="4"/>
        <v>P36.141</v>
      </c>
    </row>
    <row r="98" spans="1:18">
      <c r="A98" s="17"/>
      <c r="B98" s="17"/>
      <c r="C98" s="17"/>
      <c r="D98" s="10">
        <f t="shared" si="5"/>
        <v>9103</v>
      </c>
      <c r="E98" s="18" t="s">
        <v>20</v>
      </c>
      <c r="F98" s="21" t="s">
        <v>616</v>
      </c>
      <c r="G98" s="20" t="s">
        <v>23</v>
      </c>
      <c r="H98" s="20" t="s">
        <v>23</v>
      </c>
      <c r="I98" s="20" t="s">
        <v>24</v>
      </c>
      <c r="J98" s="10" t="s">
        <v>25</v>
      </c>
      <c r="K98" s="10" t="s">
        <v>26</v>
      </c>
      <c r="L98" s="10" t="s">
        <v>30</v>
      </c>
      <c r="M98" s="18" t="s">
        <v>28</v>
      </c>
      <c r="N98" s="24"/>
      <c r="O98" s="21" t="s">
        <v>617</v>
      </c>
      <c r="P98" s="21" t="s">
        <v>615</v>
      </c>
      <c r="Q98" s="29">
        <f t="shared" si="3"/>
        <v>1</v>
      </c>
      <c r="R98" s="30" t="str">
        <f t="shared" si="4"/>
        <v>P36.143</v>
      </c>
    </row>
    <row r="99" spans="1:18">
      <c r="A99" s="17"/>
      <c r="B99" s="17"/>
      <c r="C99" s="17"/>
      <c r="D99" s="10">
        <f t="shared" si="5"/>
        <v>9105</v>
      </c>
      <c r="E99" s="18" t="s">
        <v>34</v>
      </c>
      <c r="F99" s="21" t="s">
        <v>618</v>
      </c>
      <c r="G99" s="20" t="s">
        <v>23</v>
      </c>
      <c r="H99" s="20" t="s">
        <v>23</v>
      </c>
      <c r="I99" s="20" t="s">
        <v>35</v>
      </c>
      <c r="J99" s="10" t="s">
        <v>25</v>
      </c>
      <c r="K99" s="10" t="s">
        <v>62</v>
      </c>
      <c r="L99" s="10" t="s">
        <v>27</v>
      </c>
      <c r="M99" s="18" t="s">
        <v>619</v>
      </c>
      <c r="N99" s="24"/>
      <c r="O99" s="21" t="s">
        <v>620</v>
      </c>
      <c r="P99" s="21"/>
      <c r="Q99" s="29">
        <f t="shared" si="3"/>
        <v>1</v>
      </c>
      <c r="R99" s="30" t="str">
        <f t="shared" si="4"/>
        <v>P36.145</v>
      </c>
    </row>
    <row r="100" spans="1:18">
      <c r="A100" s="17"/>
      <c r="B100" s="17"/>
      <c r="C100" s="17"/>
      <c r="D100" s="10">
        <f t="shared" si="5"/>
        <v>9106</v>
      </c>
      <c r="E100" s="18" t="s">
        <v>34</v>
      </c>
      <c r="F100" s="19"/>
      <c r="G100" s="20" t="s">
        <v>23</v>
      </c>
      <c r="H100" s="20" t="s">
        <v>23</v>
      </c>
      <c r="I100" s="20" t="s">
        <v>35</v>
      </c>
      <c r="J100" s="10" t="s">
        <v>25</v>
      </c>
      <c r="K100" s="10" t="s">
        <v>26</v>
      </c>
      <c r="L100" s="10" t="s">
        <v>30</v>
      </c>
      <c r="M100" s="18" t="s">
        <v>28</v>
      </c>
      <c r="N100" s="24"/>
      <c r="O100" s="21"/>
      <c r="P100" s="21"/>
      <c r="Q100" s="29">
        <f t="shared" si="3"/>
        <v>1</v>
      </c>
      <c r="R100" s="30" t="str">
        <f t="shared" si="4"/>
        <v>P36.146</v>
      </c>
    </row>
    <row r="101" spans="1:18">
      <c r="A101" s="17"/>
      <c r="B101" s="17"/>
      <c r="C101" s="17"/>
      <c r="D101" s="10">
        <f t="shared" si="5"/>
        <v>9107</v>
      </c>
      <c r="E101" s="18" t="s">
        <v>34</v>
      </c>
      <c r="F101" s="19"/>
      <c r="G101" s="20" t="s">
        <v>23</v>
      </c>
      <c r="H101" s="20" t="s">
        <v>23</v>
      </c>
      <c r="I101" s="20" t="s">
        <v>35</v>
      </c>
      <c r="J101" s="10" t="s">
        <v>25</v>
      </c>
      <c r="K101" s="10" t="s">
        <v>26</v>
      </c>
      <c r="L101" s="10" t="s">
        <v>30</v>
      </c>
      <c r="M101" s="18" t="s">
        <v>28</v>
      </c>
      <c r="N101" s="10"/>
      <c r="O101" s="21"/>
      <c r="P101" s="21"/>
      <c r="Q101" s="29">
        <f t="shared" si="3"/>
        <v>1</v>
      </c>
      <c r="R101" s="30" t="str">
        <f t="shared" si="4"/>
        <v>P36.147</v>
      </c>
    </row>
    <row r="102" spans="1:18">
      <c r="A102" s="17"/>
      <c r="B102" s="17"/>
      <c r="C102" s="17"/>
      <c r="D102" s="10">
        <f t="shared" si="5"/>
        <v>9108</v>
      </c>
      <c r="E102" s="18" t="s">
        <v>34</v>
      </c>
      <c r="F102" s="19"/>
      <c r="G102" s="20" t="s">
        <v>23</v>
      </c>
      <c r="H102" s="20" t="s">
        <v>23</v>
      </c>
      <c r="I102" s="20" t="s">
        <v>35</v>
      </c>
      <c r="J102" s="10" t="s">
        <v>25</v>
      </c>
      <c r="K102" s="10" t="s">
        <v>26</v>
      </c>
      <c r="L102" s="10" t="s">
        <v>30</v>
      </c>
      <c r="M102" s="18" t="s">
        <v>28</v>
      </c>
      <c r="N102" s="10"/>
      <c r="O102" s="21"/>
      <c r="P102" s="21"/>
      <c r="Q102" s="29">
        <f t="shared" si="3"/>
        <v>1</v>
      </c>
      <c r="R102" s="30" t="str">
        <f t="shared" si="4"/>
        <v>P36.148</v>
      </c>
    </row>
    <row r="103" spans="1:18">
      <c r="A103" s="17"/>
      <c r="B103" s="17"/>
      <c r="C103" s="17"/>
      <c r="D103" s="10">
        <f t="shared" si="5"/>
        <v>9109</v>
      </c>
      <c r="E103" s="18" t="s">
        <v>34</v>
      </c>
      <c r="F103" s="19"/>
      <c r="G103" s="20" t="s">
        <v>23</v>
      </c>
      <c r="H103" s="20" t="s">
        <v>23</v>
      </c>
      <c r="I103" s="20" t="s">
        <v>35</v>
      </c>
      <c r="J103" s="10" t="s">
        <v>25</v>
      </c>
      <c r="K103" s="10" t="s">
        <v>26</v>
      </c>
      <c r="L103" s="10" t="s">
        <v>30</v>
      </c>
      <c r="M103" s="18" t="s">
        <v>28</v>
      </c>
      <c r="N103" s="10"/>
      <c r="O103" s="21"/>
      <c r="P103" s="21"/>
      <c r="Q103" s="29">
        <f t="shared" si="3"/>
        <v>1</v>
      </c>
      <c r="R103" s="30" t="str">
        <f t="shared" si="4"/>
        <v>P36.149</v>
      </c>
    </row>
    <row r="104" spans="1:18">
      <c r="A104" s="17"/>
      <c r="B104" s="17"/>
      <c r="C104" s="17"/>
      <c r="D104" s="10">
        <f t="shared" si="5"/>
        <v>9110</v>
      </c>
      <c r="E104" s="18" t="s">
        <v>34</v>
      </c>
      <c r="F104" s="19"/>
      <c r="G104" s="20" t="s">
        <v>23</v>
      </c>
      <c r="H104" s="20" t="s">
        <v>23</v>
      </c>
      <c r="I104" s="20" t="s">
        <v>35</v>
      </c>
      <c r="J104" s="10" t="s">
        <v>25</v>
      </c>
      <c r="K104" s="10" t="s">
        <v>26</v>
      </c>
      <c r="L104" s="10" t="s">
        <v>30</v>
      </c>
      <c r="M104" s="18" t="s">
        <v>28</v>
      </c>
      <c r="N104" s="10"/>
      <c r="O104" s="21"/>
      <c r="P104" s="21"/>
      <c r="Q104" s="29">
        <f t="shared" si="3"/>
        <v>1</v>
      </c>
      <c r="R104" s="30" t="str">
        <f t="shared" si="4"/>
        <v>P36.150</v>
      </c>
    </row>
    <row r="105" spans="1:18">
      <c r="A105" s="17"/>
      <c r="B105" s="17"/>
      <c r="C105" s="17"/>
      <c r="D105" s="10">
        <f t="shared" si="5"/>
        <v>9111</v>
      </c>
      <c r="E105" s="18" t="s">
        <v>34</v>
      </c>
      <c r="F105" s="19"/>
      <c r="G105" s="20" t="s">
        <v>23</v>
      </c>
      <c r="H105" s="20" t="s">
        <v>23</v>
      </c>
      <c r="I105" s="20" t="s">
        <v>35</v>
      </c>
      <c r="J105" s="10" t="s">
        <v>25</v>
      </c>
      <c r="K105" s="10" t="s">
        <v>26</v>
      </c>
      <c r="L105" s="10" t="s">
        <v>30</v>
      </c>
      <c r="M105" s="18" t="s">
        <v>28</v>
      </c>
      <c r="N105" s="10"/>
      <c r="O105" s="21"/>
      <c r="P105" s="21"/>
      <c r="Q105" s="29">
        <f t="shared" si="3"/>
        <v>1</v>
      </c>
      <c r="R105" s="30" t="str">
        <f t="shared" si="4"/>
        <v>P36.151</v>
      </c>
    </row>
    <row r="106" spans="1:18">
      <c r="A106" s="17"/>
      <c r="B106" s="17"/>
      <c r="C106" s="17"/>
      <c r="D106" s="10">
        <f t="shared" si="5"/>
        <v>9112</v>
      </c>
      <c r="E106" s="18" t="s">
        <v>34</v>
      </c>
      <c r="F106" s="19"/>
      <c r="G106" s="20" t="s">
        <v>23</v>
      </c>
      <c r="H106" s="20" t="s">
        <v>23</v>
      </c>
      <c r="I106" s="20" t="s">
        <v>35</v>
      </c>
      <c r="J106" s="10" t="s">
        <v>25</v>
      </c>
      <c r="K106" s="10" t="s">
        <v>26</v>
      </c>
      <c r="L106" s="10" t="s">
        <v>30</v>
      </c>
      <c r="M106" s="18" t="s">
        <v>28</v>
      </c>
      <c r="N106" s="10"/>
      <c r="O106" s="21"/>
      <c r="P106" s="21"/>
      <c r="Q106" s="29">
        <f t="shared" si="3"/>
        <v>1</v>
      </c>
      <c r="R106" s="30" t="str">
        <f t="shared" si="4"/>
        <v>P36.152</v>
      </c>
    </row>
    <row r="107" spans="1:18">
      <c r="A107" s="17"/>
      <c r="B107" s="17"/>
      <c r="C107" s="17"/>
      <c r="D107" s="10">
        <f t="shared" si="5"/>
        <v>9113</v>
      </c>
      <c r="E107" s="18" t="s">
        <v>34</v>
      </c>
      <c r="F107" s="19"/>
      <c r="G107" s="20" t="s">
        <v>23</v>
      </c>
      <c r="H107" s="20" t="s">
        <v>23</v>
      </c>
      <c r="I107" s="20" t="s">
        <v>35</v>
      </c>
      <c r="J107" s="10" t="s">
        <v>25</v>
      </c>
      <c r="K107" s="10" t="s">
        <v>26</v>
      </c>
      <c r="L107" s="10" t="s">
        <v>30</v>
      </c>
      <c r="M107" s="18" t="s">
        <v>28</v>
      </c>
      <c r="N107" s="10"/>
      <c r="O107" s="21"/>
      <c r="P107" s="21"/>
      <c r="Q107" s="29">
        <f t="shared" si="3"/>
        <v>1</v>
      </c>
      <c r="R107" s="30" t="str">
        <f t="shared" si="4"/>
        <v>P36.153</v>
      </c>
    </row>
    <row r="108" spans="1:18">
      <c r="A108" s="17"/>
      <c r="B108" s="17"/>
      <c r="C108" s="17"/>
      <c r="D108" s="10">
        <f t="shared" si="5"/>
        <v>9114</v>
      </c>
      <c r="E108" s="18" t="s">
        <v>34</v>
      </c>
      <c r="F108" s="19"/>
      <c r="G108" s="20" t="s">
        <v>23</v>
      </c>
      <c r="H108" s="20" t="s">
        <v>23</v>
      </c>
      <c r="I108" s="20" t="s">
        <v>35</v>
      </c>
      <c r="J108" s="10" t="s">
        <v>25</v>
      </c>
      <c r="K108" s="10" t="s">
        <v>26</v>
      </c>
      <c r="L108" s="10" t="s">
        <v>30</v>
      </c>
      <c r="M108" s="18" t="s">
        <v>28</v>
      </c>
      <c r="N108" s="10"/>
      <c r="O108" s="21"/>
      <c r="P108" s="21"/>
      <c r="Q108" s="29">
        <f t="shared" si="3"/>
        <v>1</v>
      </c>
      <c r="R108" s="30" t="str">
        <f t="shared" si="4"/>
        <v>P36.154</v>
      </c>
    </row>
    <row r="109" spans="1:18">
      <c r="A109" s="17"/>
      <c r="B109" s="17"/>
      <c r="C109" s="17"/>
      <c r="D109" s="10">
        <f t="shared" si="5"/>
        <v>9115</v>
      </c>
      <c r="E109" s="18" t="s">
        <v>34</v>
      </c>
      <c r="F109" s="19"/>
      <c r="G109" s="20" t="s">
        <v>23</v>
      </c>
      <c r="H109" s="20" t="s">
        <v>23</v>
      </c>
      <c r="I109" s="20" t="s">
        <v>35</v>
      </c>
      <c r="J109" s="10" t="s">
        <v>25</v>
      </c>
      <c r="K109" s="10" t="s">
        <v>26</v>
      </c>
      <c r="L109" s="10" t="s">
        <v>30</v>
      </c>
      <c r="M109" s="18" t="s">
        <v>28</v>
      </c>
      <c r="N109" s="10"/>
      <c r="O109" s="21"/>
      <c r="P109" s="21"/>
      <c r="Q109" s="29">
        <f t="shared" si="3"/>
        <v>1</v>
      </c>
      <c r="R109" s="30" t="str">
        <f t="shared" si="4"/>
        <v>P36.155</v>
      </c>
    </row>
    <row r="110" spans="1:18">
      <c r="A110" s="17"/>
      <c r="B110" s="17"/>
      <c r="C110" s="17"/>
      <c r="D110" s="10">
        <f t="shared" si="5"/>
        <v>9116</v>
      </c>
      <c r="E110" s="18" t="s">
        <v>34</v>
      </c>
      <c r="F110" s="19"/>
      <c r="G110" s="20" t="s">
        <v>23</v>
      </c>
      <c r="H110" s="20" t="s">
        <v>23</v>
      </c>
      <c r="I110" s="20" t="s">
        <v>35</v>
      </c>
      <c r="J110" s="10" t="s">
        <v>25</v>
      </c>
      <c r="K110" s="10" t="s">
        <v>26</v>
      </c>
      <c r="L110" s="10" t="s">
        <v>30</v>
      </c>
      <c r="M110" s="18" t="s">
        <v>28</v>
      </c>
      <c r="N110" s="10"/>
      <c r="O110" s="21"/>
      <c r="P110" s="21"/>
      <c r="Q110" s="29">
        <f t="shared" si="3"/>
        <v>1</v>
      </c>
      <c r="R110" s="30" t="str">
        <f t="shared" si="4"/>
        <v>P36.156</v>
      </c>
    </row>
    <row r="111" spans="1:18">
      <c r="A111" s="17"/>
      <c r="B111" s="17"/>
      <c r="C111" s="17"/>
      <c r="D111" s="10">
        <f t="shared" si="5"/>
        <v>9117</v>
      </c>
      <c r="E111" s="18" t="s">
        <v>34</v>
      </c>
      <c r="F111" s="19"/>
      <c r="G111" s="20" t="s">
        <v>23</v>
      </c>
      <c r="H111" s="20" t="s">
        <v>23</v>
      </c>
      <c r="I111" s="20" t="s">
        <v>35</v>
      </c>
      <c r="J111" s="10" t="s">
        <v>25</v>
      </c>
      <c r="K111" s="10" t="s">
        <v>26</v>
      </c>
      <c r="L111" s="10" t="s">
        <v>30</v>
      </c>
      <c r="M111" s="18" t="s">
        <v>28</v>
      </c>
      <c r="N111" s="10"/>
      <c r="O111" s="21"/>
      <c r="P111" s="21"/>
      <c r="Q111" s="29">
        <f t="shared" si="3"/>
        <v>1</v>
      </c>
      <c r="R111" s="30" t="str">
        <f t="shared" si="4"/>
        <v>P36.157</v>
      </c>
    </row>
    <row r="112" spans="1:18">
      <c r="A112" s="17"/>
      <c r="B112" s="17"/>
      <c r="C112" s="17"/>
      <c r="D112" s="10">
        <f t="shared" si="5"/>
        <v>9118</v>
      </c>
      <c r="E112" s="18" t="s">
        <v>34</v>
      </c>
      <c r="F112" s="19"/>
      <c r="G112" s="20" t="s">
        <v>23</v>
      </c>
      <c r="H112" s="20" t="s">
        <v>23</v>
      </c>
      <c r="I112" s="20" t="s">
        <v>35</v>
      </c>
      <c r="J112" s="10" t="s">
        <v>25</v>
      </c>
      <c r="K112" s="10" t="s">
        <v>26</v>
      </c>
      <c r="L112" s="10" t="s">
        <v>30</v>
      </c>
      <c r="M112" s="18" t="s">
        <v>28</v>
      </c>
      <c r="N112" s="10"/>
      <c r="O112" s="21"/>
      <c r="P112" s="21"/>
      <c r="Q112" s="29">
        <f t="shared" si="3"/>
        <v>1</v>
      </c>
      <c r="R112" s="30" t="str">
        <f t="shared" si="4"/>
        <v>P36.158</v>
      </c>
    </row>
    <row r="113" spans="1:18">
      <c r="A113" s="17"/>
      <c r="B113" s="17"/>
      <c r="C113" s="17"/>
      <c r="D113" s="10">
        <f t="shared" si="5"/>
        <v>9119</v>
      </c>
      <c r="E113" s="18" t="s">
        <v>34</v>
      </c>
      <c r="F113" s="19"/>
      <c r="G113" s="20" t="s">
        <v>23</v>
      </c>
      <c r="H113" s="20" t="s">
        <v>23</v>
      </c>
      <c r="I113" s="20" t="s">
        <v>35</v>
      </c>
      <c r="J113" s="10" t="s">
        <v>25</v>
      </c>
      <c r="K113" s="10" t="s">
        <v>26</v>
      </c>
      <c r="L113" s="10" t="s">
        <v>30</v>
      </c>
      <c r="M113" s="18" t="s">
        <v>28</v>
      </c>
      <c r="N113" s="10"/>
      <c r="O113" s="21"/>
      <c r="P113" s="21"/>
      <c r="Q113" s="29">
        <f t="shared" si="3"/>
        <v>1</v>
      </c>
      <c r="R113" s="30" t="str">
        <f t="shared" si="4"/>
        <v>P36.159</v>
      </c>
    </row>
    <row r="114" spans="1:18">
      <c r="A114" s="17"/>
      <c r="B114" s="17"/>
      <c r="C114" s="17"/>
      <c r="D114" s="10">
        <f t="shared" si="5"/>
        <v>9120</v>
      </c>
      <c r="E114" s="18" t="s">
        <v>34</v>
      </c>
      <c r="F114" s="19"/>
      <c r="G114" s="20" t="s">
        <v>23</v>
      </c>
      <c r="H114" s="20" t="s">
        <v>23</v>
      </c>
      <c r="I114" s="20" t="s">
        <v>35</v>
      </c>
      <c r="J114" s="10" t="s">
        <v>25</v>
      </c>
      <c r="K114" s="10" t="s">
        <v>26</v>
      </c>
      <c r="L114" s="10" t="s">
        <v>30</v>
      </c>
      <c r="M114" s="18" t="s">
        <v>28</v>
      </c>
      <c r="N114" s="10"/>
      <c r="O114" s="21"/>
      <c r="P114" s="21"/>
      <c r="Q114" s="29">
        <f t="shared" si="3"/>
        <v>1</v>
      </c>
      <c r="R114" s="30" t="str">
        <f t="shared" si="4"/>
        <v>P36.160</v>
      </c>
    </row>
    <row r="115" spans="1:18">
      <c r="A115" s="17"/>
      <c r="B115" s="17"/>
      <c r="C115" s="17"/>
      <c r="D115" s="10">
        <f t="shared" si="5"/>
        <v>9121</v>
      </c>
      <c r="E115" s="18" t="s">
        <v>34</v>
      </c>
      <c r="F115" s="19"/>
      <c r="G115" s="20" t="s">
        <v>23</v>
      </c>
      <c r="H115" s="20" t="s">
        <v>23</v>
      </c>
      <c r="I115" s="20" t="s">
        <v>35</v>
      </c>
      <c r="J115" s="10" t="s">
        <v>25</v>
      </c>
      <c r="K115" s="10" t="s">
        <v>26</v>
      </c>
      <c r="L115" s="10" t="s">
        <v>30</v>
      </c>
      <c r="M115" s="18" t="s">
        <v>28</v>
      </c>
      <c r="N115" s="10"/>
      <c r="O115" s="21"/>
      <c r="P115" s="21"/>
      <c r="Q115" s="29">
        <f t="shared" si="3"/>
        <v>1</v>
      </c>
      <c r="R115" s="30" t="str">
        <f t="shared" si="4"/>
        <v>P36.161</v>
      </c>
    </row>
    <row r="116" spans="1:18">
      <c r="A116" s="17"/>
      <c r="B116" s="17"/>
      <c r="C116" s="17"/>
      <c r="D116" s="10">
        <f t="shared" si="5"/>
        <v>9122</v>
      </c>
      <c r="E116" s="18" t="s">
        <v>34</v>
      </c>
      <c r="F116" s="19"/>
      <c r="G116" s="20" t="s">
        <v>23</v>
      </c>
      <c r="H116" s="20" t="s">
        <v>23</v>
      </c>
      <c r="I116" s="20" t="s">
        <v>35</v>
      </c>
      <c r="J116" s="10" t="s">
        <v>25</v>
      </c>
      <c r="K116" s="10" t="s">
        <v>26</v>
      </c>
      <c r="L116" s="10" t="s">
        <v>30</v>
      </c>
      <c r="M116" s="18" t="s">
        <v>28</v>
      </c>
      <c r="N116" s="10"/>
      <c r="O116" s="21"/>
      <c r="P116" s="21"/>
      <c r="Q116" s="29">
        <f t="shared" si="3"/>
        <v>1</v>
      </c>
      <c r="R116" s="30" t="str">
        <f t="shared" si="4"/>
        <v>P36.162</v>
      </c>
    </row>
    <row r="117" spans="1:18">
      <c r="A117" s="17"/>
      <c r="B117" s="17"/>
      <c r="C117" s="17"/>
      <c r="D117" s="10">
        <f t="shared" si="5"/>
        <v>9123</v>
      </c>
      <c r="E117" s="18" t="s">
        <v>34</v>
      </c>
      <c r="F117" s="19"/>
      <c r="G117" s="20" t="s">
        <v>23</v>
      </c>
      <c r="H117" s="20" t="s">
        <v>23</v>
      </c>
      <c r="I117" s="20" t="s">
        <v>35</v>
      </c>
      <c r="J117" s="10" t="s">
        <v>25</v>
      </c>
      <c r="K117" s="10" t="s">
        <v>26</v>
      </c>
      <c r="L117" s="10" t="s">
        <v>30</v>
      </c>
      <c r="M117" s="18" t="s">
        <v>28</v>
      </c>
      <c r="N117" s="10"/>
      <c r="O117" s="21"/>
      <c r="P117" s="21"/>
      <c r="Q117" s="29">
        <f t="shared" si="3"/>
        <v>1</v>
      </c>
      <c r="R117" s="30" t="str">
        <f t="shared" si="4"/>
        <v>P36.163</v>
      </c>
    </row>
    <row r="118" spans="1:18">
      <c r="A118" s="17"/>
      <c r="B118" s="17"/>
      <c r="C118" s="17"/>
      <c r="D118" s="10">
        <f t="shared" si="5"/>
        <v>9124</v>
      </c>
      <c r="E118" s="18" t="s">
        <v>34</v>
      </c>
      <c r="F118" s="19"/>
      <c r="G118" s="20" t="s">
        <v>23</v>
      </c>
      <c r="H118" s="20" t="s">
        <v>23</v>
      </c>
      <c r="I118" s="20" t="s">
        <v>35</v>
      </c>
      <c r="J118" s="10" t="s">
        <v>25</v>
      </c>
      <c r="K118" s="10" t="s">
        <v>26</v>
      </c>
      <c r="L118" s="10" t="s">
        <v>30</v>
      </c>
      <c r="M118" s="18" t="s">
        <v>28</v>
      </c>
      <c r="N118" s="10"/>
      <c r="O118" s="21"/>
      <c r="P118" s="21"/>
      <c r="Q118" s="29">
        <f t="shared" si="3"/>
        <v>1</v>
      </c>
      <c r="R118" s="30" t="str">
        <f t="shared" si="4"/>
        <v>P36.164</v>
      </c>
    </row>
    <row r="119" spans="1:18">
      <c r="A119" s="17"/>
      <c r="B119" s="17"/>
      <c r="C119" s="17"/>
      <c r="D119" s="10">
        <f t="shared" si="5"/>
        <v>9125</v>
      </c>
      <c r="E119" s="18" t="s">
        <v>34</v>
      </c>
      <c r="F119" s="19"/>
      <c r="G119" s="20" t="s">
        <v>23</v>
      </c>
      <c r="H119" s="20" t="s">
        <v>23</v>
      </c>
      <c r="I119" s="20" t="s">
        <v>35</v>
      </c>
      <c r="J119" s="10" t="s">
        <v>25</v>
      </c>
      <c r="K119" s="10" t="s">
        <v>26</v>
      </c>
      <c r="L119" s="10" t="s">
        <v>30</v>
      </c>
      <c r="M119" s="18" t="s">
        <v>28</v>
      </c>
      <c r="N119" s="10"/>
      <c r="O119" s="21"/>
      <c r="P119" s="21"/>
      <c r="Q119" s="29">
        <f t="shared" si="3"/>
        <v>1</v>
      </c>
      <c r="R119" s="30" t="str">
        <f t="shared" si="4"/>
        <v>P36.165</v>
      </c>
    </row>
    <row r="120" spans="1:18">
      <c r="A120" s="17"/>
      <c r="B120" s="17"/>
      <c r="C120" s="17"/>
      <c r="D120" s="10">
        <f t="shared" si="5"/>
        <v>9126</v>
      </c>
      <c r="E120" s="18" t="s">
        <v>34</v>
      </c>
      <c r="F120" s="19"/>
      <c r="G120" s="20" t="s">
        <v>23</v>
      </c>
      <c r="H120" s="20" t="s">
        <v>23</v>
      </c>
      <c r="I120" s="20" t="s">
        <v>35</v>
      </c>
      <c r="J120" s="10" t="s">
        <v>25</v>
      </c>
      <c r="K120" s="10" t="s">
        <v>26</v>
      </c>
      <c r="L120" s="10" t="s">
        <v>30</v>
      </c>
      <c r="M120" s="18" t="s">
        <v>28</v>
      </c>
      <c r="N120" s="10"/>
      <c r="O120" s="21"/>
      <c r="P120" s="21"/>
      <c r="Q120" s="29">
        <f t="shared" si="3"/>
        <v>1</v>
      </c>
      <c r="R120" s="30" t="str">
        <f t="shared" si="4"/>
        <v>P36.166</v>
      </c>
    </row>
    <row r="121" spans="1:18">
      <c r="A121" s="17"/>
      <c r="B121" s="17"/>
      <c r="C121" s="17"/>
      <c r="D121" s="10">
        <f t="shared" si="5"/>
        <v>9127</v>
      </c>
      <c r="E121" s="18" t="s">
        <v>34</v>
      </c>
      <c r="F121" s="19"/>
      <c r="G121" s="20" t="s">
        <v>23</v>
      </c>
      <c r="H121" s="20" t="s">
        <v>23</v>
      </c>
      <c r="I121" s="20" t="s">
        <v>35</v>
      </c>
      <c r="J121" s="10" t="s">
        <v>25</v>
      </c>
      <c r="K121" s="10" t="s">
        <v>26</v>
      </c>
      <c r="L121" s="10" t="s">
        <v>30</v>
      </c>
      <c r="M121" s="18" t="s">
        <v>28</v>
      </c>
      <c r="N121" s="10"/>
      <c r="O121" s="21"/>
      <c r="P121" s="21"/>
      <c r="Q121" s="29">
        <f t="shared" si="3"/>
        <v>1</v>
      </c>
      <c r="R121" s="30" t="str">
        <f t="shared" si="4"/>
        <v>P36.167</v>
      </c>
    </row>
    <row r="122" spans="1:18">
      <c r="A122" s="17"/>
      <c r="B122" s="17"/>
      <c r="C122" s="17"/>
      <c r="D122" s="10">
        <f t="shared" si="5"/>
        <v>9128</v>
      </c>
      <c r="E122" s="18" t="s">
        <v>34</v>
      </c>
      <c r="F122" s="19"/>
      <c r="G122" s="20" t="s">
        <v>23</v>
      </c>
      <c r="H122" s="20" t="s">
        <v>23</v>
      </c>
      <c r="I122" s="20" t="s">
        <v>35</v>
      </c>
      <c r="J122" s="10" t="s">
        <v>25</v>
      </c>
      <c r="K122" s="10" t="s">
        <v>26</v>
      </c>
      <c r="L122" s="10" t="s">
        <v>30</v>
      </c>
      <c r="M122" s="18" t="s">
        <v>28</v>
      </c>
      <c r="N122" s="10"/>
      <c r="O122" s="21"/>
      <c r="P122" s="21"/>
      <c r="Q122" s="29">
        <f t="shared" si="3"/>
        <v>1</v>
      </c>
      <c r="R122" s="30" t="str">
        <f t="shared" si="4"/>
        <v>P36.168</v>
      </c>
    </row>
    <row r="123" spans="1:18">
      <c r="A123" s="17"/>
      <c r="B123" s="17"/>
      <c r="C123" s="17"/>
      <c r="D123" s="10">
        <f t="shared" si="5"/>
        <v>9129</v>
      </c>
      <c r="E123" s="18" t="s">
        <v>34</v>
      </c>
      <c r="F123" s="19"/>
      <c r="G123" s="20" t="s">
        <v>23</v>
      </c>
      <c r="H123" s="20" t="s">
        <v>23</v>
      </c>
      <c r="I123" s="20" t="s">
        <v>35</v>
      </c>
      <c r="J123" s="10" t="s">
        <v>25</v>
      </c>
      <c r="K123" s="10" t="s">
        <v>26</v>
      </c>
      <c r="L123" s="10" t="s">
        <v>30</v>
      </c>
      <c r="M123" s="18" t="s">
        <v>28</v>
      </c>
      <c r="N123" s="10"/>
      <c r="O123" s="21"/>
      <c r="P123" s="21"/>
      <c r="Q123" s="29">
        <f t="shared" si="3"/>
        <v>1</v>
      </c>
      <c r="R123" s="30" t="str">
        <f t="shared" si="4"/>
        <v>P36.169</v>
      </c>
    </row>
    <row r="124" spans="1:18">
      <c r="A124" s="17"/>
      <c r="B124" s="17"/>
      <c r="C124" s="17"/>
      <c r="D124" s="10">
        <f t="shared" si="5"/>
        <v>9130</v>
      </c>
      <c r="E124" s="18" t="s">
        <v>34</v>
      </c>
      <c r="F124" s="19"/>
      <c r="G124" s="20" t="s">
        <v>23</v>
      </c>
      <c r="H124" s="20" t="s">
        <v>23</v>
      </c>
      <c r="I124" s="20" t="s">
        <v>35</v>
      </c>
      <c r="J124" s="10" t="s">
        <v>25</v>
      </c>
      <c r="K124" s="10" t="s">
        <v>26</v>
      </c>
      <c r="L124" s="10" t="s">
        <v>30</v>
      </c>
      <c r="M124" s="18" t="s">
        <v>28</v>
      </c>
      <c r="N124" s="10"/>
      <c r="O124" s="21"/>
      <c r="P124" s="21"/>
      <c r="Q124" s="29">
        <f t="shared" si="3"/>
        <v>1</v>
      </c>
      <c r="R124" s="30" t="str">
        <f t="shared" si="4"/>
        <v>P36.170</v>
      </c>
    </row>
    <row r="125" spans="1:18">
      <c r="A125" s="17"/>
      <c r="B125" s="17"/>
      <c r="C125" s="17"/>
      <c r="D125" s="10">
        <f t="shared" si="5"/>
        <v>9131</v>
      </c>
      <c r="E125" s="18" t="s">
        <v>34</v>
      </c>
      <c r="F125" s="19" t="s">
        <v>621</v>
      </c>
      <c r="G125" s="20" t="s">
        <v>23</v>
      </c>
      <c r="H125" s="20" t="s">
        <v>23</v>
      </c>
      <c r="I125" s="20" t="s">
        <v>39</v>
      </c>
      <c r="J125" s="10" t="s">
        <v>25</v>
      </c>
      <c r="K125" s="10" t="s">
        <v>62</v>
      </c>
      <c r="L125" s="10" t="s">
        <v>30</v>
      </c>
      <c r="M125" s="18" t="s">
        <v>28</v>
      </c>
      <c r="N125" s="21"/>
      <c r="O125" s="21" t="s">
        <v>622</v>
      </c>
      <c r="P125" s="21"/>
      <c r="Q125" s="29">
        <f t="shared" si="3"/>
        <v>1</v>
      </c>
      <c r="R125" s="30" t="str">
        <f t="shared" si="4"/>
        <v>P36.171</v>
      </c>
    </row>
    <row r="126" spans="1:18">
      <c r="A126" s="17"/>
      <c r="B126" s="17"/>
      <c r="C126" s="17"/>
      <c r="D126" s="10">
        <f t="shared" si="5"/>
        <v>9132</v>
      </c>
      <c r="E126" s="18" t="s">
        <v>34</v>
      </c>
      <c r="F126" s="19" t="s">
        <v>623</v>
      </c>
      <c r="G126" s="20" t="s">
        <v>39</v>
      </c>
      <c r="H126" s="20" t="s">
        <v>171</v>
      </c>
      <c r="I126" s="20" t="s">
        <v>35</v>
      </c>
      <c r="J126" s="10" t="s">
        <v>25</v>
      </c>
      <c r="K126" s="10" t="s">
        <v>62</v>
      </c>
      <c r="L126" s="10" t="s">
        <v>27</v>
      </c>
      <c r="M126" s="18" t="s">
        <v>28</v>
      </c>
      <c r="N126" s="21"/>
      <c r="O126" s="21" t="s">
        <v>624</v>
      </c>
      <c r="P126" s="21"/>
      <c r="Q126" s="29">
        <f t="shared" si="3"/>
        <v>1</v>
      </c>
      <c r="R126" s="30" t="str">
        <f t="shared" si="4"/>
        <v>P36.172</v>
      </c>
    </row>
    <row r="127" spans="1:18">
      <c r="A127" s="17"/>
      <c r="B127" s="17"/>
      <c r="C127" s="17"/>
      <c r="D127" s="10">
        <f t="shared" si="5"/>
        <v>9133</v>
      </c>
      <c r="E127" s="18" t="s">
        <v>91</v>
      </c>
      <c r="F127" s="19" t="s">
        <v>625</v>
      </c>
      <c r="G127" s="20" t="s">
        <v>23</v>
      </c>
      <c r="H127" s="20" t="s">
        <v>93</v>
      </c>
      <c r="I127" s="20" t="s">
        <v>94</v>
      </c>
      <c r="J127" s="10" t="s">
        <v>25</v>
      </c>
      <c r="K127" s="10" t="s">
        <v>62</v>
      </c>
      <c r="L127" s="10" t="s">
        <v>27</v>
      </c>
      <c r="M127" s="18" t="s">
        <v>28</v>
      </c>
      <c r="N127" s="21"/>
      <c r="O127" s="21" t="s">
        <v>626</v>
      </c>
      <c r="P127" s="21" t="s">
        <v>627</v>
      </c>
      <c r="Q127" s="29">
        <f t="shared" si="3"/>
        <v>1</v>
      </c>
      <c r="R127" s="30" t="str">
        <f t="shared" si="4"/>
        <v>P36.173</v>
      </c>
    </row>
    <row r="128" spans="1:18">
      <c r="A128" s="17"/>
      <c r="B128" s="17"/>
      <c r="C128" s="17"/>
      <c r="D128" s="10">
        <f t="shared" si="5"/>
        <v>9134</v>
      </c>
      <c r="E128" s="18" t="s">
        <v>91</v>
      </c>
      <c r="F128" s="19" t="s">
        <v>628</v>
      </c>
      <c r="G128" s="20" t="s">
        <v>629</v>
      </c>
      <c r="H128" s="20" t="s">
        <v>630</v>
      </c>
      <c r="I128" s="20" t="s">
        <v>631</v>
      </c>
      <c r="J128" s="10" t="s">
        <v>365</v>
      </c>
      <c r="K128" s="10" t="s">
        <v>62</v>
      </c>
      <c r="L128" s="10" t="s">
        <v>27</v>
      </c>
      <c r="M128" s="18" t="s">
        <v>28</v>
      </c>
      <c r="N128" s="21"/>
      <c r="O128" s="21" t="s">
        <v>632</v>
      </c>
      <c r="P128" s="21" t="s">
        <v>633</v>
      </c>
      <c r="Q128" s="29">
        <f t="shared" si="3"/>
        <v>1</v>
      </c>
      <c r="R128" s="30" t="str">
        <f t="shared" si="4"/>
        <v>P36.174</v>
      </c>
    </row>
    <row r="129" spans="1:18">
      <c r="A129" s="17"/>
      <c r="B129" s="17"/>
      <c r="C129" s="17"/>
      <c r="D129" s="10">
        <f t="shared" si="5"/>
        <v>9135</v>
      </c>
      <c r="E129" s="18" t="s">
        <v>91</v>
      </c>
      <c r="F129" s="19" t="s">
        <v>634</v>
      </c>
      <c r="G129" s="20" t="s">
        <v>88</v>
      </c>
      <c r="H129" s="20" t="s">
        <v>93</v>
      </c>
      <c r="I129" s="20" t="s">
        <v>94</v>
      </c>
      <c r="J129" s="10" t="s">
        <v>365</v>
      </c>
      <c r="K129" s="10" t="s">
        <v>62</v>
      </c>
      <c r="L129" s="10" t="s">
        <v>27</v>
      </c>
      <c r="M129" s="18" t="s">
        <v>28</v>
      </c>
      <c r="N129" s="21"/>
      <c r="O129" s="21" t="s">
        <v>635</v>
      </c>
      <c r="P129" s="21"/>
      <c r="Q129" s="29">
        <f t="shared" si="3"/>
        <v>1</v>
      </c>
      <c r="R129" s="30" t="str">
        <f t="shared" si="4"/>
        <v>P36.175</v>
      </c>
    </row>
    <row r="130" spans="1:18">
      <c r="A130" s="17"/>
      <c r="B130" s="17"/>
      <c r="C130" s="17"/>
      <c r="D130" s="10">
        <f t="shared" si="5"/>
        <v>9136</v>
      </c>
      <c r="E130" s="18" t="s">
        <v>91</v>
      </c>
      <c r="F130" s="19" t="s">
        <v>636</v>
      </c>
      <c r="G130" s="20" t="s">
        <v>23</v>
      </c>
      <c r="H130" s="20" t="s">
        <v>93</v>
      </c>
      <c r="I130" s="20" t="s">
        <v>94</v>
      </c>
      <c r="J130" s="10" t="s">
        <v>365</v>
      </c>
      <c r="K130" s="10" t="s">
        <v>62</v>
      </c>
      <c r="L130" s="10" t="s">
        <v>27</v>
      </c>
      <c r="M130" s="18" t="s">
        <v>28</v>
      </c>
      <c r="N130" s="21"/>
      <c r="O130" s="21" t="s">
        <v>637</v>
      </c>
      <c r="P130" s="21"/>
      <c r="Q130" s="29">
        <f t="shared" si="3"/>
        <v>1</v>
      </c>
      <c r="R130" s="30" t="str">
        <f t="shared" si="4"/>
        <v>P36.176</v>
      </c>
    </row>
    <row r="131" spans="1:18">
      <c r="A131" s="17"/>
      <c r="B131" s="17"/>
      <c r="C131" s="17"/>
      <c r="D131" s="10">
        <f t="shared" si="5"/>
        <v>9137</v>
      </c>
      <c r="E131" s="18" t="s">
        <v>34</v>
      </c>
      <c r="F131" s="19"/>
      <c r="G131" s="20" t="s">
        <v>23</v>
      </c>
      <c r="H131" s="20" t="s">
        <v>23</v>
      </c>
      <c r="I131" s="20" t="s">
        <v>35</v>
      </c>
      <c r="J131" s="10" t="s">
        <v>25</v>
      </c>
      <c r="K131" s="10" t="s">
        <v>26</v>
      </c>
      <c r="L131" s="10" t="s">
        <v>30</v>
      </c>
      <c r="M131" s="18" t="s">
        <v>28</v>
      </c>
      <c r="N131" s="21"/>
      <c r="O131" s="21"/>
      <c r="P131" s="21"/>
      <c r="Q131" s="29">
        <f t="shared" si="3"/>
        <v>1</v>
      </c>
      <c r="R131" s="30" t="str">
        <f t="shared" si="4"/>
        <v>P36.177</v>
      </c>
    </row>
    <row r="132" spans="1:18">
      <c r="A132" s="17"/>
      <c r="B132" s="17"/>
      <c r="C132" s="17"/>
      <c r="D132" s="10">
        <f t="shared" si="5"/>
        <v>9138</v>
      </c>
      <c r="E132" s="18" t="s">
        <v>34</v>
      </c>
      <c r="F132" s="19" t="s">
        <v>638</v>
      </c>
      <c r="G132" s="20" t="s">
        <v>23</v>
      </c>
      <c r="H132" s="20" t="s">
        <v>23</v>
      </c>
      <c r="I132" s="20" t="s">
        <v>45</v>
      </c>
      <c r="J132" s="10" t="s">
        <v>25</v>
      </c>
      <c r="K132" s="10" t="s">
        <v>62</v>
      </c>
      <c r="L132" s="10" t="s">
        <v>30</v>
      </c>
      <c r="M132" s="18" t="s">
        <v>28</v>
      </c>
      <c r="N132" s="21"/>
      <c r="O132" s="21" t="s">
        <v>639</v>
      </c>
      <c r="P132" s="21" t="s">
        <v>640</v>
      </c>
      <c r="Q132" s="29">
        <f t="shared" si="3"/>
        <v>1</v>
      </c>
      <c r="R132" s="30" t="str">
        <f t="shared" si="4"/>
        <v>P36.178</v>
      </c>
    </row>
    <row r="133" ht="39.6" spans="1:18">
      <c r="A133" s="17"/>
      <c r="B133" s="17"/>
      <c r="C133" s="17"/>
      <c r="D133" s="10">
        <f t="shared" si="5"/>
        <v>9139</v>
      </c>
      <c r="E133" s="18" t="s">
        <v>34</v>
      </c>
      <c r="F133" s="19" t="s">
        <v>641</v>
      </c>
      <c r="G133" s="20" t="s">
        <v>23</v>
      </c>
      <c r="H133" s="20" t="s">
        <v>23</v>
      </c>
      <c r="I133" s="20" t="s">
        <v>35</v>
      </c>
      <c r="J133" s="10" t="s">
        <v>25</v>
      </c>
      <c r="K133" s="10" t="s">
        <v>26</v>
      </c>
      <c r="L133" s="10" t="s">
        <v>30</v>
      </c>
      <c r="M133" s="18" t="s">
        <v>28</v>
      </c>
      <c r="N133" s="21"/>
      <c r="O133" s="21" t="s">
        <v>642</v>
      </c>
      <c r="P133" s="24" t="s">
        <v>643</v>
      </c>
      <c r="Q133" s="29">
        <f t="shared" si="3"/>
        <v>1</v>
      </c>
      <c r="R133" s="30" t="str">
        <f t="shared" si="4"/>
        <v>P36.179</v>
      </c>
    </row>
    <row r="134" spans="1:18">
      <c r="A134" s="17"/>
      <c r="B134" s="17"/>
      <c r="C134" s="17"/>
      <c r="D134" s="10">
        <f t="shared" si="5"/>
        <v>9140</v>
      </c>
      <c r="E134" s="18" t="s">
        <v>34</v>
      </c>
      <c r="F134" s="19" t="s">
        <v>644</v>
      </c>
      <c r="G134" s="20" t="s">
        <v>23</v>
      </c>
      <c r="H134" s="20" t="s">
        <v>23</v>
      </c>
      <c r="I134" s="20" t="s">
        <v>35</v>
      </c>
      <c r="J134" s="10" t="s">
        <v>25</v>
      </c>
      <c r="K134" s="10" t="s">
        <v>26</v>
      </c>
      <c r="L134" s="10" t="s">
        <v>30</v>
      </c>
      <c r="M134" s="18" t="s">
        <v>28</v>
      </c>
      <c r="N134" s="21"/>
      <c r="O134" s="24" t="s">
        <v>645</v>
      </c>
      <c r="P134" s="24"/>
      <c r="Q134" s="29">
        <f t="shared" si="3"/>
        <v>1</v>
      </c>
      <c r="R134" s="30" t="str">
        <f t="shared" si="4"/>
        <v>P36.180</v>
      </c>
    </row>
    <row r="135" spans="1:18">
      <c r="A135" s="17"/>
      <c r="B135" s="17"/>
      <c r="C135" s="17"/>
      <c r="D135" s="10">
        <f t="shared" si="5"/>
        <v>9141</v>
      </c>
      <c r="E135" s="18" t="s">
        <v>20</v>
      </c>
      <c r="F135" s="19" t="s">
        <v>646</v>
      </c>
      <c r="G135" s="20" t="s">
        <v>23</v>
      </c>
      <c r="H135" s="20" t="s">
        <v>23</v>
      </c>
      <c r="I135" s="20" t="s">
        <v>24</v>
      </c>
      <c r="J135" s="10" t="s">
        <v>25</v>
      </c>
      <c r="K135" s="10" t="s">
        <v>26</v>
      </c>
      <c r="L135" s="10" t="s">
        <v>30</v>
      </c>
      <c r="M135" s="18" t="s">
        <v>28</v>
      </c>
      <c r="N135" s="21"/>
      <c r="O135" s="24" t="s">
        <v>647</v>
      </c>
      <c r="P135" s="24"/>
      <c r="Q135" s="29">
        <f t="shared" si="3"/>
        <v>1</v>
      </c>
      <c r="R135" s="30" t="str">
        <f t="shared" si="4"/>
        <v>P36.181</v>
      </c>
    </row>
    <row r="136" spans="1:18">
      <c r="A136" s="17"/>
      <c r="B136" s="17"/>
      <c r="C136" s="17"/>
      <c r="D136" s="10">
        <f t="shared" si="5"/>
        <v>9143</v>
      </c>
      <c r="E136" s="18" t="s">
        <v>20</v>
      </c>
      <c r="F136" s="19" t="s">
        <v>648</v>
      </c>
      <c r="G136" s="20" t="s">
        <v>23</v>
      </c>
      <c r="H136" s="20" t="s">
        <v>23</v>
      </c>
      <c r="I136" s="20" t="s">
        <v>24</v>
      </c>
      <c r="J136" s="10" t="s">
        <v>25</v>
      </c>
      <c r="K136" s="10" t="s">
        <v>26</v>
      </c>
      <c r="L136" s="10" t="s">
        <v>30</v>
      </c>
      <c r="M136" s="18" t="s">
        <v>28</v>
      </c>
      <c r="N136" s="21"/>
      <c r="O136" s="24" t="s">
        <v>649</v>
      </c>
      <c r="P136" s="24"/>
      <c r="Q136" s="29">
        <f t="shared" ref="Q136:Q199" si="6">IF(OR(F136="",LEFT(TRIM(F136),3)=E136),1,0)</f>
        <v>1</v>
      </c>
      <c r="R136" s="30" t="str">
        <f t="shared" ref="R136:R199" si="7">"P"&amp;TEXT(ROUND(D136/256,0),"00")&amp;"."&amp;TEXT(MOD(D136,256),"000")</f>
        <v>P36.183</v>
      </c>
    </row>
    <row r="137" ht="132" spans="1:18">
      <c r="A137" s="17"/>
      <c r="B137" s="17"/>
      <c r="C137" s="17"/>
      <c r="D137" s="10">
        <f t="shared" ref="D137:D200" si="8">INDEX(D:D,ROW()-1)+_xlfn.IFS(INDEX(E:E,ROW()-1)="u16",1,INDEX(E:E,ROW()-1)="s16",1,INDEX(E:E,ROW()-1)="s32",2,INDEX(E:E,ROW()-1)="s64",4,INDEX(E:E,ROW()-1)="u16",1,INDEX(E:E,ROW()-1)="u32",2,INDEX(E:E,ROW()-1)="u64",4,INDEX(E:E,ROW()-1)="f32",2,INDEX(E:E,ROW()-1)="f64",4)</f>
        <v>9145</v>
      </c>
      <c r="E137" s="18" t="s">
        <v>34</v>
      </c>
      <c r="F137" s="19" t="s">
        <v>650</v>
      </c>
      <c r="G137" s="20" t="s">
        <v>23</v>
      </c>
      <c r="H137" s="20" t="s">
        <v>23</v>
      </c>
      <c r="I137" s="20" t="s">
        <v>35</v>
      </c>
      <c r="J137" s="10" t="s">
        <v>25</v>
      </c>
      <c r="K137" s="10" t="s">
        <v>26</v>
      </c>
      <c r="L137" s="10" t="s">
        <v>30</v>
      </c>
      <c r="M137" s="18" t="s">
        <v>28</v>
      </c>
      <c r="N137" s="21"/>
      <c r="O137" s="24" t="s">
        <v>651</v>
      </c>
      <c r="P137" s="24" t="s">
        <v>652</v>
      </c>
      <c r="Q137" s="29">
        <f t="shared" si="6"/>
        <v>1</v>
      </c>
      <c r="R137" s="30" t="str">
        <f t="shared" si="7"/>
        <v>P36.185</v>
      </c>
    </row>
    <row r="138" spans="1:18">
      <c r="A138" s="17"/>
      <c r="B138" s="17"/>
      <c r="C138" s="17"/>
      <c r="D138" s="10">
        <f t="shared" si="8"/>
        <v>9146</v>
      </c>
      <c r="E138" s="18" t="s">
        <v>34</v>
      </c>
      <c r="F138" s="19" t="s">
        <v>653</v>
      </c>
      <c r="G138" s="20" t="s">
        <v>23</v>
      </c>
      <c r="H138" s="20" t="s">
        <v>23</v>
      </c>
      <c r="I138" s="20" t="s">
        <v>35</v>
      </c>
      <c r="J138" s="10" t="s">
        <v>25</v>
      </c>
      <c r="K138" s="10" t="s">
        <v>26</v>
      </c>
      <c r="L138" s="10" t="s">
        <v>30</v>
      </c>
      <c r="M138" s="18" t="s">
        <v>28</v>
      </c>
      <c r="N138" s="21"/>
      <c r="O138" s="24" t="s">
        <v>654</v>
      </c>
      <c r="P138" s="24"/>
      <c r="Q138" s="29">
        <f t="shared" si="6"/>
        <v>1</v>
      </c>
      <c r="R138" s="30" t="str">
        <f t="shared" si="7"/>
        <v>P36.186</v>
      </c>
    </row>
    <row r="139" spans="1:18">
      <c r="A139" s="17"/>
      <c r="B139" s="17"/>
      <c r="C139" s="17"/>
      <c r="D139" s="10">
        <f t="shared" si="8"/>
        <v>9147</v>
      </c>
      <c r="E139" s="18" t="s">
        <v>34</v>
      </c>
      <c r="F139" s="19"/>
      <c r="G139" s="20" t="s">
        <v>23</v>
      </c>
      <c r="H139" s="20" t="s">
        <v>23</v>
      </c>
      <c r="I139" s="20" t="s">
        <v>35</v>
      </c>
      <c r="J139" s="10" t="s">
        <v>25</v>
      </c>
      <c r="K139" s="10" t="s">
        <v>26</v>
      </c>
      <c r="L139" s="10" t="s">
        <v>30</v>
      </c>
      <c r="M139" s="18" t="s">
        <v>28</v>
      </c>
      <c r="N139" s="10"/>
      <c r="O139" s="24"/>
      <c r="P139" s="21"/>
      <c r="Q139" s="29">
        <f t="shared" si="6"/>
        <v>1</v>
      </c>
      <c r="R139" s="30" t="str">
        <f t="shared" si="7"/>
        <v>P36.187</v>
      </c>
    </row>
    <row r="140" spans="1:18">
      <c r="A140" s="17"/>
      <c r="B140" s="17"/>
      <c r="C140" s="17"/>
      <c r="D140" s="10">
        <f t="shared" si="8"/>
        <v>9148</v>
      </c>
      <c r="E140" s="18" t="s">
        <v>34</v>
      </c>
      <c r="F140" s="19" t="s">
        <v>655</v>
      </c>
      <c r="G140" s="20" t="s">
        <v>23</v>
      </c>
      <c r="H140" s="20" t="s">
        <v>23</v>
      </c>
      <c r="I140" s="20" t="s">
        <v>39</v>
      </c>
      <c r="J140" s="10" t="s">
        <v>25</v>
      </c>
      <c r="K140" s="10" t="s">
        <v>62</v>
      </c>
      <c r="L140" s="10" t="s">
        <v>30</v>
      </c>
      <c r="M140" s="18" t="s">
        <v>28</v>
      </c>
      <c r="N140" s="10"/>
      <c r="O140" s="24" t="s">
        <v>656</v>
      </c>
      <c r="P140" s="21" t="s">
        <v>640</v>
      </c>
      <c r="Q140" s="29">
        <f t="shared" si="6"/>
        <v>1</v>
      </c>
      <c r="R140" s="30" t="str">
        <f t="shared" si="7"/>
        <v>P36.188</v>
      </c>
    </row>
    <row r="141" spans="1:18">
      <c r="A141" s="17"/>
      <c r="B141" s="17"/>
      <c r="C141" s="17"/>
      <c r="D141" s="10">
        <f t="shared" si="8"/>
        <v>9149</v>
      </c>
      <c r="E141" s="18" t="s">
        <v>34</v>
      </c>
      <c r="F141" s="19" t="s">
        <v>657</v>
      </c>
      <c r="G141" s="20" t="s">
        <v>23</v>
      </c>
      <c r="H141" s="20" t="s">
        <v>23</v>
      </c>
      <c r="I141" s="20" t="s">
        <v>35</v>
      </c>
      <c r="J141" s="10" t="s">
        <v>458</v>
      </c>
      <c r="K141" s="10" t="s">
        <v>26</v>
      </c>
      <c r="L141" s="10" t="s">
        <v>30</v>
      </c>
      <c r="M141" s="18" t="s">
        <v>28</v>
      </c>
      <c r="N141" s="10"/>
      <c r="O141" s="24" t="s">
        <v>658</v>
      </c>
      <c r="P141" s="21"/>
      <c r="Q141" s="29">
        <f t="shared" si="6"/>
        <v>1</v>
      </c>
      <c r="R141" s="30" t="str">
        <f t="shared" si="7"/>
        <v>P36.189</v>
      </c>
    </row>
    <row r="142" spans="1:18">
      <c r="A142" s="17"/>
      <c r="B142" s="17"/>
      <c r="C142" s="17"/>
      <c r="D142" s="10">
        <f t="shared" si="8"/>
        <v>9150</v>
      </c>
      <c r="E142" s="18" t="s">
        <v>34</v>
      </c>
      <c r="F142" s="19" t="s">
        <v>659</v>
      </c>
      <c r="G142" s="20" t="s">
        <v>23</v>
      </c>
      <c r="H142" s="20" t="s">
        <v>23</v>
      </c>
      <c r="I142" s="20" t="s">
        <v>35</v>
      </c>
      <c r="J142" s="10" t="s">
        <v>461</v>
      </c>
      <c r="K142" s="10" t="s">
        <v>26</v>
      </c>
      <c r="L142" s="10" t="s">
        <v>30</v>
      </c>
      <c r="M142" s="18" t="s">
        <v>28</v>
      </c>
      <c r="N142" s="10"/>
      <c r="O142" s="24" t="s">
        <v>660</v>
      </c>
      <c r="P142" s="21"/>
      <c r="Q142" s="29">
        <f t="shared" si="6"/>
        <v>1</v>
      </c>
      <c r="R142" s="30" t="str">
        <f t="shared" si="7"/>
        <v>P36.190</v>
      </c>
    </row>
    <row r="143" spans="1:18">
      <c r="A143" s="17"/>
      <c r="B143" s="17"/>
      <c r="C143" s="17"/>
      <c r="D143" s="10">
        <f t="shared" si="8"/>
        <v>9151</v>
      </c>
      <c r="E143" s="18" t="s">
        <v>34</v>
      </c>
      <c r="F143" s="19" t="s">
        <v>661</v>
      </c>
      <c r="G143" s="20" t="s">
        <v>23</v>
      </c>
      <c r="H143" s="20" t="s">
        <v>23</v>
      </c>
      <c r="I143" s="20" t="s">
        <v>35</v>
      </c>
      <c r="J143" s="10" t="s">
        <v>461</v>
      </c>
      <c r="K143" s="10" t="s">
        <v>26</v>
      </c>
      <c r="L143" s="10" t="s">
        <v>30</v>
      </c>
      <c r="M143" s="18" t="s">
        <v>28</v>
      </c>
      <c r="N143" s="10"/>
      <c r="O143" s="24" t="s">
        <v>662</v>
      </c>
      <c r="P143" s="21"/>
      <c r="Q143" s="29">
        <f t="shared" si="6"/>
        <v>1</v>
      </c>
      <c r="R143" s="30" t="str">
        <f t="shared" si="7"/>
        <v>P36.191</v>
      </c>
    </row>
    <row r="144" spans="1:18">
      <c r="A144" s="17"/>
      <c r="B144" s="17"/>
      <c r="C144" s="17"/>
      <c r="D144" s="10">
        <f t="shared" si="8"/>
        <v>9152</v>
      </c>
      <c r="E144" s="18" t="s">
        <v>34</v>
      </c>
      <c r="F144" s="19" t="s">
        <v>663</v>
      </c>
      <c r="G144" s="20" t="s">
        <v>23</v>
      </c>
      <c r="H144" s="20" t="s">
        <v>23</v>
      </c>
      <c r="I144" s="20" t="s">
        <v>35</v>
      </c>
      <c r="J144" s="10" t="s">
        <v>664</v>
      </c>
      <c r="K144" s="10" t="s">
        <v>26</v>
      </c>
      <c r="L144" s="10" t="s">
        <v>30</v>
      </c>
      <c r="M144" s="18" t="s">
        <v>28</v>
      </c>
      <c r="N144" s="10"/>
      <c r="O144" s="24" t="s">
        <v>665</v>
      </c>
      <c r="P144" s="21"/>
      <c r="Q144" s="29">
        <f t="shared" si="6"/>
        <v>1</v>
      </c>
      <c r="R144" s="30" t="str">
        <f t="shared" si="7"/>
        <v>P36.192</v>
      </c>
    </row>
    <row r="145" spans="1:18">
      <c r="A145" s="17"/>
      <c r="B145" s="17"/>
      <c r="C145" s="17"/>
      <c r="D145" s="10">
        <f t="shared" si="8"/>
        <v>9153</v>
      </c>
      <c r="E145" s="18" t="s">
        <v>34</v>
      </c>
      <c r="F145" s="19"/>
      <c r="G145" s="20" t="s">
        <v>23</v>
      </c>
      <c r="H145" s="20" t="s">
        <v>23</v>
      </c>
      <c r="I145" s="20" t="s">
        <v>35</v>
      </c>
      <c r="J145" s="10" t="s">
        <v>25</v>
      </c>
      <c r="K145" s="10" t="s">
        <v>26</v>
      </c>
      <c r="L145" s="10" t="s">
        <v>30</v>
      </c>
      <c r="M145" s="18" t="s">
        <v>28</v>
      </c>
      <c r="N145" s="10"/>
      <c r="O145" s="24"/>
      <c r="P145" s="21"/>
      <c r="Q145" s="29">
        <f t="shared" si="6"/>
        <v>1</v>
      </c>
      <c r="R145" s="30" t="str">
        <f t="shared" si="7"/>
        <v>P36.193</v>
      </c>
    </row>
    <row r="146" spans="1:18">
      <c r="A146" s="17"/>
      <c r="B146" s="17"/>
      <c r="C146" s="17"/>
      <c r="D146" s="10">
        <f t="shared" si="8"/>
        <v>9154</v>
      </c>
      <c r="E146" s="18" t="s">
        <v>34</v>
      </c>
      <c r="F146" s="19" t="s">
        <v>666</v>
      </c>
      <c r="G146" s="20" t="s">
        <v>23</v>
      </c>
      <c r="H146" s="20" t="s">
        <v>23</v>
      </c>
      <c r="I146" s="20" t="s">
        <v>39</v>
      </c>
      <c r="J146" s="10" t="s">
        <v>25</v>
      </c>
      <c r="K146" s="10" t="s">
        <v>62</v>
      </c>
      <c r="L146" s="10" t="s">
        <v>30</v>
      </c>
      <c r="M146" s="18" t="s">
        <v>28</v>
      </c>
      <c r="N146" s="10"/>
      <c r="O146" s="24" t="s">
        <v>667</v>
      </c>
      <c r="P146" s="21" t="s">
        <v>640</v>
      </c>
      <c r="Q146" s="29">
        <f t="shared" si="6"/>
        <v>1</v>
      </c>
      <c r="R146" s="30" t="str">
        <f t="shared" si="7"/>
        <v>P36.194</v>
      </c>
    </row>
    <row r="147" spans="1:18">
      <c r="A147" s="17"/>
      <c r="B147" s="17"/>
      <c r="C147" s="17"/>
      <c r="D147" s="10">
        <f t="shared" si="8"/>
        <v>9155</v>
      </c>
      <c r="E147" s="18" t="s">
        <v>20</v>
      </c>
      <c r="F147" s="19" t="s">
        <v>668</v>
      </c>
      <c r="G147" s="20" t="s">
        <v>23</v>
      </c>
      <c r="H147" s="20" t="s">
        <v>23</v>
      </c>
      <c r="I147" s="20" t="s">
        <v>24</v>
      </c>
      <c r="J147" s="10" t="s">
        <v>669</v>
      </c>
      <c r="K147" s="10" t="s">
        <v>26</v>
      </c>
      <c r="L147" s="10" t="s">
        <v>30</v>
      </c>
      <c r="M147" s="18" t="s">
        <v>28</v>
      </c>
      <c r="N147" s="10"/>
      <c r="O147" s="24" t="s">
        <v>670</v>
      </c>
      <c r="P147" s="21"/>
      <c r="Q147" s="29">
        <f t="shared" si="6"/>
        <v>1</v>
      </c>
      <c r="R147" s="30" t="str">
        <f t="shared" si="7"/>
        <v>P36.195</v>
      </c>
    </row>
    <row r="148" spans="1:18">
      <c r="A148" s="17"/>
      <c r="B148" s="17"/>
      <c r="C148" s="17"/>
      <c r="D148" s="10">
        <f t="shared" si="8"/>
        <v>9157</v>
      </c>
      <c r="E148" s="18" t="s">
        <v>34</v>
      </c>
      <c r="F148" s="19"/>
      <c r="G148" s="20" t="s">
        <v>23</v>
      </c>
      <c r="H148" s="20" t="s">
        <v>23</v>
      </c>
      <c r="I148" s="20" t="s">
        <v>35</v>
      </c>
      <c r="J148" s="10" t="s">
        <v>25</v>
      </c>
      <c r="K148" s="10" t="s">
        <v>26</v>
      </c>
      <c r="L148" s="10" t="s">
        <v>30</v>
      </c>
      <c r="M148" s="18" t="s">
        <v>28</v>
      </c>
      <c r="N148" s="10"/>
      <c r="O148" s="24"/>
      <c r="P148" s="21"/>
      <c r="Q148" s="29">
        <f t="shared" si="6"/>
        <v>1</v>
      </c>
      <c r="R148" s="30" t="str">
        <f t="shared" si="7"/>
        <v>P36.197</v>
      </c>
    </row>
    <row r="149" spans="1:18">
      <c r="A149" s="17"/>
      <c r="B149" s="17"/>
      <c r="C149" s="17"/>
      <c r="D149" s="10">
        <f t="shared" si="8"/>
        <v>9158</v>
      </c>
      <c r="E149" s="18" t="s">
        <v>34</v>
      </c>
      <c r="F149" s="19"/>
      <c r="G149" s="20" t="s">
        <v>23</v>
      </c>
      <c r="H149" s="20" t="s">
        <v>23</v>
      </c>
      <c r="I149" s="20" t="s">
        <v>35</v>
      </c>
      <c r="J149" s="10" t="s">
        <v>25</v>
      </c>
      <c r="K149" s="10" t="s">
        <v>26</v>
      </c>
      <c r="L149" s="10" t="s">
        <v>30</v>
      </c>
      <c r="M149" s="18" t="s">
        <v>28</v>
      </c>
      <c r="N149" s="10"/>
      <c r="O149" s="21"/>
      <c r="P149" s="21"/>
      <c r="Q149" s="29">
        <f t="shared" si="6"/>
        <v>1</v>
      </c>
      <c r="R149" s="30" t="str">
        <f t="shared" si="7"/>
        <v>P36.198</v>
      </c>
    </row>
    <row r="150" ht="39.6" spans="1:18">
      <c r="A150" s="17"/>
      <c r="B150" s="17"/>
      <c r="C150" s="17"/>
      <c r="D150" s="10">
        <f t="shared" si="8"/>
        <v>9159</v>
      </c>
      <c r="E150" s="18" t="s">
        <v>34</v>
      </c>
      <c r="F150" s="19" t="s">
        <v>671</v>
      </c>
      <c r="G150" s="20" t="s">
        <v>23</v>
      </c>
      <c r="H150" s="20" t="s">
        <v>23</v>
      </c>
      <c r="I150" s="20" t="s">
        <v>42</v>
      </c>
      <c r="J150" s="10" t="s">
        <v>25</v>
      </c>
      <c r="K150" s="10" t="s">
        <v>62</v>
      </c>
      <c r="L150" s="10" t="s">
        <v>30</v>
      </c>
      <c r="M150" s="18" t="s">
        <v>28</v>
      </c>
      <c r="N150" s="10"/>
      <c r="O150" s="21" t="s">
        <v>672</v>
      </c>
      <c r="P150" s="24" t="s">
        <v>673</v>
      </c>
      <c r="Q150" s="29">
        <f t="shared" si="6"/>
        <v>0</v>
      </c>
      <c r="R150" s="30" t="str">
        <f t="shared" si="7"/>
        <v>P36.199</v>
      </c>
    </row>
    <row r="151" spans="1:18">
      <c r="A151" s="17"/>
      <c r="B151" s="17"/>
      <c r="C151" s="17"/>
      <c r="D151" s="10">
        <f t="shared" si="8"/>
        <v>9160</v>
      </c>
      <c r="E151" s="18" t="s">
        <v>383</v>
      </c>
      <c r="F151" s="19" t="s">
        <v>674</v>
      </c>
      <c r="G151" s="20" t="s">
        <v>675</v>
      </c>
      <c r="H151" s="20" t="s">
        <v>385</v>
      </c>
      <c r="I151" s="20" t="s">
        <v>386</v>
      </c>
      <c r="J151" s="10" t="s">
        <v>25</v>
      </c>
      <c r="K151" s="10" t="s">
        <v>62</v>
      </c>
      <c r="L151" s="10" t="s">
        <v>30</v>
      </c>
      <c r="M151" s="18" t="s">
        <v>28</v>
      </c>
      <c r="N151" s="10"/>
      <c r="O151" s="21" t="s">
        <v>676</v>
      </c>
      <c r="P151" s="21"/>
      <c r="Q151" s="29">
        <f t="shared" si="6"/>
        <v>1</v>
      </c>
      <c r="R151" s="30" t="str">
        <f t="shared" si="7"/>
        <v>P36.200</v>
      </c>
    </row>
    <row r="152" spans="1:18">
      <c r="A152" s="17"/>
      <c r="B152" s="17"/>
      <c r="C152" s="17"/>
      <c r="D152" s="10">
        <f t="shared" si="8"/>
        <v>9164</v>
      </c>
      <c r="E152" s="18" t="s">
        <v>34</v>
      </c>
      <c r="F152" s="19"/>
      <c r="G152" s="20" t="s">
        <v>23</v>
      </c>
      <c r="H152" s="20" t="s">
        <v>23</v>
      </c>
      <c r="I152" s="20" t="s">
        <v>35</v>
      </c>
      <c r="J152" s="10" t="s">
        <v>25</v>
      </c>
      <c r="K152" s="10" t="s">
        <v>26</v>
      </c>
      <c r="L152" s="10" t="s">
        <v>30</v>
      </c>
      <c r="M152" s="18" t="s">
        <v>28</v>
      </c>
      <c r="N152" s="10"/>
      <c r="O152" s="21"/>
      <c r="P152" s="21"/>
      <c r="Q152" s="29">
        <f t="shared" si="6"/>
        <v>1</v>
      </c>
      <c r="R152" s="30" t="str">
        <f t="shared" si="7"/>
        <v>P36.204</v>
      </c>
    </row>
    <row r="153" spans="1:18">
      <c r="A153" s="17"/>
      <c r="B153" s="17"/>
      <c r="C153" s="17"/>
      <c r="D153" s="10">
        <f t="shared" si="8"/>
        <v>9165</v>
      </c>
      <c r="E153" s="18" t="s">
        <v>34</v>
      </c>
      <c r="F153" s="19"/>
      <c r="G153" s="20" t="s">
        <v>23</v>
      </c>
      <c r="H153" s="20" t="s">
        <v>23</v>
      </c>
      <c r="I153" s="20" t="s">
        <v>35</v>
      </c>
      <c r="J153" s="10" t="s">
        <v>25</v>
      </c>
      <c r="K153" s="10" t="s">
        <v>26</v>
      </c>
      <c r="L153" s="10" t="s">
        <v>30</v>
      </c>
      <c r="M153" s="18" t="s">
        <v>28</v>
      </c>
      <c r="N153" s="10"/>
      <c r="O153" s="21"/>
      <c r="P153" s="21"/>
      <c r="Q153" s="29">
        <f t="shared" si="6"/>
        <v>1</v>
      </c>
      <c r="R153" s="30" t="str">
        <f t="shared" si="7"/>
        <v>P36.205</v>
      </c>
    </row>
    <row r="154" spans="1:18">
      <c r="A154" s="17"/>
      <c r="B154" s="17"/>
      <c r="C154" s="17"/>
      <c r="D154" s="10">
        <f t="shared" si="8"/>
        <v>9166</v>
      </c>
      <c r="E154" s="18" t="s">
        <v>34</v>
      </c>
      <c r="F154" s="19"/>
      <c r="G154" s="20" t="s">
        <v>23</v>
      </c>
      <c r="H154" s="20" t="s">
        <v>23</v>
      </c>
      <c r="I154" s="20" t="s">
        <v>35</v>
      </c>
      <c r="J154" s="10" t="s">
        <v>25</v>
      </c>
      <c r="K154" s="10" t="s">
        <v>26</v>
      </c>
      <c r="L154" s="10" t="s">
        <v>30</v>
      </c>
      <c r="M154" s="18" t="s">
        <v>28</v>
      </c>
      <c r="N154" s="10"/>
      <c r="O154" s="21"/>
      <c r="P154" s="21"/>
      <c r="Q154" s="29">
        <f t="shared" si="6"/>
        <v>1</v>
      </c>
      <c r="R154" s="30" t="str">
        <f t="shared" si="7"/>
        <v>P36.206</v>
      </c>
    </row>
    <row r="155" spans="1:18">
      <c r="A155" s="17"/>
      <c r="B155" s="17"/>
      <c r="C155" s="17"/>
      <c r="D155" s="10">
        <f t="shared" si="8"/>
        <v>9167</v>
      </c>
      <c r="E155" s="18" t="s">
        <v>34</v>
      </c>
      <c r="F155" s="19"/>
      <c r="G155" s="20" t="s">
        <v>23</v>
      </c>
      <c r="H155" s="20" t="s">
        <v>23</v>
      </c>
      <c r="I155" s="20" t="s">
        <v>35</v>
      </c>
      <c r="J155" s="10" t="s">
        <v>25</v>
      </c>
      <c r="K155" s="10" t="s">
        <v>26</v>
      </c>
      <c r="L155" s="10" t="s">
        <v>30</v>
      </c>
      <c r="M155" s="18" t="s">
        <v>28</v>
      </c>
      <c r="N155" s="10"/>
      <c r="O155" s="21"/>
      <c r="P155" s="21"/>
      <c r="Q155" s="29">
        <f t="shared" si="6"/>
        <v>1</v>
      </c>
      <c r="R155" s="30" t="str">
        <f t="shared" si="7"/>
        <v>P36.207</v>
      </c>
    </row>
    <row r="156" spans="1:18">
      <c r="A156" s="17"/>
      <c r="B156" s="17"/>
      <c r="C156" s="17"/>
      <c r="D156" s="10">
        <f t="shared" si="8"/>
        <v>9168</v>
      </c>
      <c r="E156" s="18" t="s">
        <v>34</v>
      </c>
      <c r="F156" s="19"/>
      <c r="G156" s="20" t="s">
        <v>23</v>
      </c>
      <c r="H156" s="20" t="s">
        <v>23</v>
      </c>
      <c r="I156" s="20" t="s">
        <v>35</v>
      </c>
      <c r="J156" s="10" t="s">
        <v>25</v>
      </c>
      <c r="K156" s="10" t="s">
        <v>26</v>
      </c>
      <c r="L156" s="10" t="s">
        <v>30</v>
      </c>
      <c r="M156" s="18" t="s">
        <v>28</v>
      </c>
      <c r="N156" s="10"/>
      <c r="O156" s="21"/>
      <c r="P156" s="21"/>
      <c r="Q156" s="29">
        <f t="shared" si="6"/>
        <v>1</v>
      </c>
      <c r="R156" s="30" t="str">
        <f t="shared" si="7"/>
        <v>P36.208</v>
      </c>
    </row>
    <row r="157" spans="1:18">
      <c r="A157" s="17"/>
      <c r="B157" s="17"/>
      <c r="C157" s="17"/>
      <c r="D157" s="10">
        <f t="shared" si="8"/>
        <v>9169</v>
      </c>
      <c r="E157" s="18" t="s">
        <v>34</v>
      </c>
      <c r="F157" s="19"/>
      <c r="G157" s="20" t="s">
        <v>23</v>
      </c>
      <c r="H157" s="20" t="s">
        <v>23</v>
      </c>
      <c r="I157" s="20" t="s">
        <v>35</v>
      </c>
      <c r="J157" s="10" t="s">
        <v>25</v>
      </c>
      <c r="K157" s="10" t="s">
        <v>26</v>
      </c>
      <c r="L157" s="10" t="s">
        <v>30</v>
      </c>
      <c r="M157" s="18" t="s">
        <v>28</v>
      </c>
      <c r="N157" s="10"/>
      <c r="O157" s="21"/>
      <c r="P157" s="21"/>
      <c r="Q157" s="29">
        <f t="shared" si="6"/>
        <v>1</v>
      </c>
      <c r="R157" s="30" t="str">
        <f t="shared" si="7"/>
        <v>P36.209</v>
      </c>
    </row>
    <row r="158" spans="1:18">
      <c r="A158" s="17"/>
      <c r="B158" s="17"/>
      <c r="C158" s="17"/>
      <c r="D158" s="10">
        <f t="shared" si="8"/>
        <v>9170</v>
      </c>
      <c r="E158" s="18" t="s">
        <v>34</v>
      </c>
      <c r="F158" s="19"/>
      <c r="G158" s="20" t="s">
        <v>23</v>
      </c>
      <c r="H158" s="20" t="s">
        <v>23</v>
      </c>
      <c r="I158" s="20" t="s">
        <v>35</v>
      </c>
      <c r="J158" s="10" t="s">
        <v>25</v>
      </c>
      <c r="K158" s="10" t="s">
        <v>26</v>
      </c>
      <c r="L158" s="10" t="s">
        <v>30</v>
      </c>
      <c r="M158" s="18" t="s">
        <v>28</v>
      </c>
      <c r="N158" s="10"/>
      <c r="O158" s="21"/>
      <c r="P158" s="21"/>
      <c r="Q158" s="29">
        <f t="shared" si="6"/>
        <v>1</v>
      </c>
      <c r="R158" s="30" t="str">
        <f t="shared" si="7"/>
        <v>P36.210</v>
      </c>
    </row>
    <row r="159" spans="1:18">
      <c r="A159" s="17"/>
      <c r="B159" s="17"/>
      <c r="C159" s="17"/>
      <c r="D159" s="10">
        <f t="shared" si="8"/>
        <v>9171</v>
      </c>
      <c r="E159" s="18" t="s">
        <v>34</v>
      </c>
      <c r="F159" s="19"/>
      <c r="G159" s="20" t="s">
        <v>23</v>
      </c>
      <c r="H159" s="20" t="s">
        <v>23</v>
      </c>
      <c r="I159" s="20" t="s">
        <v>35</v>
      </c>
      <c r="J159" s="10" t="s">
        <v>25</v>
      </c>
      <c r="K159" s="10" t="s">
        <v>26</v>
      </c>
      <c r="L159" s="10" t="s">
        <v>30</v>
      </c>
      <c r="M159" s="18" t="s">
        <v>28</v>
      </c>
      <c r="N159" s="10"/>
      <c r="O159" s="21"/>
      <c r="P159" s="21"/>
      <c r="Q159" s="29">
        <f t="shared" si="6"/>
        <v>1</v>
      </c>
      <c r="R159" s="30" t="str">
        <f t="shared" si="7"/>
        <v>P36.211</v>
      </c>
    </row>
    <row r="160" spans="1:18">
      <c r="A160" s="17"/>
      <c r="B160" s="17"/>
      <c r="C160" s="17"/>
      <c r="D160" s="10">
        <f t="shared" si="8"/>
        <v>9172</v>
      </c>
      <c r="E160" s="18" t="s">
        <v>34</v>
      </c>
      <c r="F160" s="19"/>
      <c r="G160" s="20" t="s">
        <v>23</v>
      </c>
      <c r="H160" s="20" t="s">
        <v>23</v>
      </c>
      <c r="I160" s="20" t="s">
        <v>35</v>
      </c>
      <c r="J160" s="10" t="s">
        <v>25</v>
      </c>
      <c r="K160" s="10" t="s">
        <v>26</v>
      </c>
      <c r="L160" s="10" t="s">
        <v>30</v>
      </c>
      <c r="M160" s="18" t="s">
        <v>28</v>
      </c>
      <c r="N160" s="10"/>
      <c r="O160" s="21"/>
      <c r="P160" s="21"/>
      <c r="Q160" s="29">
        <f t="shared" si="6"/>
        <v>1</v>
      </c>
      <c r="R160" s="30" t="str">
        <f t="shared" si="7"/>
        <v>P36.212</v>
      </c>
    </row>
    <row r="161" spans="1:18">
      <c r="A161" s="17"/>
      <c r="B161" s="17"/>
      <c r="C161" s="17"/>
      <c r="D161" s="10">
        <f t="shared" si="8"/>
        <v>9173</v>
      </c>
      <c r="E161" s="18" t="s">
        <v>34</v>
      </c>
      <c r="F161" s="19"/>
      <c r="G161" s="20" t="s">
        <v>23</v>
      </c>
      <c r="H161" s="20" t="s">
        <v>23</v>
      </c>
      <c r="I161" s="20" t="s">
        <v>35</v>
      </c>
      <c r="J161" s="10" t="s">
        <v>25</v>
      </c>
      <c r="K161" s="10" t="s">
        <v>26</v>
      </c>
      <c r="L161" s="10" t="s">
        <v>30</v>
      </c>
      <c r="M161" s="18" t="s">
        <v>28</v>
      </c>
      <c r="N161" s="10"/>
      <c r="O161" s="21"/>
      <c r="P161" s="21"/>
      <c r="Q161" s="29">
        <f t="shared" si="6"/>
        <v>1</v>
      </c>
      <c r="R161" s="30" t="str">
        <f t="shared" si="7"/>
        <v>P36.213</v>
      </c>
    </row>
    <row r="162" spans="1:18">
      <c r="A162" s="17"/>
      <c r="B162" s="17"/>
      <c r="C162" s="17"/>
      <c r="D162" s="10">
        <f t="shared" si="8"/>
        <v>9174</v>
      </c>
      <c r="E162" s="18" t="s">
        <v>34</v>
      </c>
      <c r="F162" s="19"/>
      <c r="G162" s="20" t="s">
        <v>23</v>
      </c>
      <c r="H162" s="20" t="s">
        <v>23</v>
      </c>
      <c r="I162" s="20" t="s">
        <v>35</v>
      </c>
      <c r="J162" s="10" t="s">
        <v>25</v>
      </c>
      <c r="K162" s="10" t="s">
        <v>26</v>
      </c>
      <c r="L162" s="10" t="s">
        <v>30</v>
      </c>
      <c r="M162" s="18" t="s">
        <v>28</v>
      </c>
      <c r="N162" s="10"/>
      <c r="O162" s="21"/>
      <c r="P162" s="21"/>
      <c r="Q162" s="29">
        <f t="shared" si="6"/>
        <v>1</v>
      </c>
      <c r="R162" s="30" t="str">
        <f t="shared" si="7"/>
        <v>P36.214</v>
      </c>
    </row>
    <row r="163" spans="1:18">
      <c r="A163" s="17"/>
      <c r="B163" s="17"/>
      <c r="C163" s="17"/>
      <c r="D163" s="10">
        <f t="shared" si="8"/>
        <v>9175</v>
      </c>
      <c r="E163" s="18" t="s">
        <v>34</v>
      </c>
      <c r="F163" s="19"/>
      <c r="G163" s="20" t="s">
        <v>23</v>
      </c>
      <c r="H163" s="20" t="s">
        <v>23</v>
      </c>
      <c r="I163" s="20" t="s">
        <v>35</v>
      </c>
      <c r="J163" s="10" t="s">
        <v>25</v>
      </c>
      <c r="K163" s="10" t="s">
        <v>26</v>
      </c>
      <c r="L163" s="10" t="s">
        <v>30</v>
      </c>
      <c r="M163" s="18" t="s">
        <v>28</v>
      </c>
      <c r="N163" s="10"/>
      <c r="O163" s="21"/>
      <c r="P163" s="21"/>
      <c r="Q163" s="29">
        <f t="shared" si="6"/>
        <v>1</v>
      </c>
      <c r="R163" s="30" t="str">
        <f t="shared" si="7"/>
        <v>P36.215</v>
      </c>
    </row>
    <row r="164" spans="1:18">
      <c r="A164" s="17"/>
      <c r="B164" s="17"/>
      <c r="C164" s="17"/>
      <c r="D164" s="10">
        <f t="shared" si="8"/>
        <v>9176</v>
      </c>
      <c r="E164" s="18" t="s">
        <v>34</v>
      </c>
      <c r="F164" s="19" t="s">
        <v>677</v>
      </c>
      <c r="G164" s="20" t="s">
        <v>23</v>
      </c>
      <c r="H164" s="20" t="s">
        <v>171</v>
      </c>
      <c r="I164" s="20" t="s">
        <v>35</v>
      </c>
      <c r="J164" s="10" t="s">
        <v>25</v>
      </c>
      <c r="K164" s="10" t="s">
        <v>62</v>
      </c>
      <c r="L164" s="10" t="s">
        <v>30</v>
      </c>
      <c r="M164" s="18" t="s">
        <v>28</v>
      </c>
      <c r="N164" s="21"/>
      <c r="O164" s="21" t="s">
        <v>678</v>
      </c>
      <c r="P164" s="21"/>
      <c r="Q164" s="29">
        <f t="shared" si="6"/>
        <v>1</v>
      </c>
      <c r="R164" s="30" t="str">
        <f t="shared" si="7"/>
        <v>P36.216</v>
      </c>
    </row>
    <row r="165" spans="1:18">
      <c r="A165" s="17"/>
      <c r="B165" s="17"/>
      <c r="C165" s="17"/>
      <c r="D165" s="10">
        <f t="shared" si="8"/>
        <v>9177</v>
      </c>
      <c r="E165" s="18" t="s">
        <v>34</v>
      </c>
      <c r="F165" s="19" t="s">
        <v>679</v>
      </c>
      <c r="G165" s="20" t="s">
        <v>23</v>
      </c>
      <c r="H165" s="20" t="s">
        <v>23</v>
      </c>
      <c r="I165" s="20" t="s">
        <v>35</v>
      </c>
      <c r="J165" s="10" t="s">
        <v>25</v>
      </c>
      <c r="K165" s="10" t="s">
        <v>26</v>
      </c>
      <c r="L165" s="10" t="s">
        <v>30</v>
      </c>
      <c r="M165" s="18" t="s">
        <v>28</v>
      </c>
      <c r="N165" s="21"/>
      <c r="O165" s="21" t="s">
        <v>680</v>
      </c>
      <c r="P165" s="21"/>
      <c r="Q165" s="29">
        <f t="shared" si="6"/>
        <v>1</v>
      </c>
      <c r="R165" s="30" t="str">
        <f t="shared" si="7"/>
        <v>P36.217</v>
      </c>
    </row>
    <row r="166" spans="1:18">
      <c r="A166" s="17"/>
      <c r="B166" s="17"/>
      <c r="C166" s="17"/>
      <c r="D166" s="10">
        <f t="shared" si="8"/>
        <v>9178</v>
      </c>
      <c r="E166" s="18" t="s">
        <v>34</v>
      </c>
      <c r="F166" s="19" t="s">
        <v>681</v>
      </c>
      <c r="G166" s="20" t="s">
        <v>23</v>
      </c>
      <c r="H166" s="20" t="s">
        <v>23</v>
      </c>
      <c r="I166" s="20" t="s">
        <v>35</v>
      </c>
      <c r="J166" s="10" t="s">
        <v>25</v>
      </c>
      <c r="K166" s="10" t="s">
        <v>26</v>
      </c>
      <c r="L166" s="10" t="s">
        <v>30</v>
      </c>
      <c r="M166" s="18" t="s">
        <v>28</v>
      </c>
      <c r="N166" s="21"/>
      <c r="O166" s="21" t="s">
        <v>682</v>
      </c>
      <c r="P166" s="21"/>
      <c r="Q166" s="29">
        <f t="shared" si="6"/>
        <v>1</v>
      </c>
      <c r="R166" s="30" t="str">
        <f t="shared" si="7"/>
        <v>P36.218</v>
      </c>
    </row>
    <row r="167" spans="1:18">
      <c r="A167" s="17"/>
      <c r="B167" s="17"/>
      <c r="C167" s="17"/>
      <c r="D167" s="10">
        <f t="shared" si="8"/>
        <v>9179</v>
      </c>
      <c r="E167" s="18" t="s">
        <v>34</v>
      </c>
      <c r="F167" s="19"/>
      <c r="G167" s="20" t="s">
        <v>23</v>
      </c>
      <c r="H167" s="20" t="s">
        <v>23</v>
      </c>
      <c r="I167" s="20" t="s">
        <v>35</v>
      </c>
      <c r="J167" s="10" t="s">
        <v>25</v>
      </c>
      <c r="K167" s="10" t="s">
        <v>26</v>
      </c>
      <c r="L167" s="10" t="s">
        <v>30</v>
      </c>
      <c r="M167" s="18" t="s">
        <v>28</v>
      </c>
      <c r="N167" s="10"/>
      <c r="O167" s="21"/>
      <c r="P167" s="21"/>
      <c r="Q167" s="29">
        <f t="shared" si="6"/>
        <v>1</v>
      </c>
      <c r="R167" s="30" t="str">
        <f t="shared" si="7"/>
        <v>P36.219</v>
      </c>
    </row>
    <row r="168" ht="52.8" spans="1:18">
      <c r="A168" s="32">
        <v>3</v>
      </c>
      <c r="B168" s="32"/>
      <c r="C168" s="32"/>
      <c r="D168" s="10">
        <f t="shared" si="8"/>
        <v>9180</v>
      </c>
      <c r="E168" s="18" t="s">
        <v>34</v>
      </c>
      <c r="F168" s="19" t="s">
        <v>683</v>
      </c>
      <c r="G168" s="20" t="s">
        <v>23</v>
      </c>
      <c r="H168" s="20" t="s">
        <v>23</v>
      </c>
      <c r="I168" s="20" t="s">
        <v>35</v>
      </c>
      <c r="J168" s="10" t="s">
        <v>25</v>
      </c>
      <c r="K168" s="10" t="s">
        <v>26</v>
      </c>
      <c r="L168" s="10" t="s">
        <v>30</v>
      </c>
      <c r="M168" s="18" t="s">
        <v>28</v>
      </c>
      <c r="N168" s="21"/>
      <c r="O168" s="21" t="s">
        <v>684</v>
      </c>
      <c r="P168" s="24" t="s">
        <v>685</v>
      </c>
      <c r="Q168" s="29">
        <f t="shared" si="6"/>
        <v>0</v>
      </c>
      <c r="R168" s="30" t="str">
        <f t="shared" si="7"/>
        <v>P36.220</v>
      </c>
    </row>
    <row r="169" spans="1:18">
      <c r="A169" s="17"/>
      <c r="B169" s="17"/>
      <c r="C169" s="17"/>
      <c r="D169" s="10">
        <f t="shared" si="8"/>
        <v>9181</v>
      </c>
      <c r="E169" s="18" t="s">
        <v>34</v>
      </c>
      <c r="F169" s="19" t="s">
        <v>686</v>
      </c>
      <c r="G169" s="20" t="s">
        <v>23</v>
      </c>
      <c r="H169" s="20" t="s">
        <v>23</v>
      </c>
      <c r="I169" s="20" t="s">
        <v>39</v>
      </c>
      <c r="J169" s="10" t="s">
        <v>25</v>
      </c>
      <c r="K169" s="10" t="s">
        <v>26</v>
      </c>
      <c r="L169" s="10" t="s">
        <v>30</v>
      </c>
      <c r="M169" s="18" t="s">
        <v>28</v>
      </c>
      <c r="N169" s="10"/>
      <c r="O169" s="21" t="s">
        <v>687</v>
      </c>
      <c r="P169" s="21"/>
      <c r="Q169" s="29">
        <f t="shared" si="6"/>
        <v>0</v>
      </c>
      <c r="R169" s="30" t="str">
        <f t="shared" si="7"/>
        <v>P36.221</v>
      </c>
    </row>
    <row r="170" spans="1:18">
      <c r="A170" s="17"/>
      <c r="B170" s="17"/>
      <c r="C170" s="17"/>
      <c r="D170" s="10">
        <f t="shared" si="8"/>
        <v>9182</v>
      </c>
      <c r="E170" s="18" t="s">
        <v>34</v>
      </c>
      <c r="F170" s="19"/>
      <c r="G170" s="20" t="s">
        <v>23</v>
      </c>
      <c r="H170" s="20" t="s">
        <v>23</v>
      </c>
      <c r="I170" s="20" t="s">
        <v>35</v>
      </c>
      <c r="J170" s="10" t="s">
        <v>25</v>
      </c>
      <c r="K170" s="10" t="s">
        <v>26</v>
      </c>
      <c r="L170" s="10" t="s">
        <v>30</v>
      </c>
      <c r="M170" s="18" t="s">
        <v>28</v>
      </c>
      <c r="N170" s="10"/>
      <c r="O170" s="21"/>
      <c r="P170" s="21"/>
      <c r="Q170" s="29">
        <f t="shared" si="6"/>
        <v>1</v>
      </c>
      <c r="R170" s="30" t="str">
        <f t="shared" si="7"/>
        <v>P36.222</v>
      </c>
    </row>
    <row r="171" spans="1:18">
      <c r="A171" s="17"/>
      <c r="B171" s="17"/>
      <c r="C171" s="17"/>
      <c r="D171" s="10">
        <f t="shared" si="8"/>
        <v>9183</v>
      </c>
      <c r="E171" s="18" t="s">
        <v>383</v>
      </c>
      <c r="F171" s="19" t="s">
        <v>688</v>
      </c>
      <c r="G171" s="20" t="s">
        <v>23</v>
      </c>
      <c r="H171" s="20" t="s">
        <v>385</v>
      </c>
      <c r="I171" s="20" t="s">
        <v>386</v>
      </c>
      <c r="J171" s="10" t="s">
        <v>387</v>
      </c>
      <c r="K171" s="10" t="s">
        <v>26</v>
      </c>
      <c r="L171" s="10" t="s">
        <v>30</v>
      </c>
      <c r="M171" s="18" t="s">
        <v>28</v>
      </c>
      <c r="N171" s="10"/>
      <c r="O171" s="21" t="s">
        <v>689</v>
      </c>
      <c r="P171" s="21"/>
      <c r="Q171" s="29">
        <f t="shared" si="6"/>
        <v>1</v>
      </c>
      <c r="R171" s="30" t="str">
        <f t="shared" si="7"/>
        <v>P36.223</v>
      </c>
    </row>
    <row r="172" spans="1:18">
      <c r="A172" s="17"/>
      <c r="B172" s="17"/>
      <c r="C172" s="17"/>
      <c r="D172" s="10">
        <f t="shared" si="8"/>
        <v>9187</v>
      </c>
      <c r="E172" s="18" t="s">
        <v>383</v>
      </c>
      <c r="F172" s="19" t="s">
        <v>690</v>
      </c>
      <c r="G172" s="20" t="s">
        <v>23</v>
      </c>
      <c r="H172" s="20" t="s">
        <v>385</v>
      </c>
      <c r="I172" s="20" t="s">
        <v>386</v>
      </c>
      <c r="J172" s="10" t="s">
        <v>387</v>
      </c>
      <c r="K172" s="10" t="s">
        <v>26</v>
      </c>
      <c r="L172" s="10" t="s">
        <v>30</v>
      </c>
      <c r="M172" s="18" t="s">
        <v>28</v>
      </c>
      <c r="N172" s="10"/>
      <c r="O172" s="21" t="s">
        <v>691</v>
      </c>
      <c r="P172" s="21"/>
      <c r="Q172" s="29">
        <f t="shared" si="6"/>
        <v>1</v>
      </c>
      <c r="R172" s="30" t="str">
        <f t="shared" si="7"/>
        <v>P36.227</v>
      </c>
    </row>
    <row r="173" spans="1:18">
      <c r="A173" s="17"/>
      <c r="B173" s="17"/>
      <c r="C173" s="17"/>
      <c r="D173" s="10">
        <f t="shared" si="8"/>
        <v>9191</v>
      </c>
      <c r="E173" s="18" t="s">
        <v>434</v>
      </c>
      <c r="F173" s="19" t="s">
        <v>692</v>
      </c>
      <c r="G173" s="20" t="s">
        <v>23</v>
      </c>
      <c r="H173" s="20" t="s">
        <v>436</v>
      </c>
      <c r="I173" s="20" t="s">
        <v>437</v>
      </c>
      <c r="J173" s="10" t="s">
        <v>387</v>
      </c>
      <c r="K173" s="10" t="s">
        <v>26</v>
      </c>
      <c r="L173" s="10" t="s">
        <v>30</v>
      </c>
      <c r="M173" s="18" t="s">
        <v>28</v>
      </c>
      <c r="N173" s="10"/>
      <c r="O173" s="21" t="s">
        <v>693</v>
      </c>
      <c r="P173" s="21"/>
      <c r="Q173" s="29">
        <f t="shared" si="6"/>
        <v>1</v>
      </c>
      <c r="R173" s="30" t="str">
        <f t="shared" si="7"/>
        <v>P36.231</v>
      </c>
    </row>
    <row r="174" spans="1:18">
      <c r="A174" s="17"/>
      <c r="B174" s="17"/>
      <c r="C174" s="17"/>
      <c r="D174" s="10">
        <f t="shared" si="8"/>
        <v>9193</v>
      </c>
      <c r="E174" s="18" t="s">
        <v>434</v>
      </c>
      <c r="F174" s="19" t="s">
        <v>694</v>
      </c>
      <c r="G174" s="20" t="s">
        <v>23</v>
      </c>
      <c r="H174" s="20" t="s">
        <v>436</v>
      </c>
      <c r="I174" s="20" t="s">
        <v>437</v>
      </c>
      <c r="J174" s="10" t="s">
        <v>695</v>
      </c>
      <c r="K174" s="10" t="s">
        <v>26</v>
      </c>
      <c r="L174" s="10" t="s">
        <v>30</v>
      </c>
      <c r="M174" s="18" t="s">
        <v>28</v>
      </c>
      <c r="N174" s="10"/>
      <c r="O174" s="21" t="s">
        <v>696</v>
      </c>
      <c r="P174" s="21"/>
      <c r="Q174" s="29">
        <f t="shared" si="6"/>
        <v>1</v>
      </c>
      <c r="R174" s="30" t="str">
        <f t="shared" si="7"/>
        <v>P36.233</v>
      </c>
    </row>
    <row r="175" spans="1:18">
      <c r="A175" s="17"/>
      <c r="B175" s="17"/>
      <c r="C175" s="17"/>
      <c r="D175" s="10">
        <f t="shared" si="8"/>
        <v>9195</v>
      </c>
      <c r="E175" s="18" t="s">
        <v>434</v>
      </c>
      <c r="F175" s="19" t="s">
        <v>697</v>
      </c>
      <c r="G175" s="20" t="s">
        <v>23</v>
      </c>
      <c r="H175" s="20" t="s">
        <v>436</v>
      </c>
      <c r="I175" s="20" t="s">
        <v>437</v>
      </c>
      <c r="J175" s="10" t="s">
        <v>695</v>
      </c>
      <c r="K175" s="10" t="s">
        <v>26</v>
      </c>
      <c r="L175" s="10" t="s">
        <v>30</v>
      </c>
      <c r="M175" s="18" t="s">
        <v>28</v>
      </c>
      <c r="N175" s="10"/>
      <c r="O175" s="21" t="s">
        <v>698</v>
      </c>
      <c r="P175" s="21"/>
      <c r="Q175" s="29">
        <f t="shared" si="6"/>
        <v>1</v>
      </c>
      <c r="R175" s="30" t="str">
        <f t="shared" si="7"/>
        <v>P36.235</v>
      </c>
    </row>
    <row r="176" spans="1:18">
      <c r="A176" s="17"/>
      <c r="B176" s="17"/>
      <c r="C176" s="17"/>
      <c r="D176" s="10">
        <f t="shared" si="8"/>
        <v>9197</v>
      </c>
      <c r="E176" s="18" t="s">
        <v>91</v>
      </c>
      <c r="F176" s="19" t="s">
        <v>699</v>
      </c>
      <c r="G176" s="20" t="s">
        <v>23</v>
      </c>
      <c r="H176" s="20" t="s">
        <v>93</v>
      </c>
      <c r="I176" s="20" t="s">
        <v>94</v>
      </c>
      <c r="J176" s="10" t="s">
        <v>89</v>
      </c>
      <c r="K176" s="10" t="s">
        <v>26</v>
      </c>
      <c r="L176" s="10" t="s">
        <v>30</v>
      </c>
      <c r="M176" s="18" t="s">
        <v>28</v>
      </c>
      <c r="N176" s="10"/>
      <c r="O176" s="21" t="s">
        <v>700</v>
      </c>
      <c r="P176" s="21"/>
      <c r="Q176" s="29">
        <f t="shared" si="6"/>
        <v>1</v>
      </c>
      <c r="R176" s="30" t="str">
        <f t="shared" si="7"/>
        <v>P36.237</v>
      </c>
    </row>
    <row r="177" spans="1:18">
      <c r="A177" s="17"/>
      <c r="B177" s="17"/>
      <c r="C177" s="17"/>
      <c r="D177" s="10">
        <f t="shared" si="8"/>
        <v>9198</v>
      </c>
      <c r="E177" s="18" t="s">
        <v>91</v>
      </c>
      <c r="F177" s="19" t="s">
        <v>701</v>
      </c>
      <c r="G177" s="20" t="s">
        <v>23</v>
      </c>
      <c r="H177" s="20" t="s">
        <v>93</v>
      </c>
      <c r="I177" s="20" t="s">
        <v>94</v>
      </c>
      <c r="J177" s="10" t="s">
        <v>89</v>
      </c>
      <c r="K177" s="10" t="s">
        <v>26</v>
      </c>
      <c r="L177" s="10" t="s">
        <v>30</v>
      </c>
      <c r="M177" s="18" t="s">
        <v>28</v>
      </c>
      <c r="N177" s="10"/>
      <c r="O177" s="21" t="s">
        <v>702</v>
      </c>
      <c r="P177" s="21"/>
      <c r="Q177" s="29">
        <f t="shared" si="6"/>
        <v>1</v>
      </c>
      <c r="R177" s="30" t="str">
        <f t="shared" si="7"/>
        <v>P36.238</v>
      </c>
    </row>
    <row r="178" spans="1:18">
      <c r="A178" s="17"/>
      <c r="B178" s="17"/>
      <c r="C178" s="17"/>
      <c r="D178" s="10">
        <f t="shared" si="8"/>
        <v>9199</v>
      </c>
      <c r="E178" s="18" t="s">
        <v>34</v>
      </c>
      <c r="F178" s="19"/>
      <c r="G178" s="20" t="s">
        <v>23</v>
      </c>
      <c r="H178" s="20" t="s">
        <v>23</v>
      </c>
      <c r="I178" s="20" t="s">
        <v>35</v>
      </c>
      <c r="J178" s="10" t="s">
        <v>25</v>
      </c>
      <c r="K178" s="10" t="s">
        <v>26</v>
      </c>
      <c r="L178" s="10" t="s">
        <v>30</v>
      </c>
      <c r="M178" s="18" t="s">
        <v>28</v>
      </c>
      <c r="N178" s="10"/>
      <c r="O178" s="21"/>
      <c r="P178" s="21"/>
      <c r="Q178" s="29">
        <f t="shared" si="6"/>
        <v>1</v>
      </c>
      <c r="R178" s="30" t="str">
        <f t="shared" si="7"/>
        <v>P36.239</v>
      </c>
    </row>
    <row r="179" spans="1:18">
      <c r="A179" s="17"/>
      <c r="B179" s="17"/>
      <c r="C179" s="17"/>
      <c r="D179" s="10">
        <f t="shared" si="8"/>
        <v>9200</v>
      </c>
      <c r="E179" s="18" t="s">
        <v>91</v>
      </c>
      <c r="F179" s="19" t="s">
        <v>703</v>
      </c>
      <c r="G179" s="20" t="s">
        <v>23</v>
      </c>
      <c r="H179" s="20" t="s">
        <v>93</v>
      </c>
      <c r="I179" s="20" t="s">
        <v>94</v>
      </c>
      <c r="J179" s="10" t="s">
        <v>124</v>
      </c>
      <c r="K179" s="10" t="s">
        <v>26</v>
      </c>
      <c r="L179" s="10" t="s">
        <v>30</v>
      </c>
      <c r="M179" s="18" t="s">
        <v>28</v>
      </c>
      <c r="N179" s="10"/>
      <c r="O179" s="21" t="s">
        <v>704</v>
      </c>
      <c r="P179" s="21"/>
      <c r="Q179" s="29">
        <f t="shared" si="6"/>
        <v>1</v>
      </c>
      <c r="R179" s="30" t="str">
        <f t="shared" si="7"/>
        <v>P36.240</v>
      </c>
    </row>
    <row r="180" spans="1:18">
      <c r="A180" s="17"/>
      <c r="B180" s="17"/>
      <c r="C180" s="17"/>
      <c r="D180" s="10">
        <f t="shared" si="8"/>
        <v>9201</v>
      </c>
      <c r="E180" s="18" t="s">
        <v>91</v>
      </c>
      <c r="F180" s="19" t="s">
        <v>705</v>
      </c>
      <c r="G180" s="20" t="s">
        <v>23</v>
      </c>
      <c r="H180" s="20" t="s">
        <v>93</v>
      </c>
      <c r="I180" s="20" t="s">
        <v>94</v>
      </c>
      <c r="J180" s="10" t="s">
        <v>124</v>
      </c>
      <c r="K180" s="10" t="s">
        <v>26</v>
      </c>
      <c r="L180" s="10" t="s">
        <v>30</v>
      </c>
      <c r="M180" s="18" t="s">
        <v>28</v>
      </c>
      <c r="N180" s="10"/>
      <c r="O180" s="21" t="s">
        <v>706</v>
      </c>
      <c r="P180" s="21"/>
      <c r="Q180" s="29">
        <f t="shared" si="6"/>
        <v>1</v>
      </c>
      <c r="R180" s="30" t="str">
        <f t="shared" si="7"/>
        <v>P36.241</v>
      </c>
    </row>
    <row r="181" spans="1:18">
      <c r="A181" s="17"/>
      <c r="B181" s="17"/>
      <c r="C181" s="17"/>
      <c r="D181" s="10">
        <f t="shared" si="8"/>
        <v>9202</v>
      </c>
      <c r="E181" s="18" t="s">
        <v>91</v>
      </c>
      <c r="F181" s="19" t="s">
        <v>707</v>
      </c>
      <c r="G181" s="20" t="s">
        <v>23</v>
      </c>
      <c r="H181" s="20" t="s">
        <v>93</v>
      </c>
      <c r="I181" s="20" t="s">
        <v>94</v>
      </c>
      <c r="J181" s="10" t="s">
        <v>124</v>
      </c>
      <c r="K181" s="10" t="s">
        <v>26</v>
      </c>
      <c r="L181" s="10" t="s">
        <v>30</v>
      </c>
      <c r="M181" s="18" t="s">
        <v>28</v>
      </c>
      <c r="N181" s="10"/>
      <c r="O181" s="21" t="s">
        <v>708</v>
      </c>
      <c r="P181" s="21"/>
      <c r="Q181" s="29">
        <f t="shared" si="6"/>
        <v>1</v>
      </c>
      <c r="R181" s="30" t="str">
        <f t="shared" si="7"/>
        <v>P36.242</v>
      </c>
    </row>
    <row r="182" spans="1:18">
      <c r="A182" s="17"/>
      <c r="B182" s="17"/>
      <c r="C182" s="17"/>
      <c r="D182" s="10">
        <f t="shared" si="8"/>
        <v>9203</v>
      </c>
      <c r="E182" s="18" t="s">
        <v>34</v>
      </c>
      <c r="F182" s="19"/>
      <c r="G182" s="20" t="s">
        <v>23</v>
      </c>
      <c r="H182" s="20" t="s">
        <v>23</v>
      </c>
      <c r="I182" s="20" t="s">
        <v>35</v>
      </c>
      <c r="J182" s="10" t="s">
        <v>25</v>
      </c>
      <c r="K182" s="10" t="s">
        <v>26</v>
      </c>
      <c r="L182" s="10" t="s">
        <v>30</v>
      </c>
      <c r="M182" s="18" t="s">
        <v>28</v>
      </c>
      <c r="N182" s="10"/>
      <c r="O182" s="21"/>
      <c r="P182" s="21"/>
      <c r="Q182" s="29">
        <f t="shared" si="6"/>
        <v>1</v>
      </c>
      <c r="R182" s="30" t="str">
        <f t="shared" si="7"/>
        <v>P36.243</v>
      </c>
    </row>
    <row r="183" spans="1:18">
      <c r="A183" s="17"/>
      <c r="B183" s="17"/>
      <c r="C183" s="17"/>
      <c r="D183" s="10">
        <f t="shared" si="8"/>
        <v>9204</v>
      </c>
      <c r="E183" s="18" t="s">
        <v>34</v>
      </c>
      <c r="F183" s="19"/>
      <c r="G183" s="20" t="s">
        <v>23</v>
      </c>
      <c r="H183" s="20" t="s">
        <v>23</v>
      </c>
      <c r="I183" s="20" t="s">
        <v>35</v>
      </c>
      <c r="J183" s="10" t="s">
        <v>25</v>
      </c>
      <c r="K183" s="10" t="s">
        <v>26</v>
      </c>
      <c r="L183" s="10" t="s">
        <v>30</v>
      </c>
      <c r="M183" s="18" t="s">
        <v>28</v>
      </c>
      <c r="N183" s="10"/>
      <c r="O183" s="21"/>
      <c r="P183" s="21"/>
      <c r="Q183" s="29">
        <f t="shared" si="6"/>
        <v>1</v>
      </c>
      <c r="R183" s="30" t="str">
        <f t="shared" si="7"/>
        <v>P36.244</v>
      </c>
    </row>
    <row r="184" spans="1:18">
      <c r="A184" s="17"/>
      <c r="B184" s="17"/>
      <c r="C184" s="17"/>
      <c r="D184" s="10">
        <f t="shared" si="8"/>
        <v>9205</v>
      </c>
      <c r="E184" s="18" t="s">
        <v>34</v>
      </c>
      <c r="F184" s="19"/>
      <c r="G184" s="20" t="s">
        <v>23</v>
      </c>
      <c r="H184" s="20" t="s">
        <v>23</v>
      </c>
      <c r="I184" s="20" t="s">
        <v>35</v>
      </c>
      <c r="J184" s="10" t="s">
        <v>25</v>
      </c>
      <c r="K184" s="10" t="s">
        <v>26</v>
      </c>
      <c r="L184" s="10" t="s">
        <v>30</v>
      </c>
      <c r="M184" s="18" t="s">
        <v>28</v>
      </c>
      <c r="N184" s="10"/>
      <c r="O184" s="21"/>
      <c r="P184" s="21"/>
      <c r="Q184" s="29">
        <f t="shared" si="6"/>
        <v>1</v>
      </c>
      <c r="R184" s="30" t="str">
        <f t="shared" si="7"/>
        <v>P36.245</v>
      </c>
    </row>
    <row r="185" spans="1:18">
      <c r="A185" s="17"/>
      <c r="B185" s="17"/>
      <c r="C185" s="17"/>
      <c r="D185" s="10">
        <f t="shared" si="8"/>
        <v>9206</v>
      </c>
      <c r="E185" s="18" t="s">
        <v>34</v>
      </c>
      <c r="F185" s="19"/>
      <c r="G185" s="20" t="s">
        <v>23</v>
      </c>
      <c r="H185" s="20" t="s">
        <v>23</v>
      </c>
      <c r="I185" s="20" t="s">
        <v>35</v>
      </c>
      <c r="J185" s="10" t="s">
        <v>25</v>
      </c>
      <c r="K185" s="10" t="s">
        <v>26</v>
      </c>
      <c r="L185" s="10" t="s">
        <v>30</v>
      </c>
      <c r="M185" s="18" t="s">
        <v>28</v>
      </c>
      <c r="N185" s="10"/>
      <c r="O185" s="21"/>
      <c r="P185" s="21"/>
      <c r="Q185" s="29">
        <f t="shared" si="6"/>
        <v>1</v>
      </c>
      <c r="R185" s="30" t="str">
        <f t="shared" si="7"/>
        <v>P36.246</v>
      </c>
    </row>
    <row r="186" spans="1:18">
      <c r="A186" s="17"/>
      <c r="B186" s="17"/>
      <c r="C186" s="17"/>
      <c r="D186" s="10">
        <f t="shared" si="8"/>
        <v>9207</v>
      </c>
      <c r="E186" s="18" t="s">
        <v>34</v>
      </c>
      <c r="F186" s="19" t="s">
        <v>709</v>
      </c>
      <c r="G186" s="20" t="s">
        <v>23</v>
      </c>
      <c r="H186" s="20" t="s">
        <v>23</v>
      </c>
      <c r="I186" s="20" t="s">
        <v>35</v>
      </c>
      <c r="J186" s="10" t="s">
        <v>25</v>
      </c>
      <c r="K186" s="10" t="s">
        <v>26</v>
      </c>
      <c r="L186" s="10" t="s">
        <v>30</v>
      </c>
      <c r="M186" s="18" t="s">
        <v>28</v>
      </c>
      <c r="N186" s="19"/>
      <c r="O186" s="21" t="s">
        <v>710</v>
      </c>
      <c r="P186" s="21"/>
      <c r="Q186" s="29">
        <f t="shared" si="6"/>
        <v>0</v>
      </c>
      <c r="R186" s="30" t="str">
        <f t="shared" si="7"/>
        <v>P36.247</v>
      </c>
    </row>
    <row r="187" spans="1:18">
      <c r="A187" s="17"/>
      <c r="B187" s="17"/>
      <c r="C187" s="17"/>
      <c r="D187" s="10">
        <f t="shared" si="8"/>
        <v>9208</v>
      </c>
      <c r="E187" s="18" t="s">
        <v>34</v>
      </c>
      <c r="F187" s="19" t="s">
        <v>711</v>
      </c>
      <c r="G187" s="20" t="s">
        <v>23</v>
      </c>
      <c r="H187" s="20" t="s">
        <v>23</v>
      </c>
      <c r="I187" s="20" t="s">
        <v>35</v>
      </c>
      <c r="J187" s="10" t="s">
        <v>25</v>
      </c>
      <c r="K187" s="10" t="s">
        <v>26</v>
      </c>
      <c r="L187" s="10" t="s">
        <v>30</v>
      </c>
      <c r="M187" s="18" t="s">
        <v>28</v>
      </c>
      <c r="N187" s="19"/>
      <c r="O187" s="21" t="s">
        <v>712</v>
      </c>
      <c r="P187" s="21"/>
      <c r="Q187" s="29">
        <f t="shared" si="6"/>
        <v>0</v>
      </c>
      <c r="R187" s="30" t="str">
        <f t="shared" si="7"/>
        <v>P36.248</v>
      </c>
    </row>
    <row r="188" spans="1:18">
      <c r="A188" s="17"/>
      <c r="B188" s="17"/>
      <c r="C188" s="17"/>
      <c r="D188" s="10">
        <f t="shared" si="8"/>
        <v>9209</v>
      </c>
      <c r="E188" s="18" t="s">
        <v>34</v>
      </c>
      <c r="F188" s="19"/>
      <c r="G188" s="20" t="s">
        <v>23</v>
      </c>
      <c r="H188" s="20" t="s">
        <v>23</v>
      </c>
      <c r="I188" s="20" t="s">
        <v>35</v>
      </c>
      <c r="J188" s="10" t="s">
        <v>25</v>
      </c>
      <c r="K188" s="10" t="s">
        <v>26</v>
      </c>
      <c r="L188" s="10" t="s">
        <v>30</v>
      </c>
      <c r="M188" s="18" t="s">
        <v>28</v>
      </c>
      <c r="N188" s="10"/>
      <c r="O188" s="21"/>
      <c r="P188" s="21"/>
      <c r="Q188" s="29">
        <f t="shared" si="6"/>
        <v>1</v>
      </c>
      <c r="R188" s="30" t="str">
        <f t="shared" si="7"/>
        <v>P36.249</v>
      </c>
    </row>
    <row r="189" spans="1:18">
      <c r="A189" s="17"/>
      <c r="B189" s="17"/>
      <c r="C189" s="17"/>
      <c r="D189" s="10">
        <f t="shared" si="8"/>
        <v>9210</v>
      </c>
      <c r="E189" s="18" t="s">
        <v>34</v>
      </c>
      <c r="F189" s="19" t="s">
        <v>713</v>
      </c>
      <c r="G189" s="20" t="s">
        <v>23</v>
      </c>
      <c r="H189" s="20" t="s">
        <v>23</v>
      </c>
      <c r="I189" s="20" t="s">
        <v>39</v>
      </c>
      <c r="J189" s="10" t="s">
        <v>25</v>
      </c>
      <c r="K189" s="10" t="s">
        <v>26</v>
      </c>
      <c r="L189" s="10" t="s">
        <v>30</v>
      </c>
      <c r="M189" s="18" t="s">
        <v>28</v>
      </c>
      <c r="N189" s="10"/>
      <c r="O189" s="21" t="s">
        <v>714</v>
      </c>
      <c r="P189" s="21" t="s">
        <v>715</v>
      </c>
      <c r="Q189" s="29">
        <f t="shared" si="6"/>
        <v>0</v>
      </c>
      <c r="R189" s="30" t="str">
        <f t="shared" si="7"/>
        <v>P36.250</v>
      </c>
    </row>
    <row r="190" spans="1:18">
      <c r="A190" s="17"/>
      <c r="B190" s="17"/>
      <c r="C190" s="17"/>
      <c r="D190" s="10">
        <f t="shared" si="8"/>
        <v>9211</v>
      </c>
      <c r="E190" s="18" t="s">
        <v>34</v>
      </c>
      <c r="F190" s="19" t="s">
        <v>716</v>
      </c>
      <c r="G190" s="20" t="s">
        <v>23</v>
      </c>
      <c r="H190" s="20" t="s">
        <v>23</v>
      </c>
      <c r="I190" s="20" t="s">
        <v>39</v>
      </c>
      <c r="J190" s="10" t="s">
        <v>25</v>
      </c>
      <c r="K190" s="10" t="s">
        <v>26</v>
      </c>
      <c r="L190" s="10" t="s">
        <v>30</v>
      </c>
      <c r="M190" s="18" t="s">
        <v>28</v>
      </c>
      <c r="N190" s="10"/>
      <c r="O190" s="21" t="s">
        <v>717</v>
      </c>
      <c r="P190" s="21" t="s">
        <v>715</v>
      </c>
      <c r="Q190" s="29">
        <f t="shared" si="6"/>
        <v>0</v>
      </c>
      <c r="R190" s="30" t="str">
        <f t="shared" si="7"/>
        <v>P36.251</v>
      </c>
    </row>
    <row r="191" spans="1:18">
      <c r="A191" s="17"/>
      <c r="B191" s="17"/>
      <c r="C191" s="17"/>
      <c r="D191" s="10">
        <f t="shared" si="8"/>
        <v>9212</v>
      </c>
      <c r="E191" s="18" t="s">
        <v>34</v>
      </c>
      <c r="F191" s="19" t="s">
        <v>718</v>
      </c>
      <c r="G191" s="20" t="s">
        <v>23</v>
      </c>
      <c r="H191" s="20" t="s">
        <v>23</v>
      </c>
      <c r="I191" s="20" t="s">
        <v>39</v>
      </c>
      <c r="J191" s="10" t="s">
        <v>25</v>
      </c>
      <c r="K191" s="10" t="s">
        <v>26</v>
      </c>
      <c r="L191" s="10" t="s">
        <v>30</v>
      </c>
      <c r="M191" s="18" t="s">
        <v>28</v>
      </c>
      <c r="N191" s="10"/>
      <c r="O191" s="21" t="s">
        <v>719</v>
      </c>
      <c r="P191" s="21" t="s">
        <v>715</v>
      </c>
      <c r="Q191" s="29">
        <f t="shared" si="6"/>
        <v>0</v>
      </c>
      <c r="R191" s="30" t="str">
        <f t="shared" si="7"/>
        <v>P36.252</v>
      </c>
    </row>
    <row r="192" spans="1:18">
      <c r="A192" s="17"/>
      <c r="B192" s="17"/>
      <c r="C192" s="17"/>
      <c r="D192" s="10">
        <f t="shared" si="8"/>
        <v>9213</v>
      </c>
      <c r="E192" s="18" t="s">
        <v>34</v>
      </c>
      <c r="F192" s="19" t="s">
        <v>720</v>
      </c>
      <c r="G192" s="20" t="s">
        <v>23</v>
      </c>
      <c r="H192" s="20" t="s">
        <v>23</v>
      </c>
      <c r="I192" s="20" t="s">
        <v>39</v>
      </c>
      <c r="J192" s="10" t="s">
        <v>25</v>
      </c>
      <c r="K192" s="10" t="s">
        <v>26</v>
      </c>
      <c r="L192" s="10" t="s">
        <v>30</v>
      </c>
      <c r="M192" s="18" t="s">
        <v>28</v>
      </c>
      <c r="N192" s="10"/>
      <c r="O192" s="21" t="s">
        <v>721</v>
      </c>
      <c r="P192" s="21" t="s">
        <v>715</v>
      </c>
      <c r="Q192" s="29">
        <f t="shared" si="6"/>
        <v>0</v>
      </c>
      <c r="R192" s="30" t="str">
        <f t="shared" si="7"/>
        <v>P36.253</v>
      </c>
    </row>
    <row r="193" spans="1:18">
      <c r="A193" s="17"/>
      <c r="B193" s="17"/>
      <c r="C193" s="17"/>
      <c r="D193" s="10">
        <f t="shared" si="8"/>
        <v>9214</v>
      </c>
      <c r="E193" s="18" t="s">
        <v>34</v>
      </c>
      <c r="F193" s="19" t="s">
        <v>722</v>
      </c>
      <c r="G193" s="20" t="s">
        <v>23</v>
      </c>
      <c r="H193" s="20" t="s">
        <v>23</v>
      </c>
      <c r="I193" s="20" t="s">
        <v>39</v>
      </c>
      <c r="J193" s="10" t="s">
        <v>25</v>
      </c>
      <c r="K193" s="10" t="s">
        <v>26</v>
      </c>
      <c r="L193" s="10" t="s">
        <v>30</v>
      </c>
      <c r="M193" s="18" t="s">
        <v>28</v>
      </c>
      <c r="N193" s="10"/>
      <c r="O193" s="21" t="s">
        <v>723</v>
      </c>
      <c r="P193" s="21" t="s">
        <v>715</v>
      </c>
      <c r="Q193" s="29">
        <f t="shared" si="6"/>
        <v>0</v>
      </c>
      <c r="R193" s="30" t="str">
        <f t="shared" si="7"/>
        <v>P36.254</v>
      </c>
    </row>
    <row r="194" spans="1:18">
      <c r="A194" s="17"/>
      <c r="B194" s="17"/>
      <c r="C194" s="17"/>
      <c r="D194" s="10">
        <f t="shared" si="8"/>
        <v>9215</v>
      </c>
      <c r="E194" s="18" t="s">
        <v>34</v>
      </c>
      <c r="F194" s="19" t="s">
        <v>724</v>
      </c>
      <c r="G194" s="20" t="s">
        <v>23</v>
      </c>
      <c r="H194" s="20" t="s">
        <v>23</v>
      </c>
      <c r="I194" s="20" t="s">
        <v>39</v>
      </c>
      <c r="J194" s="10" t="s">
        <v>25</v>
      </c>
      <c r="K194" s="10" t="s">
        <v>26</v>
      </c>
      <c r="L194" s="10" t="s">
        <v>30</v>
      </c>
      <c r="M194" s="18" t="s">
        <v>28</v>
      </c>
      <c r="N194" s="10"/>
      <c r="O194" s="21" t="s">
        <v>725</v>
      </c>
      <c r="P194" s="21" t="s">
        <v>715</v>
      </c>
      <c r="Q194" s="29">
        <f t="shared" si="6"/>
        <v>0</v>
      </c>
      <c r="R194" s="30" t="str">
        <f t="shared" si="7"/>
        <v>P36.255</v>
      </c>
    </row>
    <row r="195" spans="1:18">
      <c r="A195" s="17"/>
      <c r="B195" s="17"/>
      <c r="C195" s="17"/>
      <c r="D195" s="10">
        <f t="shared" si="8"/>
        <v>9216</v>
      </c>
      <c r="E195" s="18" t="s">
        <v>34</v>
      </c>
      <c r="F195" s="19" t="s">
        <v>726</v>
      </c>
      <c r="G195" s="20" t="s">
        <v>23</v>
      </c>
      <c r="H195" s="20" t="s">
        <v>23</v>
      </c>
      <c r="I195" s="20" t="s">
        <v>39</v>
      </c>
      <c r="J195" s="10" t="s">
        <v>25</v>
      </c>
      <c r="K195" s="10" t="s">
        <v>26</v>
      </c>
      <c r="L195" s="10" t="s">
        <v>30</v>
      </c>
      <c r="M195" s="18" t="s">
        <v>28</v>
      </c>
      <c r="N195" s="10"/>
      <c r="O195" s="21" t="s">
        <v>727</v>
      </c>
      <c r="P195" s="21" t="s">
        <v>715</v>
      </c>
      <c r="Q195" s="29">
        <f t="shared" si="6"/>
        <v>0</v>
      </c>
      <c r="R195" s="30" t="str">
        <f t="shared" si="7"/>
        <v>P36.000</v>
      </c>
    </row>
    <row r="196" spans="1:18">
      <c r="A196" s="17"/>
      <c r="B196" s="17"/>
      <c r="C196" s="17"/>
      <c r="D196" s="10">
        <f t="shared" si="8"/>
        <v>9217</v>
      </c>
      <c r="E196" s="18" t="s">
        <v>34</v>
      </c>
      <c r="F196" s="19" t="s">
        <v>728</v>
      </c>
      <c r="G196" s="20" t="s">
        <v>23</v>
      </c>
      <c r="H196" s="20" t="s">
        <v>23</v>
      </c>
      <c r="I196" s="20" t="s">
        <v>39</v>
      </c>
      <c r="J196" s="10" t="s">
        <v>25</v>
      </c>
      <c r="K196" s="10" t="s">
        <v>26</v>
      </c>
      <c r="L196" s="10" t="s">
        <v>30</v>
      </c>
      <c r="M196" s="18" t="s">
        <v>28</v>
      </c>
      <c r="N196" s="10"/>
      <c r="O196" s="21" t="s">
        <v>729</v>
      </c>
      <c r="P196" s="21" t="s">
        <v>715</v>
      </c>
      <c r="Q196" s="29">
        <f t="shared" si="6"/>
        <v>0</v>
      </c>
      <c r="R196" s="30" t="str">
        <f t="shared" si="7"/>
        <v>P36.001</v>
      </c>
    </row>
    <row r="197" spans="1:18">
      <c r="A197" s="17"/>
      <c r="B197" s="17"/>
      <c r="C197" s="17"/>
      <c r="D197" s="10">
        <f t="shared" si="8"/>
        <v>9218</v>
      </c>
      <c r="E197" s="18" t="s">
        <v>34</v>
      </c>
      <c r="F197" s="19" t="s">
        <v>730</v>
      </c>
      <c r="G197" s="20" t="s">
        <v>23</v>
      </c>
      <c r="H197" s="20" t="s">
        <v>23</v>
      </c>
      <c r="I197" s="20" t="s">
        <v>39</v>
      </c>
      <c r="J197" s="10" t="s">
        <v>25</v>
      </c>
      <c r="K197" s="10" t="s">
        <v>26</v>
      </c>
      <c r="L197" s="10" t="s">
        <v>30</v>
      </c>
      <c r="M197" s="18" t="s">
        <v>28</v>
      </c>
      <c r="N197" s="10"/>
      <c r="O197" s="21" t="s">
        <v>731</v>
      </c>
      <c r="P197" s="21" t="s">
        <v>715</v>
      </c>
      <c r="Q197" s="29">
        <f t="shared" si="6"/>
        <v>0</v>
      </c>
      <c r="R197" s="30" t="str">
        <f t="shared" si="7"/>
        <v>P36.002</v>
      </c>
    </row>
    <row r="198" spans="1:18">
      <c r="A198" s="17"/>
      <c r="B198" s="17"/>
      <c r="C198" s="17"/>
      <c r="D198" s="10">
        <f t="shared" si="8"/>
        <v>9219</v>
      </c>
      <c r="E198" s="18" t="s">
        <v>34</v>
      </c>
      <c r="F198" s="19" t="s">
        <v>732</v>
      </c>
      <c r="G198" s="20" t="s">
        <v>23</v>
      </c>
      <c r="H198" s="20" t="s">
        <v>23</v>
      </c>
      <c r="I198" s="20" t="s">
        <v>39</v>
      </c>
      <c r="J198" s="10" t="s">
        <v>25</v>
      </c>
      <c r="K198" s="10" t="s">
        <v>26</v>
      </c>
      <c r="L198" s="10" t="s">
        <v>30</v>
      </c>
      <c r="M198" s="18" t="s">
        <v>28</v>
      </c>
      <c r="N198" s="10"/>
      <c r="O198" s="21" t="s">
        <v>733</v>
      </c>
      <c r="P198" s="21" t="s">
        <v>715</v>
      </c>
      <c r="Q198" s="29">
        <f t="shared" si="6"/>
        <v>0</v>
      </c>
      <c r="R198" s="30" t="str">
        <f t="shared" si="7"/>
        <v>P36.003</v>
      </c>
    </row>
    <row r="199" spans="1:18">
      <c r="A199" s="17"/>
      <c r="B199" s="17"/>
      <c r="C199" s="17"/>
      <c r="D199" s="10">
        <f t="shared" si="8"/>
        <v>9220</v>
      </c>
      <c r="E199" s="18" t="s">
        <v>34</v>
      </c>
      <c r="F199" s="19" t="s">
        <v>734</v>
      </c>
      <c r="G199" s="20" t="s">
        <v>23</v>
      </c>
      <c r="H199" s="20" t="s">
        <v>23</v>
      </c>
      <c r="I199" s="20" t="s">
        <v>39</v>
      </c>
      <c r="J199" s="10" t="s">
        <v>25</v>
      </c>
      <c r="K199" s="10" t="s">
        <v>26</v>
      </c>
      <c r="L199" s="10" t="s">
        <v>30</v>
      </c>
      <c r="M199" s="18" t="s">
        <v>28</v>
      </c>
      <c r="N199" s="10"/>
      <c r="O199" s="21" t="s">
        <v>735</v>
      </c>
      <c r="P199" s="21" t="s">
        <v>715</v>
      </c>
      <c r="Q199" s="29">
        <f t="shared" si="6"/>
        <v>0</v>
      </c>
      <c r="R199" s="30" t="str">
        <f t="shared" si="7"/>
        <v>P36.004</v>
      </c>
    </row>
    <row r="200" spans="1:18">
      <c r="A200" s="17"/>
      <c r="B200" s="17"/>
      <c r="C200" s="17"/>
      <c r="D200" s="10">
        <f t="shared" si="8"/>
        <v>9221</v>
      </c>
      <c r="E200" s="18" t="s">
        <v>34</v>
      </c>
      <c r="F200" s="19" t="s">
        <v>736</v>
      </c>
      <c r="G200" s="20" t="s">
        <v>23</v>
      </c>
      <c r="H200" s="20" t="s">
        <v>23</v>
      </c>
      <c r="I200" s="20" t="s">
        <v>39</v>
      </c>
      <c r="J200" s="10" t="s">
        <v>25</v>
      </c>
      <c r="K200" s="10" t="s">
        <v>26</v>
      </c>
      <c r="L200" s="10" t="s">
        <v>30</v>
      </c>
      <c r="M200" s="18" t="s">
        <v>28</v>
      </c>
      <c r="N200" s="10"/>
      <c r="O200" s="21" t="s">
        <v>737</v>
      </c>
      <c r="P200" s="21" t="s">
        <v>715</v>
      </c>
      <c r="Q200" s="29">
        <f t="shared" ref="Q200:Q263" si="9">IF(OR(F200="",LEFT(TRIM(F200),3)=E200),1,0)</f>
        <v>0</v>
      </c>
      <c r="R200" s="30" t="str">
        <f t="shared" ref="R200:R263" si="10">"P"&amp;TEXT(ROUND(D200/256,0),"00")&amp;"."&amp;TEXT(MOD(D200,256),"000")</f>
        <v>P36.005</v>
      </c>
    </row>
    <row r="201" spans="1:18">
      <c r="A201" s="17"/>
      <c r="B201" s="17"/>
      <c r="C201" s="17"/>
      <c r="D201" s="10">
        <f t="shared" ref="D201:D264" si="11">INDEX(D:D,ROW()-1)+_xlfn.IFS(INDEX(E:E,ROW()-1)="u16",1,INDEX(E:E,ROW()-1)="s16",1,INDEX(E:E,ROW()-1)="s32",2,INDEX(E:E,ROW()-1)="s64",4,INDEX(E:E,ROW()-1)="u16",1,INDEX(E:E,ROW()-1)="u32",2,INDEX(E:E,ROW()-1)="u64",4,INDEX(E:E,ROW()-1)="f32",2,INDEX(E:E,ROW()-1)="f64",4)</f>
        <v>9222</v>
      </c>
      <c r="E201" s="18" t="s">
        <v>34</v>
      </c>
      <c r="F201" s="19" t="s">
        <v>738</v>
      </c>
      <c r="G201" s="20" t="s">
        <v>23</v>
      </c>
      <c r="H201" s="20" t="s">
        <v>23</v>
      </c>
      <c r="I201" s="20" t="s">
        <v>39</v>
      </c>
      <c r="J201" s="10" t="s">
        <v>25</v>
      </c>
      <c r="K201" s="10" t="s">
        <v>26</v>
      </c>
      <c r="L201" s="10" t="s">
        <v>30</v>
      </c>
      <c r="M201" s="18" t="s">
        <v>28</v>
      </c>
      <c r="N201" s="10"/>
      <c r="O201" s="21" t="s">
        <v>739</v>
      </c>
      <c r="P201" s="21" t="s">
        <v>715</v>
      </c>
      <c r="Q201" s="29">
        <f t="shared" si="9"/>
        <v>0</v>
      </c>
      <c r="R201" s="30" t="str">
        <f t="shared" si="10"/>
        <v>P36.006</v>
      </c>
    </row>
    <row r="202" spans="1:18">
      <c r="A202" s="17"/>
      <c r="B202" s="17"/>
      <c r="C202" s="17"/>
      <c r="D202" s="10">
        <f t="shared" si="11"/>
        <v>9223</v>
      </c>
      <c r="E202" s="18" t="s">
        <v>34</v>
      </c>
      <c r="F202" s="19"/>
      <c r="G202" s="20" t="s">
        <v>23</v>
      </c>
      <c r="H202" s="20" t="s">
        <v>23</v>
      </c>
      <c r="I202" s="20" t="s">
        <v>35</v>
      </c>
      <c r="J202" s="10" t="s">
        <v>25</v>
      </c>
      <c r="K202" s="10" t="s">
        <v>26</v>
      </c>
      <c r="L202" s="10" t="s">
        <v>30</v>
      </c>
      <c r="M202" s="18" t="s">
        <v>28</v>
      </c>
      <c r="N202" s="10"/>
      <c r="O202" s="21"/>
      <c r="P202" s="21"/>
      <c r="Q202" s="29">
        <f t="shared" si="9"/>
        <v>1</v>
      </c>
      <c r="R202" s="30" t="str">
        <f t="shared" si="10"/>
        <v>P36.007</v>
      </c>
    </row>
    <row r="203" spans="1:18">
      <c r="A203" s="17"/>
      <c r="B203" s="17"/>
      <c r="C203" s="17"/>
      <c r="D203" s="10">
        <f t="shared" si="11"/>
        <v>9224</v>
      </c>
      <c r="E203" s="18" t="s">
        <v>383</v>
      </c>
      <c r="F203" s="19" t="s">
        <v>740</v>
      </c>
      <c r="G203" s="20" t="s">
        <v>23</v>
      </c>
      <c r="H203" s="20" t="s">
        <v>385</v>
      </c>
      <c r="I203" s="20" t="s">
        <v>386</v>
      </c>
      <c r="J203" s="10" t="s">
        <v>25</v>
      </c>
      <c r="K203" s="10" t="s">
        <v>26</v>
      </c>
      <c r="L203" s="10" t="s">
        <v>30</v>
      </c>
      <c r="M203" s="18" t="s">
        <v>28</v>
      </c>
      <c r="N203" s="19"/>
      <c r="O203" s="21" t="s">
        <v>741</v>
      </c>
      <c r="P203" s="21"/>
      <c r="Q203" s="29">
        <f t="shared" si="9"/>
        <v>1</v>
      </c>
      <c r="R203" s="30" t="str">
        <f t="shared" si="10"/>
        <v>P36.008</v>
      </c>
    </row>
    <row r="204" spans="1:18">
      <c r="A204" s="17"/>
      <c r="B204" s="17"/>
      <c r="C204" s="17"/>
      <c r="D204" s="10">
        <f t="shared" si="11"/>
        <v>9228</v>
      </c>
      <c r="E204" s="18" t="s">
        <v>383</v>
      </c>
      <c r="F204" s="19" t="s">
        <v>742</v>
      </c>
      <c r="G204" s="20" t="s">
        <v>23</v>
      </c>
      <c r="H204" s="20" t="s">
        <v>385</v>
      </c>
      <c r="I204" s="20" t="s">
        <v>386</v>
      </c>
      <c r="J204" s="10" t="s">
        <v>25</v>
      </c>
      <c r="K204" s="10" t="s">
        <v>26</v>
      </c>
      <c r="L204" s="10" t="s">
        <v>30</v>
      </c>
      <c r="M204" s="18" t="s">
        <v>28</v>
      </c>
      <c r="N204" s="19"/>
      <c r="O204" s="21" t="s">
        <v>743</v>
      </c>
      <c r="P204" s="21"/>
      <c r="Q204" s="29">
        <f t="shared" si="9"/>
        <v>1</v>
      </c>
      <c r="R204" s="30" t="str">
        <f t="shared" si="10"/>
        <v>P36.012</v>
      </c>
    </row>
    <row r="205" spans="1:18">
      <c r="A205" s="17"/>
      <c r="B205" s="17"/>
      <c r="C205" s="17"/>
      <c r="D205" s="10">
        <f t="shared" si="11"/>
        <v>9232</v>
      </c>
      <c r="E205" s="18" t="s">
        <v>383</v>
      </c>
      <c r="F205" s="19" t="s">
        <v>744</v>
      </c>
      <c r="G205" s="20" t="s">
        <v>23</v>
      </c>
      <c r="H205" s="20" t="s">
        <v>385</v>
      </c>
      <c r="I205" s="20" t="s">
        <v>386</v>
      </c>
      <c r="J205" s="10" t="s">
        <v>25</v>
      </c>
      <c r="K205" s="10" t="s">
        <v>26</v>
      </c>
      <c r="L205" s="10" t="s">
        <v>30</v>
      </c>
      <c r="M205" s="18" t="s">
        <v>28</v>
      </c>
      <c r="N205" s="19"/>
      <c r="O205" s="21" t="s">
        <v>745</v>
      </c>
      <c r="P205" s="21"/>
      <c r="Q205" s="29">
        <f t="shared" si="9"/>
        <v>1</v>
      </c>
      <c r="R205" s="30" t="str">
        <f t="shared" si="10"/>
        <v>P36.016</v>
      </c>
    </row>
    <row r="206" spans="1:18">
      <c r="A206" s="17"/>
      <c r="B206" s="17"/>
      <c r="C206" s="17"/>
      <c r="D206" s="10">
        <f t="shared" si="11"/>
        <v>9236</v>
      </c>
      <c r="E206" s="18" t="s">
        <v>383</v>
      </c>
      <c r="F206" s="19" t="s">
        <v>746</v>
      </c>
      <c r="G206" s="20" t="s">
        <v>23</v>
      </c>
      <c r="H206" s="20" t="s">
        <v>385</v>
      </c>
      <c r="I206" s="20" t="s">
        <v>386</v>
      </c>
      <c r="J206" s="10" t="s">
        <v>25</v>
      </c>
      <c r="K206" s="10" t="s">
        <v>26</v>
      </c>
      <c r="L206" s="10" t="s">
        <v>30</v>
      </c>
      <c r="M206" s="18" t="s">
        <v>28</v>
      </c>
      <c r="N206" s="19"/>
      <c r="O206" s="21" t="s">
        <v>747</v>
      </c>
      <c r="P206" s="21"/>
      <c r="Q206" s="29">
        <f t="shared" si="9"/>
        <v>1</v>
      </c>
      <c r="R206" s="30" t="str">
        <f t="shared" si="10"/>
        <v>P36.020</v>
      </c>
    </row>
    <row r="207" spans="1:18">
      <c r="A207" s="17"/>
      <c r="B207" s="17"/>
      <c r="C207" s="17"/>
      <c r="D207" s="10">
        <f t="shared" si="11"/>
        <v>9240</v>
      </c>
      <c r="E207" s="18" t="s">
        <v>34</v>
      </c>
      <c r="F207" s="19" t="s">
        <v>748</v>
      </c>
      <c r="G207" s="20" t="s">
        <v>23</v>
      </c>
      <c r="H207" s="20" t="s">
        <v>23</v>
      </c>
      <c r="I207" s="20" t="s">
        <v>35</v>
      </c>
      <c r="J207" s="10" t="s">
        <v>25</v>
      </c>
      <c r="K207" s="10" t="s">
        <v>26</v>
      </c>
      <c r="L207" s="10" t="s">
        <v>30</v>
      </c>
      <c r="M207" s="18" t="s">
        <v>28</v>
      </c>
      <c r="N207" s="19"/>
      <c r="O207" s="21" t="s">
        <v>749</v>
      </c>
      <c r="P207" s="21"/>
      <c r="Q207" s="29">
        <f t="shared" si="9"/>
        <v>0</v>
      </c>
      <c r="R207" s="30" t="str">
        <f t="shared" si="10"/>
        <v>P36.024</v>
      </c>
    </row>
    <row r="208" spans="1:18">
      <c r="A208" s="17"/>
      <c r="B208" s="17"/>
      <c r="C208" s="17"/>
      <c r="D208" s="10">
        <f t="shared" si="11"/>
        <v>9241</v>
      </c>
      <c r="E208" s="18" t="s">
        <v>34</v>
      </c>
      <c r="F208" s="19"/>
      <c r="G208" s="20" t="s">
        <v>23</v>
      </c>
      <c r="H208" s="20" t="s">
        <v>23</v>
      </c>
      <c r="I208" s="20" t="s">
        <v>35</v>
      </c>
      <c r="J208" s="10" t="s">
        <v>25</v>
      </c>
      <c r="K208" s="10" t="s">
        <v>26</v>
      </c>
      <c r="L208" s="10" t="s">
        <v>30</v>
      </c>
      <c r="M208" s="18" t="s">
        <v>28</v>
      </c>
      <c r="N208" s="10"/>
      <c r="O208" s="21"/>
      <c r="P208" s="21"/>
      <c r="Q208" s="29">
        <f t="shared" si="9"/>
        <v>1</v>
      </c>
      <c r="R208" s="30" t="str">
        <f t="shared" si="10"/>
        <v>P36.025</v>
      </c>
    </row>
    <row r="209" spans="1:18">
      <c r="A209" s="17"/>
      <c r="B209" s="17"/>
      <c r="C209" s="17"/>
      <c r="D209" s="10">
        <f t="shared" si="11"/>
        <v>9242</v>
      </c>
      <c r="E209" s="18" t="s">
        <v>434</v>
      </c>
      <c r="F209" s="19" t="s">
        <v>750</v>
      </c>
      <c r="G209" s="20" t="s">
        <v>23</v>
      </c>
      <c r="H209" s="20" t="s">
        <v>436</v>
      </c>
      <c r="I209" s="20" t="s">
        <v>437</v>
      </c>
      <c r="J209" s="10" t="s">
        <v>695</v>
      </c>
      <c r="K209" s="10" t="s">
        <v>26</v>
      </c>
      <c r="L209" s="10" t="s">
        <v>30</v>
      </c>
      <c r="M209" s="18" t="s">
        <v>28</v>
      </c>
      <c r="N209" s="19"/>
      <c r="O209" s="21" t="s">
        <v>751</v>
      </c>
      <c r="P209" s="21"/>
      <c r="Q209" s="29">
        <f t="shared" si="9"/>
        <v>1</v>
      </c>
      <c r="R209" s="30" t="str">
        <f t="shared" si="10"/>
        <v>P36.026</v>
      </c>
    </row>
    <row r="210" spans="1:18">
      <c r="A210" s="17"/>
      <c r="B210" s="17"/>
      <c r="C210" s="17"/>
      <c r="D210" s="10">
        <f t="shared" si="11"/>
        <v>9244</v>
      </c>
      <c r="E210" s="18" t="s">
        <v>34</v>
      </c>
      <c r="F210" s="19" t="s">
        <v>752</v>
      </c>
      <c r="G210" s="20" t="s">
        <v>23</v>
      </c>
      <c r="H210" s="20" t="s">
        <v>171</v>
      </c>
      <c r="I210" s="20" t="s">
        <v>35</v>
      </c>
      <c r="J210" s="10" t="s">
        <v>172</v>
      </c>
      <c r="K210" s="10" t="s">
        <v>26</v>
      </c>
      <c r="L210" s="10" t="s">
        <v>30</v>
      </c>
      <c r="M210" s="18" t="s">
        <v>28</v>
      </c>
      <c r="N210" s="19"/>
      <c r="O210" s="21" t="s">
        <v>753</v>
      </c>
      <c r="P210" s="21"/>
      <c r="Q210" s="29">
        <f t="shared" si="9"/>
        <v>1</v>
      </c>
      <c r="R210" s="30" t="str">
        <f t="shared" si="10"/>
        <v>P36.028</v>
      </c>
    </row>
    <row r="211" spans="1:18">
      <c r="A211" s="17"/>
      <c r="B211" s="17"/>
      <c r="C211" s="17"/>
      <c r="D211" s="10">
        <f t="shared" si="11"/>
        <v>9245</v>
      </c>
      <c r="E211" s="18" t="s">
        <v>34</v>
      </c>
      <c r="F211" s="19" t="s">
        <v>754</v>
      </c>
      <c r="G211" s="20" t="s">
        <v>23</v>
      </c>
      <c r="H211" s="20" t="s">
        <v>171</v>
      </c>
      <c r="I211" s="20" t="s">
        <v>35</v>
      </c>
      <c r="J211" s="10" t="s">
        <v>172</v>
      </c>
      <c r="K211" s="10" t="s">
        <v>26</v>
      </c>
      <c r="L211" s="10" t="s">
        <v>30</v>
      </c>
      <c r="M211" s="18" t="s">
        <v>28</v>
      </c>
      <c r="N211" s="19"/>
      <c r="O211" s="21" t="s">
        <v>755</v>
      </c>
      <c r="P211" s="21"/>
      <c r="Q211" s="29">
        <f t="shared" si="9"/>
        <v>1</v>
      </c>
      <c r="R211" s="30" t="str">
        <f t="shared" si="10"/>
        <v>P36.029</v>
      </c>
    </row>
    <row r="212" spans="1:18">
      <c r="A212" s="17"/>
      <c r="B212" s="17"/>
      <c r="C212" s="17"/>
      <c r="D212" s="10">
        <f t="shared" si="11"/>
        <v>9246</v>
      </c>
      <c r="E212" s="18" t="s">
        <v>34</v>
      </c>
      <c r="F212" s="19" t="s">
        <v>756</v>
      </c>
      <c r="G212" s="20" t="s">
        <v>23</v>
      </c>
      <c r="H212" s="20" t="s">
        <v>23</v>
      </c>
      <c r="I212" s="20" t="s">
        <v>35</v>
      </c>
      <c r="J212" s="10" t="s">
        <v>25</v>
      </c>
      <c r="K212" s="10" t="s">
        <v>26</v>
      </c>
      <c r="L212" s="10" t="s">
        <v>30</v>
      </c>
      <c r="M212" s="18" t="s">
        <v>28</v>
      </c>
      <c r="N212" s="19"/>
      <c r="O212" s="21" t="s">
        <v>757</v>
      </c>
      <c r="P212" s="21"/>
      <c r="Q212" s="29">
        <f t="shared" si="9"/>
        <v>0</v>
      </c>
      <c r="R212" s="30" t="str">
        <f t="shared" si="10"/>
        <v>P36.030</v>
      </c>
    </row>
    <row r="213" spans="1:18">
      <c r="A213" s="17"/>
      <c r="B213" s="17"/>
      <c r="C213" s="17"/>
      <c r="D213" s="10">
        <f t="shared" si="11"/>
        <v>9247</v>
      </c>
      <c r="E213" s="18" t="s">
        <v>434</v>
      </c>
      <c r="F213" s="19" t="s">
        <v>758</v>
      </c>
      <c r="G213" s="20" t="s">
        <v>23</v>
      </c>
      <c r="H213" s="20" t="s">
        <v>436</v>
      </c>
      <c r="I213" s="20" t="s">
        <v>437</v>
      </c>
      <c r="J213" s="10" t="s">
        <v>695</v>
      </c>
      <c r="K213" s="10" t="s">
        <v>26</v>
      </c>
      <c r="L213" s="10" t="s">
        <v>30</v>
      </c>
      <c r="M213" s="18" t="s">
        <v>28</v>
      </c>
      <c r="N213" s="10"/>
      <c r="O213" s="21" t="s">
        <v>759</v>
      </c>
      <c r="P213" s="21"/>
      <c r="Q213" s="29">
        <f t="shared" si="9"/>
        <v>1</v>
      </c>
      <c r="R213" s="30" t="str">
        <f t="shared" si="10"/>
        <v>P36.031</v>
      </c>
    </row>
    <row r="214" spans="1:18">
      <c r="A214" s="17"/>
      <c r="B214" s="17"/>
      <c r="C214" s="17"/>
      <c r="D214" s="10">
        <f t="shared" si="11"/>
        <v>9249</v>
      </c>
      <c r="E214" s="18" t="s">
        <v>434</v>
      </c>
      <c r="F214" s="19" t="s">
        <v>760</v>
      </c>
      <c r="G214" s="20" t="s">
        <v>23</v>
      </c>
      <c r="H214" s="20" t="s">
        <v>436</v>
      </c>
      <c r="I214" s="20" t="s">
        <v>437</v>
      </c>
      <c r="J214" s="10" t="s">
        <v>695</v>
      </c>
      <c r="K214" s="10" t="s">
        <v>26</v>
      </c>
      <c r="L214" s="10" t="s">
        <v>30</v>
      </c>
      <c r="M214" s="18" t="s">
        <v>28</v>
      </c>
      <c r="N214" s="21"/>
      <c r="O214" s="21" t="s">
        <v>761</v>
      </c>
      <c r="P214" s="21"/>
      <c r="Q214" s="29">
        <f t="shared" si="9"/>
        <v>1</v>
      </c>
      <c r="R214" s="30" t="str">
        <f t="shared" si="10"/>
        <v>P36.033</v>
      </c>
    </row>
    <row r="215" spans="1:18">
      <c r="A215" s="17"/>
      <c r="B215" s="17"/>
      <c r="C215" s="17"/>
      <c r="D215" s="10">
        <f t="shared" si="11"/>
        <v>9251</v>
      </c>
      <c r="E215" s="18" t="s">
        <v>34</v>
      </c>
      <c r="F215" s="19"/>
      <c r="G215" s="20" t="s">
        <v>23</v>
      </c>
      <c r="H215" s="20" t="s">
        <v>23</v>
      </c>
      <c r="I215" s="20" t="s">
        <v>35</v>
      </c>
      <c r="J215" s="10" t="s">
        <v>25</v>
      </c>
      <c r="K215" s="10" t="s">
        <v>26</v>
      </c>
      <c r="L215" s="10" t="s">
        <v>30</v>
      </c>
      <c r="M215" s="18" t="s">
        <v>28</v>
      </c>
      <c r="N215" s="10"/>
      <c r="O215" s="21"/>
      <c r="P215" s="21"/>
      <c r="Q215" s="29">
        <f t="shared" si="9"/>
        <v>1</v>
      </c>
      <c r="R215" s="30" t="str">
        <f t="shared" si="10"/>
        <v>P36.035</v>
      </c>
    </row>
    <row r="216" spans="1:18">
      <c r="A216" s="17"/>
      <c r="B216" s="17"/>
      <c r="C216" s="17"/>
      <c r="D216" s="10">
        <f t="shared" si="11"/>
        <v>9252</v>
      </c>
      <c r="E216" s="18" t="s">
        <v>91</v>
      </c>
      <c r="F216" s="19" t="s">
        <v>762</v>
      </c>
      <c r="G216" s="20" t="s">
        <v>23</v>
      </c>
      <c r="H216" s="20" t="s">
        <v>93</v>
      </c>
      <c r="I216" s="20" t="s">
        <v>94</v>
      </c>
      <c r="J216" s="10" t="s">
        <v>89</v>
      </c>
      <c r="K216" s="10" t="s">
        <v>26</v>
      </c>
      <c r="L216" s="10" t="s">
        <v>30</v>
      </c>
      <c r="M216" s="18" t="s">
        <v>28</v>
      </c>
      <c r="N216" s="19"/>
      <c r="O216" s="21" t="s">
        <v>763</v>
      </c>
      <c r="P216" s="21"/>
      <c r="Q216" s="29">
        <f t="shared" si="9"/>
        <v>1</v>
      </c>
      <c r="R216" s="30" t="str">
        <f t="shared" si="10"/>
        <v>P36.036</v>
      </c>
    </row>
    <row r="217" spans="1:18">
      <c r="A217" s="17"/>
      <c r="B217" s="17"/>
      <c r="C217" s="17"/>
      <c r="D217" s="10">
        <f t="shared" si="11"/>
        <v>9253</v>
      </c>
      <c r="E217" s="18" t="s">
        <v>91</v>
      </c>
      <c r="F217" s="19" t="s">
        <v>764</v>
      </c>
      <c r="G217" s="20" t="s">
        <v>23</v>
      </c>
      <c r="H217" s="20" t="s">
        <v>93</v>
      </c>
      <c r="I217" s="20" t="s">
        <v>94</v>
      </c>
      <c r="J217" s="10" t="s">
        <v>89</v>
      </c>
      <c r="K217" s="10" t="s">
        <v>26</v>
      </c>
      <c r="L217" s="10" t="s">
        <v>30</v>
      </c>
      <c r="M217" s="18" t="s">
        <v>28</v>
      </c>
      <c r="N217" s="19"/>
      <c r="O217" s="21" t="s">
        <v>765</v>
      </c>
      <c r="P217" s="21"/>
      <c r="Q217" s="29">
        <f t="shared" si="9"/>
        <v>1</v>
      </c>
      <c r="R217" s="30" t="str">
        <f t="shared" si="10"/>
        <v>P36.037</v>
      </c>
    </row>
    <row r="218" spans="1:18">
      <c r="A218" s="17"/>
      <c r="B218" s="17"/>
      <c r="C218" s="17"/>
      <c r="D218" s="10">
        <f t="shared" si="11"/>
        <v>9254</v>
      </c>
      <c r="E218" s="18" t="s">
        <v>91</v>
      </c>
      <c r="F218" s="19" t="s">
        <v>766</v>
      </c>
      <c r="G218" s="20" t="s">
        <v>23</v>
      </c>
      <c r="H218" s="20" t="s">
        <v>93</v>
      </c>
      <c r="I218" s="20" t="s">
        <v>94</v>
      </c>
      <c r="J218" s="10" t="s">
        <v>89</v>
      </c>
      <c r="K218" s="10" t="s">
        <v>26</v>
      </c>
      <c r="L218" s="10" t="s">
        <v>30</v>
      </c>
      <c r="M218" s="18" t="s">
        <v>28</v>
      </c>
      <c r="N218" s="19"/>
      <c r="O218" s="21" t="s">
        <v>767</v>
      </c>
      <c r="P218" s="21"/>
      <c r="Q218" s="29">
        <f t="shared" si="9"/>
        <v>1</v>
      </c>
      <c r="R218" s="30" t="str">
        <f t="shared" si="10"/>
        <v>P36.038</v>
      </c>
    </row>
    <row r="219" spans="1:18">
      <c r="A219" s="17"/>
      <c r="B219" s="17"/>
      <c r="C219" s="17"/>
      <c r="D219" s="10">
        <f t="shared" si="11"/>
        <v>9255</v>
      </c>
      <c r="E219" s="18" t="s">
        <v>91</v>
      </c>
      <c r="F219" s="19" t="s">
        <v>768</v>
      </c>
      <c r="G219" s="20" t="s">
        <v>23</v>
      </c>
      <c r="H219" s="20" t="s">
        <v>93</v>
      </c>
      <c r="I219" s="20" t="s">
        <v>94</v>
      </c>
      <c r="J219" s="10" t="s">
        <v>89</v>
      </c>
      <c r="K219" s="10" t="s">
        <v>26</v>
      </c>
      <c r="L219" s="10" t="s">
        <v>30</v>
      </c>
      <c r="M219" s="18" t="s">
        <v>28</v>
      </c>
      <c r="N219" s="19"/>
      <c r="O219" s="21" t="s">
        <v>769</v>
      </c>
      <c r="P219" s="21"/>
      <c r="Q219" s="29">
        <f t="shared" si="9"/>
        <v>1</v>
      </c>
      <c r="R219" s="30" t="str">
        <f t="shared" si="10"/>
        <v>P36.039</v>
      </c>
    </row>
    <row r="220" spans="1:18">
      <c r="A220" s="17"/>
      <c r="B220" s="17"/>
      <c r="C220" s="17"/>
      <c r="D220" s="10">
        <f t="shared" si="11"/>
        <v>9256</v>
      </c>
      <c r="E220" s="18" t="s">
        <v>34</v>
      </c>
      <c r="F220" s="19"/>
      <c r="G220" s="20" t="s">
        <v>23</v>
      </c>
      <c r="H220" s="20" t="s">
        <v>23</v>
      </c>
      <c r="I220" s="20" t="s">
        <v>35</v>
      </c>
      <c r="J220" s="10" t="s">
        <v>25</v>
      </c>
      <c r="K220" s="10" t="s">
        <v>26</v>
      </c>
      <c r="L220" s="10" t="s">
        <v>30</v>
      </c>
      <c r="M220" s="18" t="s">
        <v>28</v>
      </c>
      <c r="N220" s="10"/>
      <c r="O220" s="21"/>
      <c r="P220" s="21"/>
      <c r="Q220" s="29">
        <f t="shared" si="9"/>
        <v>1</v>
      </c>
      <c r="R220" s="30" t="str">
        <f t="shared" si="10"/>
        <v>P36.040</v>
      </c>
    </row>
    <row r="221" spans="1:18">
      <c r="A221" s="17"/>
      <c r="B221" s="17"/>
      <c r="C221" s="17"/>
      <c r="D221" s="10">
        <f t="shared" si="11"/>
        <v>9257</v>
      </c>
      <c r="E221" s="18" t="s">
        <v>34</v>
      </c>
      <c r="F221" s="19"/>
      <c r="G221" s="20" t="s">
        <v>23</v>
      </c>
      <c r="H221" s="20" t="s">
        <v>23</v>
      </c>
      <c r="I221" s="20" t="s">
        <v>35</v>
      </c>
      <c r="J221" s="10" t="s">
        <v>25</v>
      </c>
      <c r="K221" s="10" t="s">
        <v>26</v>
      </c>
      <c r="L221" s="10" t="s">
        <v>30</v>
      </c>
      <c r="M221" s="18" t="s">
        <v>28</v>
      </c>
      <c r="N221" s="10"/>
      <c r="O221" s="21"/>
      <c r="P221" s="21"/>
      <c r="Q221" s="29">
        <f t="shared" si="9"/>
        <v>1</v>
      </c>
      <c r="R221" s="30" t="str">
        <f t="shared" si="10"/>
        <v>P36.041</v>
      </c>
    </row>
    <row r="222" spans="1:18">
      <c r="A222" s="17"/>
      <c r="B222" s="17"/>
      <c r="C222" s="17"/>
      <c r="D222" s="10">
        <f t="shared" si="11"/>
        <v>9258</v>
      </c>
      <c r="E222" s="18" t="s">
        <v>383</v>
      </c>
      <c r="F222" s="19" t="s">
        <v>770</v>
      </c>
      <c r="G222" s="20" t="s">
        <v>23</v>
      </c>
      <c r="H222" s="20" t="s">
        <v>385</v>
      </c>
      <c r="I222" s="20" t="s">
        <v>386</v>
      </c>
      <c r="J222" s="10" t="s">
        <v>25</v>
      </c>
      <c r="K222" s="10" t="s">
        <v>26</v>
      </c>
      <c r="L222" s="10" t="s">
        <v>30</v>
      </c>
      <c r="M222" s="18" t="s">
        <v>28</v>
      </c>
      <c r="N222" s="19"/>
      <c r="O222" s="21" t="s">
        <v>771</v>
      </c>
      <c r="P222" s="21"/>
      <c r="Q222" s="29">
        <f t="shared" si="9"/>
        <v>1</v>
      </c>
      <c r="R222" s="30" t="str">
        <f t="shared" si="10"/>
        <v>P36.042</v>
      </c>
    </row>
    <row r="223" spans="1:18">
      <c r="A223" s="17"/>
      <c r="B223" s="17"/>
      <c r="C223" s="17"/>
      <c r="D223" s="10">
        <f t="shared" si="11"/>
        <v>9262</v>
      </c>
      <c r="E223" s="18" t="s">
        <v>434</v>
      </c>
      <c r="F223" s="19" t="s">
        <v>772</v>
      </c>
      <c r="G223" s="20" t="s">
        <v>23</v>
      </c>
      <c r="H223" s="20" t="s">
        <v>436</v>
      </c>
      <c r="I223" s="20" t="s">
        <v>437</v>
      </c>
      <c r="J223" s="10" t="s">
        <v>695</v>
      </c>
      <c r="K223" s="10" t="s">
        <v>26</v>
      </c>
      <c r="L223" s="10" t="s">
        <v>30</v>
      </c>
      <c r="M223" s="18" t="s">
        <v>28</v>
      </c>
      <c r="N223" s="21"/>
      <c r="O223" s="21" t="s">
        <v>773</v>
      </c>
      <c r="P223" s="21"/>
      <c r="Q223" s="29">
        <f t="shared" si="9"/>
        <v>1</v>
      </c>
      <c r="R223" s="30" t="str">
        <f t="shared" si="10"/>
        <v>P36.046</v>
      </c>
    </row>
    <row r="224" spans="1:18">
      <c r="A224" s="17"/>
      <c r="B224" s="17"/>
      <c r="C224" s="17"/>
      <c r="D224" s="10">
        <f t="shared" si="11"/>
        <v>9264</v>
      </c>
      <c r="E224" s="18" t="s">
        <v>91</v>
      </c>
      <c r="F224" s="19" t="s">
        <v>774</v>
      </c>
      <c r="G224" s="20" t="s">
        <v>23</v>
      </c>
      <c r="H224" s="20" t="s">
        <v>93</v>
      </c>
      <c r="I224" s="20" t="s">
        <v>94</v>
      </c>
      <c r="J224" s="10" t="s">
        <v>365</v>
      </c>
      <c r="K224" s="10" t="s">
        <v>26</v>
      </c>
      <c r="L224" s="10" t="s">
        <v>30</v>
      </c>
      <c r="M224" s="18" t="s">
        <v>28</v>
      </c>
      <c r="N224" s="21"/>
      <c r="O224" s="21" t="s">
        <v>775</v>
      </c>
      <c r="P224" s="21"/>
      <c r="Q224" s="29">
        <f t="shared" si="9"/>
        <v>1</v>
      </c>
      <c r="R224" s="30" t="str">
        <f t="shared" si="10"/>
        <v>P36.048</v>
      </c>
    </row>
    <row r="225" spans="1:18">
      <c r="A225" s="17"/>
      <c r="B225" s="17"/>
      <c r="C225" s="17"/>
      <c r="D225" s="10">
        <f t="shared" si="11"/>
        <v>9265</v>
      </c>
      <c r="E225" s="18" t="s">
        <v>91</v>
      </c>
      <c r="F225" s="19" t="s">
        <v>776</v>
      </c>
      <c r="G225" s="20" t="s">
        <v>23</v>
      </c>
      <c r="H225" s="20" t="s">
        <v>93</v>
      </c>
      <c r="I225" s="20" t="s">
        <v>94</v>
      </c>
      <c r="J225" s="10" t="s">
        <v>365</v>
      </c>
      <c r="K225" s="10" t="s">
        <v>26</v>
      </c>
      <c r="L225" s="10" t="s">
        <v>30</v>
      </c>
      <c r="M225" s="18" t="s">
        <v>28</v>
      </c>
      <c r="N225" s="21"/>
      <c r="O225" s="21" t="s">
        <v>777</v>
      </c>
      <c r="P225" s="21"/>
      <c r="Q225" s="29">
        <f t="shared" si="9"/>
        <v>1</v>
      </c>
      <c r="R225" s="30" t="str">
        <f t="shared" si="10"/>
        <v>P36.049</v>
      </c>
    </row>
    <row r="226" spans="1:18">
      <c r="A226" s="17"/>
      <c r="B226" s="17"/>
      <c r="C226" s="17"/>
      <c r="D226" s="10">
        <f t="shared" si="11"/>
        <v>9266</v>
      </c>
      <c r="E226" s="18" t="s">
        <v>434</v>
      </c>
      <c r="F226" s="19" t="s">
        <v>778</v>
      </c>
      <c r="G226" s="20" t="s">
        <v>23</v>
      </c>
      <c r="H226" s="20" t="s">
        <v>436</v>
      </c>
      <c r="I226" s="20" t="s">
        <v>437</v>
      </c>
      <c r="J226" s="10" t="s">
        <v>489</v>
      </c>
      <c r="K226" s="10" t="s">
        <v>26</v>
      </c>
      <c r="L226" s="10" t="s">
        <v>30</v>
      </c>
      <c r="M226" s="18" t="s">
        <v>28</v>
      </c>
      <c r="N226" s="19"/>
      <c r="O226" s="21" t="s">
        <v>779</v>
      </c>
      <c r="P226" s="21"/>
      <c r="Q226" s="29">
        <f t="shared" si="9"/>
        <v>1</v>
      </c>
      <c r="R226" s="30" t="str">
        <f t="shared" si="10"/>
        <v>P36.050</v>
      </c>
    </row>
    <row r="227" spans="1:18">
      <c r="A227" s="17"/>
      <c r="B227" s="17"/>
      <c r="C227" s="17"/>
      <c r="D227" s="10">
        <f t="shared" si="11"/>
        <v>9268</v>
      </c>
      <c r="E227" s="18" t="s">
        <v>34</v>
      </c>
      <c r="F227" s="19"/>
      <c r="G227" s="20" t="s">
        <v>23</v>
      </c>
      <c r="H227" s="20" t="s">
        <v>23</v>
      </c>
      <c r="I227" s="20" t="s">
        <v>35</v>
      </c>
      <c r="J227" s="10" t="s">
        <v>25</v>
      </c>
      <c r="K227" s="10" t="s">
        <v>26</v>
      </c>
      <c r="L227" s="10" t="s">
        <v>30</v>
      </c>
      <c r="M227" s="18" t="s">
        <v>28</v>
      </c>
      <c r="N227" s="10"/>
      <c r="O227" s="21"/>
      <c r="P227" s="21"/>
      <c r="Q227" s="29">
        <f t="shared" si="9"/>
        <v>1</v>
      </c>
      <c r="R227" s="30" t="str">
        <f t="shared" si="10"/>
        <v>P36.052</v>
      </c>
    </row>
    <row r="228" spans="1:18">
      <c r="A228" s="17"/>
      <c r="B228" s="17"/>
      <c r="C228" s="17"/>
      <c r="D228" s="10">
        <f t="shared" si="11"/>
        <v>9269</v>
      </c>
      <c r="E228" s="18" t="s">
        <v>34</v>
      </c>
      <c r="F228" s="19"/>
      <c r="G228" s="20" t="s">
        <v>23</v>
      </c>
      <c r="H228" s="20" t="s">
        <v>23</v>
      </c>
      <c r="I228" s="20" t="s">
        <v>35</v>
      </c>
      <c r="J228" s="10" t="s">
        <v>25</v>
      </c>
      <c r="K228" s="10" t="s">
        <v>26</v>
      </c>
      <c r="L228" s="10" t="s">
        <v>30</v>
      </c>
      <c r="M228" s="18" t="s">
        <v>28</v>
      </c>
      <c r="N228" s="10"/>
      <c r="O228" s="21"/>
      <c r="P228" s="21"/>
      <c r="Q228" s="29">
        <f t="shared" si="9"/>
        <v>1</v>
      </c>
      <c r="R228" s="30" t="str">
        <f t="shared" si="10"/>
        <v>P36.053</v>
      </c>
    </row>
    <row r="229" spans="1:18">
      <c r="A229" s="17"/>
      <c r="B229" s="17"/>
      <c r="C229" s="17"/>
      <c r="D229" s="10">
        <f t="shared" si="11"/>
        <v>9270</v>
      </c>
      <c r="E229" s="18" t="s">
        <v>34</v>
      </c>
      <c r="F229" s="19"/>
      <c r="G229" s="20" t="s">
        <v>23</v>
      </c>
      <c r="H229" s="20" t="s">
        <v>23</v>
      </c>
      <c r="I229" s="20" t="s">
        <v>35</v>
      </c>
      <c r="J229" s="10" t="s">
        <v>25</v>
      </c>
      <c r="K229" s="10" t="s">
        <v>26</v>
      </c>
      <c r="L229" s="10" t="s">
        <v>30</v>
      </c>
      <c r="M229" s="18" t="s">
        <v>28</v>
      </c>
      <c r="N229" s="10"/>
      <c r="O229" s="21"/>
      <c r="P229" s="21"/>
      <c r="Q229" s="29">
        <f t="shared" si="9"/>
        <v>1</v>
      </c>
      <c r="R229" s="30" t="str">
        <f t="shared" si="10"/>
        <v>P36.054</v>
      </c>
    </row>
    <row r="230" spans="1:18">
      <c r="A230" s="17"/>
      <c r="B230" s="17"/>
      <c r="C230" s="17"/>
      <c r="D230" s="10">
        <f t="shared" si="11"/>
        <v>9271</v>
      </c>
      <c r="E230" s="18" t="s">
        <v>434</v>
      </c>
      <c r="F230" s="19" t="s">
        <v>780</v>
      </c>
      <c r="G230" s="20" t="s">
        <v>23</v>
      </c>
      <c r="H230" s="20" t="s">
        <v>436</v>
      </c>
      <c r="I230" s="20" t="s">
        <v>437</v>
      </c>
      <c r="J230" s="10" t="s">
        <v>387</v>
      </c>
      <c r="K230" s="10" t="s">
        <v>26</v>
      </c>
      <c r="L230" s="10" t="s">
        <v>30</v>
      </c>
      <c r="M230" s="18" t="s">
        <v>28</v>
      </c>
      <c r="N230" s="21"/>
      <c r="O230" s="21" t="s">
        <v>781</v>
      </c>
      <c r="P230" s="21"/>
      <c r="Q230" s="29">
        <f t="shared" si="9"/>
        <v>1</v>
      </c>
      <c r="R230" s="30" t="str">
        <f t="shared" si="10"/>
        <v>P36.055</v>
      </c>
    </row>
    <row r="231" spans="1:18">
      <c r="A231" s="17"/>
      <c r="B231" s="17"/>
      <c r="C231" s="17"/>
      <c r="D231" s="10">
        <f t="shared" si="11"/>
        <v>9273</v>
      </c>
      <c r="E231" s="18" t="s">
        <v>434</v>
      </c>
      <c r="F231" s="19" t="s">
        <v>782</v>
      </c>
      <c r="G231" s="20" t="s">
        <v>23</v>
      </c>
      <c r="H231" s="20" t="s">
        <v>436</v>
      </c>
      <c r="I231" s="20" t="s">
        <v>437</v>
      </c>
      <c r="J231" s="10" t="s">
        <v>25</v>
      </c>
      <c r="K231" s="10" t="s">
        <v>26</v>
      </c>
      <c r="L231" s="10" t="s">
        <v>30</v>
      </c>
      <c r="M231" s="18" t="s">
        <v>28</v>
      </c>
      <c r="N231" s="10"/>
      <c r="O231" s="21" t="s">
        <v>783</v>
      </c>
      <c r="P231" s="21"/>
      <c r="Q231" s="29">
        <f t="shared" si="9"/>
        <v>1</v>
      </c>
      <c r="R231" s="30" t="str">
        <f t="shared" si="10"/>
        <v>P36.057</v>
      </c>
    </row>
    <row r="232" spans="1:18">
      <c r="A232" s="17"/>
      <c r="B232" s="17"/>
      <c r="C232" s="17"/>
      <c r="D232" s="10">
        <f t="shared" si="11"/>
        <v>9275</v>
      </c>
      <c r="E232" s="18" t="s">
        <v>434</v>
      </c>
      <c r="F232" s="19" t="s">
        <v>784</v>
      </c>
      <c r="G232" s="20" t="s">
        <v>23</v>
      </c>
      <c r="H232" s="20" t="s">
        <v>436</v>
      </c>
      <c r="I232" s="20" t="s">
        <v>437</v>
      </c>
      <c r="J232" s="10" t="s">
        <v>25</v>
      </c>
      <c r="K232" s="10" t="s">
        <v>26</v>
      </c>
      <c r="L232" s="10" t="s">
        <v>30</v>
      </c>
      <c r="M232" s="18" t="s">
        <v>28</v>
      </c>
      <c r="N232" s="10"/>
      <c r="O232" s="21" t="s">
        <v>785</v>
      </c>
      <c r="P232" s="21"/>
      <c r="Q232" s="29">
        <f t="shared" si="9"/>
        <v>1</v>
      </c>
      <c r="R232" s="30" t="str">
        <f t="shared" si="10"/>
        <v>P36.059</v>
      </c>
    </row>
    <row r="233" spans="1:18">
      <c r="A233" s="17"/>
      <c r="B233" s="17"/>
      <c r="C233" s="17"/>
      <c r="D233" s="10">
        <f t="shared" si="11"/>
        <v>9277</v>
      </c>
      <c r="E233" s="18" t="s">
        <v>34</v>
      </c>
      <c r="F233" s="19"/>
      <c r="G233" s="20" t="s">
        <v>23</v>
      </c>
      <c r="H233" s="20" t="s">
        <v>23</v>
      </c>
      <c r="I233" s="20" t="s">
        <v>35</v>
      </c>
      <c r="J233" s="10" t="s">
        <v>25</v>
      </c>
      <c r="K233" s="10" t="s">
        <v>26</v>
      </c>
      <c r="L233" s="10" t="s">
        <v>30</v>
      </c>
      <c r="M233" s="18" t="s">
        <v>28</v>
      </c>
      <c r="N233" s="10"/>
      <c r="O233" s="21"/>
      <c r="P233" s="21"/>
      <c r="Q233" s="29">
        <f t="shared" si="9"/>
        <v>1</v>
      </c>
      <c r="R233" s="30" t="str">
        <f t="shared" si="10"/>
        <v>P36.061</v>
      </c>
    </row>
    <row r="234" spans="1:18">
      <c r="A234" s="17"/>
      <c r="B234" s="17"/>
      <c r="C234" s="17"/>
      <c r="D234" s="10">
        <f t="shared" si="11"/>
        <v>9278</v>
      </c>
      <c r="E234" s="18" t="s">
        <v>434</v>
      </c>
      <c r="F234" s="19" t="s">
        <v>786</v>
      </c>
      <c r="G234" s="20" t="s">
        <v>23</v>
      </c>
      <c r="H234" s="20" t="s">
        <v>436</v>
      </c>
      <c r="I234" s="20" t="s">
        <v>437</v>
      </c>
      <c r="J234" s="10" t="s">
        <v>787</v>
      </c>
      <c r="K234" s="10" t="s">
        <v>26</v>
      </c>
      <c r="L234" s="10" t="s">
        <v>30</v>
      </c>
      <c r="M234" s="18" t="s">
        <v>28</v>
      </c>
      <c r="N234" s="10"/>
      <c r="O234" s="21" t="s">
        <v>788</v>
      </c>
      <c r="P234" s="21"/>
      <c r="Q234" s="29">
        <f t="shared" si="9"/>
        <v>1</v>
      </c>
      <c r="R234" s="30" t="str">
        <f t="shared" si="10"/>
        <v>P36.062</v>
      </c>
    </row>
    <row r="235" spans="1:18">
      <c r="A235" s="17"/>
      <c r="B235" s="17"/>
      <c r="C235" s="17"/>
      <c r="D235" s="10">
        <f t="shared" si="11"/>
        <v>9280</v>
      </c>
      <c r="E235" s="18" t="s">
        <v>434</v>
      </c>
      <c r="F235" s="19" t="s">
        <v>789</v>
      </c>
      <c r="G235" s="20" t="s">
        <v>23</v>
      </c>
      <c r="H235" s="20" t="s">
        <v>436</v>
      </c>
      <c r="I235" s="20" t="s">
        <v>437</v>
      </c>
      <c r="J235" s="10" t="s">
        <v>25</v>
      </c>
      <c r="K235" s="10" t="s">
        <v>26</v>
      </c>
      <c r="L235" s="10" t="s">
        <v>30</v>
      </c>
      <c r="M235" s="18" t="s">
        <v>28</v>
      </c>
      <c r="N235" s="10"/>
      <c r="O235" s="21" t="s">
        <v>790</v>
      </c>
      <c r="P235" s="21"/>
      <c r="Q235" s="29">
        <f t="shared" si="9"/>
        <v>1</v>
      </c>
      <c r="R235" s="30" t="str">
        <f t="shared" si="10"/>
        <v>P36.064</v>
      </c>
    </row>
    <row r="236" spans="1:18">
      <c r="A236" s="17"/>
      <c r="B236" s="17"/>
      <c r="C236" s="17"/>
      <c r="D236" s="10">
        <f t="shared" si="11"/>
        <v>9282</v>
      </c>
      <c r="E236" s="18" t="s">
        <v>434</v>
      </c>
      <c r="F236" s="19" t="s">
        <v>791</v>
      </c>
      <c r="G236" s="20" t="s">
        <v>23</v>
      </c>
      <c r="H236" s="20" t="s">
        <v>436</v>
      </c>
      <c r="I236" s="20" t="s">
        <v>437</v>
      </c>
      <c r="J236" s="10" t="s">
        <v>25</v>
      </c>
      <c r="K236" s="10" t="s">
        <v>26</v>
      </c>
      <c r="L236" s="10" t="s">
        <v>30</v>
      </c>
      <c r="M236" s="18" t="s">
        <v>28</v>
      </c>
      <c r="N236" s="10"/>
      <c r="O236" s="21" t="s">
        <v>792</v>
      </c>
      <c r="P236" s="21"/>
      <c r="Q236" s="29">
        <f t="shared" si="9"/>
        <v>1</v>
      </c>
      <c r="R236" s="30" t="str">
        <f t="shared" si="10"/>
        <v>P36.066</v>
      </c>
    </row>
    <row r="237" spans="1:18">
      <c r="A237" s="17"/>
      <c r="B237" s="17"/>
      <c r="C237" s="17"/>
      <c r="D237" s="10">
        <f t="shared" si="11"/>
        <v>9284</v>
      </c>
      <c r="E237" s="18" t="s">
        <v>434</v>
      </c>
      <c r="F237" s="19" t="s">
        <v>793</v>
      </c>
      <c r="G237" s="20" t="s">
        <v>23</v>
      </c>
      <c r="H237" s="20" t="s">
        <v>436</v>
      </c>
      <c r="I237" s="20" t="s">
        <v>437</v>
      </c>
      <c r="J237" s="10" t="s">
        <v>25</v>
      </c>
      <c r="K237" s="10" t="s">
        <v>26</v>
      </c>
      <c r="L237" s="10" t="s">
        <v>30</v>
      </c>
      <c r="M237" s="18" t="s">
        <v>28</v>
      </c>
      <c r="N237" s="10"/>
      <c r="O237" s="21" t="s">
        <v>794</v>
      </c>
      <c r="P237" s="21"/>
      <c r="Q237" s="29">
        <f t="shared" si="9"/>
        <v>1</v>
      </c>
      <c r="R237" s="30" t="str">
        <f t="shared" si="10"/>
        <v>P36.068</v>
      </c>
    </row>
    <row r="238" spans="1:18">
      <c r="A238" s="17"/>
      <c r="B238" s="17"/>
      <c r="C238" s="17"/>
      <c r="D238" s="10">
        <f t="shared" si="11"/>
        <v>9286</v>
      </c>
      <c r="E238" s="18" t="s">
        <v>434</v>
      </c>
      <c r="F238" s="19" t="s">
        <v>795</v>
      </c>
      <c r="G238" s="20" t="s">
        <v>23</v>
      </c>
      <c r="H238" s="20" t="s">
        <v>436</v>
      </c>
      <c r="I238" s="20" t="s">
        <v>437</v>
      </c>
      <c r="J238" s="10" t="s">
        <v>25</v>
      </c>
      <c r="K238" s="10" t="s">
        <v>26</v>
      </c>
      <c r="L238" s="10" t="s">
        <v>30</v>
      </c>
      <c r="M238" s="18" t="s">
        <v>28</v>
      </c>
      <c r="N238" s="10"/>
      <c r="O238" s="21" t="s">
        <v>796</v>
      </c>
      <c r="P238" s="21"/>
      <c r="Q238" s="29">
        <f t="shared" si="9"/>
        <v>1</v>
      </c>
      <c r="R238" s="30" t="str">
        <f t="shared" si="10"/>
        <v>P36.070</v>
      </c>
    </row>
    <row r="239" spans="1:18">
      <c r="A239" s="17"/>
      <c r="B239" s="17"/>
      <c r="C239" s="17"/>
      <c r="D239" s="10">
        <f t="shared" si="11"/>
        <v>9288</v>
      </c>
      <c r="E239" s="18" t="s">
        <v>434</v>
      </c>
      <c r="F239" s="19" t="s">
        <v>797</v>
      </c>
      <c r="G239" s="20" t="s">
        <v>23</v>
      </c>
      <c r="H239" s="20" t="s">
        <v>436</v>
      </c>
      <c r="I239" s="20" t="s">
        <v>437</v>
      </c>
      <c r="J239" s="10" t="s">
        <v>25</v>
      </c>
      <c r="K239" s="10" t="s">
        <v>26</v>
      </c>
      <c r="L239" s="10" t="s">
        <v>30</v>
      </c>
      <c r="M239" s="18" t="s">
        <v>28</v>
      </c>
      <c r="N239" s="10"/>
      <c r="O239" s="21" t="s">
        <v>798</v>
      </c>
      <c r="P239" s="21"/>
      <c r="Q239" s="29">
        <f t="shared" si="9"/>
        <v>1</v>
      </c>
      <c r="R239" s="30" t="str">
        <f t="shared" si="10"/>
        <v>P36.072</v>
      </c>
    </row>
    <row r="240" spans="1:18">
      <c r="A240" s="17"/>
      <c r="B240" s="17"/>
      <c r="C240" s="17"/>
      <c r="D240" s="10">
        <f t="shared" si="11"/>
        <v>9290</v>
      </c>
      <c r="E240" s="18" t="s">
        <v>34</v>
      </c>
      <c r="F240" s="19"/>
      <c r="G240" s="20" t="s">
        <v>23</v>
      </c>
      <c r="H240" s="20" t="s">
        <v>23</v>
      </c>
      <c r="I240" s="20" t="s">
        <v>35</v>
      </c>
      <c r="J240" s="10" t="s">
        <v>25</v>
      </c>
      <c r="K240" s="10" t="s">
        <v>26</v>
      </c>
      <c r="L240" s="10" t="s">
        <v>30</v>
      </c>
      <c r="M240" s="18" t="s">
        <v>28</v>
      </c>
      <c r="N240" s="10"/>
      <c r="O240" s="21"/>
      <c r="P240" s="21"/>
      <c r="Q240" s="29">
        <f t="shared" si="9"/>
        <v>1</v>
      </c>
      <c r="R240" s="30" t="str">
        <f t="shared" si="10"/>
        <v>P36.074</v>
      </c>
    </row>
    <row r="241" spans="1:18">
      <c r="A241" s="17"/>
      <c r="B241" s="17"/>
      <c r="C241" s="17"/>
      <c r="D241" s="10">
        <f t="shared" si="11"/>
        <v>9291</v>
      </c>
      <c r="E241" s="18" t="s">
        <v>91</v>
      </c>
      <c r="F241" s="19" t="s">
        <v>799</v>
      </c>
      <c r="G241" s="20" t="s">
        <v>23</v>
      </c>
      <c r="H241" s="20" t="s">
        <v>93</v>
      </c>
      <c r="I241" s="20" t="s">
        <v>94</v>
      </c>
      <c r="J241" s="10" t="s">
        <v>25</v>
      </c>
      <c r="K241" s="10" t="s">
        <v>26</v>
      </c>
      <c r="L241" s="10" t="s">
        <v>30</v>
      </c>
      <c r="M241" s="18" t="s">
        <v>28</v>
      </c>
      <c r="N241" s="10"/>
      <c r="O241" s="21" t="s">
        <v>800</v>
      </c>
      <c r="P241" s="21"/>
      <c r="Q241" s="29">
        <f t="shared" si="9"/>
        <v>1</v>
      </c>
      <c r="R241" s="30" t="str">
        <f t="shared" si="10"/>
        <v>P36.075</v>
      </c>
    </row>
    <row r="242" spans="1:18">
      <c r="A242" s="17"/>
      <c r="B242" s="17"/>
      <c r="C242" s="17"/>
      <c r="D242" s="10">
        <f t="shared" si="11"/>
        <v>9292</v>
      </c>
      <c r="E242" s="18" t="s">
        <v>91</v>
      </c>
      <c r="F242" s="19" t="s">
        <v>801</v>
      </c>
      <c r="G242" s="20" t="s">
        <v>23</v>
      </c>
      <c r="H242" s="20" t="s">
        <v>93</v>
      </c>
      <c r="I242" s="20" t="s">
        <v>94</v>
      </c>
      <c r="J242" s="10" t="s">
        <v>25</v>
      </c>
      <c r="K242" s="10" t="s">
        <v>26</v>
      </c>
      <c r="L242" s="10" t="s">
        <v>30</v>
      </c>
      <c r="M242" s="18" t="s">
        <v>28</v>
      </c>
      <c r="N242" s="10"/>
      <c r="O242" s="21" t="s">
        <v>802</v>
      </c>
      <c r="P242" s="21"/>
      <c r="Q242" s="29">
        <f t="shared" si="9"/>
        <v>1</v>
      </c>
      <c r="R242" s="30" t="str">
        <f t="shared" si="10"/>
        <v>P36.076</v>
      </c>
    </row>
    <row r="243" spans="1:18">
      <c r="A243" s="17"/>
      <c r="B243" s="17"/>
      <c r="C243" s="17"/>
      <c r="D243" s="10">
        <f t="shared" si="11"/>
        <v>9293</v>
      </c>
      <c r="E243" s="18" t="s">
        <v>91</v>
      </c>
      <c r="F243" s="19" t="s">
        <v>803</v>
      </c>
      <c r="G243" s="20" t="s">
        <v>23</v>
      </c>
      <c r="H243" s="20" t="s">
        <v>93</v>
      </c>
      <c r="I243" s="20" t="s">
        <v>94</v>
      </c>
      <c r="J243" s="10" t="s">
        <v>25</v>
      </c>
      <c r="K243" s="10" t="s">
        <v>26</v>
      </c>
      <c r="L243" s="10" t="s">
        <v>30</v>
      </c>
      <c r="M243" s="18" t="s">
        <v>28</v>
      </c>
      <c r="N243" s="10"/>
      <c r="O243" s="21" t="s">
        <v>804</v>
      </c>
      <c r="P243" s="21"/>
      <c r="Q243" s="29">
        <f t="shared" si="9"/>
        <v>1</v>
      </c>
      <c r="R243" s="30" t="str">
        <f t="shared" si="10"/>
        <v>P36.077</v>
      </c>
    </row>
    <row r="244" spans="1:18">
      <c r="A244" s="17"/>
      <c r="B244" s="17"/>
      <c r="C244" s="17"/>
      <c r="D244" s="10">
        <f t="shared" si="11"/>
        <v>9294</v>
      </c>
      <c r="E244" s="18" t="s">
        <v>434</v>
      </c>
      <c r="F244" s="19" t="s">
        <v>805</v>
      </c>
      <c r="G244" s="20" t="s">
        <v>23</v>
      </c>
      <c r="H244" s="20" t="s">
        <v>436</v>
      </c>
      <c r="I244" s="20" t="s">
        <v>437</v>
      </c>
      <c r="J244" s="10" t="s">
        <v>25</v>
      </c>
      <c r="K244" s="10" t="s">
        <v>26</v>
      </c>
      <c r="L244" s="10" t="s">
        <v>30</v>
      </c>
      <c r="M244" s="18" t="s">
        <v>28</v>
      </c>
      <c r="N244" s="10"/>
      <c r="O244" s="21" t="s">
        <v>806</v>
      </c>
      <c r="P244" s="21"/>
      <c r="Q244" s="29">
        <f t="shared" si="9"/>
        <v>1</v>
      </c>
      <c r="R244" s="30" t="str">
        <f t="shared" si="10"/>
        <v>P36.078</v>
      </c>
    </row>
    <row r="245" spans="1:18">
      <c r="A245" s="17"/>
      <c r="B245" s="17"/>
      <c r="C245" s="17"/>
      <c r="D245" s="10">
        <f t="shared" si="11"/>
        <v>9296</v>
      </c>
      <c r="E245" s="18" t="s">
        <v>434</v>
      </c>
      <c r="F245" s="19" t="s">
        <v>807</v>
      </c>
      <c r="G245" s="20" t="s">
        <v>23</v>
      </c>
      <c r="H245" s="20" t="s">
        <v>436</v>
      </c>
      <c r="I245" s="20" t="s">
        <v>437</v>
      </c>
      <c r="J245" s="10" t="s">
        <v>25</v>
      </c>
      <c r="K245" s="10" t="s">
        <v>26</v>
      </c>
      <c r="L245" s="10" t="s">
        <v>30</v>
      </c>
      <c r="M245" s="18" t="s">
        <v>28</v>
      </c>
      <c r="N245" s="10"/>
      <c r="O245" s="21" t="s">
        <v>808</v>
      </c>
      <c r="P245" s="21"/>
      <c r="Q245" s="29">
        <f t="shared" si="9"/>
        <v>1</v>
      </c>
      <c r="R245" s="30" t="str">
        <f t="shared" si="10"/>
        <v>P36.080</v>
      </c>
    </row>
    <row r="246" spans="1:18">
      <c r="A246" s="17"/>
      <c r="B246" s="17"/>
      <c r="C246" s="17"/>
      <c r="D246" s="10">
        <f t="shared" si="11"/>
        <v>9298</v>
      </c>
      <c r="E246" s="18" t="s">
        <v>91</v>
      </c>
      <c r="F246" s="19" t="s">
        <v>809</v>
      </c>
      <c r="G246" s="20" t="s">
        <v>23</v>
      </c>
      <c r="H246" s="20" t="s">
        <v>93</v>
      </c>
      <c r="I246" s="20" t="s">
        <v>94</v>
      </c>
      <c r="J246" s="10" t="s">
        <v>25</v>
      </c>
      <c r="K246" s="10" t="s">
        <v>26</v>
      </c>
      <c r="L246" s="10" t="s">
        <v>30</v>
      </c>
      <c r="M246" s="18" t="s">
        <v>28</v>
      </c>
      <c r="N246" s="10"/>
      <c r="O246" s="21" t="s">
        <v>810</v>
      </c>
      <c r="P246" s="21"/>
      <c r="Q246" s="29">
        <f t="shared" si="9"/>
        <v>1</v>
      </c>
      <c r="R246" s="30" t="str">
        <f t="shared" si="10"/>
        <v>P36.082</v>
      </c>
    </row>
    <row r="247" spans="1:18">
      <c r="A247" s="17"/>
      <c r="B247" s="17"/>
      <c r="C247" s="17"/>
      <c r="D247" s="10">
        <f t="shared" si="11"/>
        <v>9299</v>
      </c>
      <c r="E247" s="18" t="s">
        <v>91</v>
      </c>
      <c r="F247" s="19"/>
      <c r="G247" s="20" t="s">
        <v>23</v>
      </c>
      <c r="H247" s="20" t="s">
        <v>93</v>
      </c>
      <c r="I247" s="20" t="s">
        <v>94</v>
      </c>
      <c r="J247" s="10" t="s">
        <v>25</v>
      </c>
      <c r="K247" s="10" t="s">
        <v>26</v>
      </c>
      <c r="L247" s="10" t="s">
        <v>30</v>
      </c>
      <c r="M247" s="18" t="s">
        <v>28</v>
      </c>
      <c r="N247" s="10"/>
      <c r="O247" s="21"/>
      <c r="P247" s="21"/>
      <c r="Q247" s="29">
        <f t="shared" si="9"/>
        <v>1</v>
      </c>
      <c r="R247" s="30" t="str">
        <f t="shared" si="10"/>
        <v>P36.083</v>
      </c>
    </row>
    <row r="248" spans="1:18">
      <c r="A248" s="17"/>
      <c r="B248" s="17"/>
      <c r="C248" s="17"/>
      <c r="D248" s="10">
        <f t="shared" si="11"/>
        <v>9300</v>
      </c>
      <c r="E248" s="18" t="s">
        <v>91</v>
      </c>
      <c r="F248" s="19" t="s">
        <v>811</v>
      </c>
      <c r="G248" s="20" t="s">
        <v>23</v>
      </c>
      <c r="H248" s="20" t="s">
        <v>93</v>
      </c>
      <c r="I248" s="20" t="s">
        <v>94</v>
      </c>
      <c r="J248" s="10" t="s">
        <v>25</v>
      </c>
      <c r="K248" s="10" t="s">
        <v>26</v>
      </c>
      <c r="L248" s="10" t="s">
        <v>30</v>
      </c>
      <c r="M248" s="18" t="s">
        <v>28</v>
      </c>
      <c r="N248" s="10"/>
      <c r="O248" s="21" t="s">
        <v>812</v>
      </c>
      <c r="P248" s="21"/>
      <c r="Q248" s="29">
        <f t="shared" si="9"/>
        <v>1</v>
      </c>
      <c r="R248" s="30" t="str">
        <f t="shared" si="10"/>
        <v>P36.084</v>
      </c>
    </row>
    <row r="249" spans="1:18">
      <c r="A249" s="17"/>
      <c r="B249" s="17"/>
      <c r="C249" s="17"/>
      <c r="D249" s="10">
        <f t="shared" si="11"/>
        <v>9301</v>
      </c>
      <c r="E249" s="18" t="s">
        <v>91</v>
      </c>
      <c r="F249" s="19" t="s">
        <v>813</v>
      </c>
      <c r="G249" s="20" t="s">
        <v>23</v>
      </c>
      <c r="H249" s="20" t="s">
        <v>93</v>
      </c>
      <c r="I249" s="20" t="s">
        <v>94</v>
      </c>
      <c r="J249" s="10" t="s">
        <v>25</v>
      </c>
      <c r="K249" s="10" t="s">
        <v>26</v>
      </c>
      <c r="L249" s="10" t="s">
        <v>30</v>
      </c>
      <c r="M249" s="18" t="s">
        <v>28</v>
      </c>
      <c r="N249" s="10"/>
      <c r="O249" s="21" t="s">
        <v>814</v>
      </c>
      <c r="P249" s="21"/>
      <c r="Q249" s="29">
        <f t="shared" si="9"/>
        <v>1</v>
      </c>
      <c r="R249" s="30" t="str">
        <f t="shared" si="10"/>
        <v>P36.085</v>
      </c>
    </row>
    <row r="250" spans="1:18">
      <c r="A250" s="17"/>
      <c r="B250" s="17"/>
      <c r="C250" s="17"/>
      <c r="D250" s="10">
        <f t="shared" si="11"/>
        <v>9302</v>
      </c>
      <c r="E250" s="18" t="s">
        <v>91</v>
      </c>
      <c r="F250" s="19" t="s">
        <v>815</v>
      </c>
      <c r="G250" s="20" t="s">
        <v>23</v>
      </c>
      <c r="H250" s="20" t="s">
        <v>93</v>
      </c>
      <c r="I250" s="20" t="s">
        <v>94</v>
      </c>
      <c r="J250" s="10" t="s">
        <v>25</v>
      </c>
      <c r="K250" s="10" t="s">
        <v>26</v>
      </c>
      <c r="L250" s="10" t="s">
        <v>30</v>
      </c>
      <c r="M250" s="18" t="s">
        <v>28</v>
      </c>
      <c r="N250" s="10"/>
      <c r="O250" s="21" t="s">
        <v>816</v>
      </c>
      <c r="P250" s="21"/>
      <c r="Q250" s="29">
        <f t="shared" si="9"/>
        <v>1</v>
      </c>
      <c r="R250" s="30" t="str">
        <f t="shared" si="10"/>
        <v>P36.086</v>
      </c>
    </row>
    <row r="251" spans="1:18">
      <c r="A251" s="17"/>
      <c r="B251" s="17"/>
      <c r="C251" s="17"/>
      <c r="D251" s="10">
        <f t="shared" si="11"/>
        <v>9303</v>
      </c>
      <c r="E251" s="18" t="s">
        <v>434</v>
      </c>
      <c r="F251" s="19" t="s">
        <v>817</v>
      </c>
      <c r="G251" s="20" t="s">
        <v>23</v>
      </c>
      <c r="H251" s="20" t="s">
        <v>436</v>
      </c>
      <c r="I251" s="20" t="s">
        <v>437</v>
      </c>
      <c r="J251" s="10" t="s">
        <v>25</v>
      </c>
      <c r="K251" s="10" t="s">
        <v>26</v>
      </c>
      <c r="L251" s="10" t="s">
        <v>30</v>
      </c>
      <c r="M251" s="18" t="s">
        <v>28</v>
      </c>
      <c r="N251" s="10"/>
      <c r="O251" s="21" t="s">
        <v>818</v>
      </c>
      <c r="P251" s="21"/>
      <c r="Q251" s="29">
        <f t="shared" si="9"/>
        <v>1</v>
      </c>
      <c r="R251" s="30" t="str">
        <f t="shared" si="10"/>
        <v>P36.087</v>
      </c>
    </row>
    <row r="252" spans="1:18">
      <c r="A252" s="17"/>
      <c r="B252" s="17"/>
      <c r="C252" s="17"/>
      <c r="D252" s="10">
        <f t="shared" si="11"/>
        <v>9305</v>
      </c>
      <c r="E252" s="18" t="s">
        <v>434</v>
      </c>
      <c r="F252" s="19" t="s">
        <v>819</v>
      </c>
      <c r="G252" s="20" t="s">
        <v>23</v>
      </c>
      <c r="H252" s="20" t="s">
        <v>436</v>
      </c>
      <c r="I252" s="20" t="s">
        <v>437</v>
      </c>
      <c r="J252" s="10" t="s">
        <v>25</v>
      </c>
      <c r="K252" s="10" t="s">
        <v>26</v>
      </c>
      <c r="L252" s="10" t="s">
        <v>30</v>
      </c>
      <c r="M252" s="18" t="s">
        <v>28</v>
      </c>
      <c r="N252" s="10"/>
      <c r="O252" s="21" t="s">
        <v>820</v>
      </c>
      <c r="P252" s="21"/>
      <c r="Q252" s="29">
        <f t="shared" si="9"/>
        <v>1</v>
      </c>
      <c r="R252" s="30" t="str">
        <f t="shared" si="10"/>
        <v>P36.089</v>
      </c>
    </row>
    <row r="253" spans="1:18">
      <c r="A253" s="17"/>
      <c r="B253" s="17"/>
      <c r="C253" s="17"/>
      <c r="D253" s="10">
        <f t="shared" si="11"/>
        <v>9307</v>
      </c>
      <c r="E253" s="18" t="s">
        <v>91</v>
      </c>
      <c r="F253" s="19" t="s">
        <v>821</v>
      </c>
      <c r="G253" s="20" t="s">
        <v>23</v>
      </c>
      <c r="H253" s="20" t="s">
        <v>93</v>
      </c>
      <c r="I253" s="20" t="s">
        <v>94</v>
      </c>
      <c r="J253" s="10" t="s">
        <v>25</v>
      </c>
      <c r="K253" s="10" t="s">
        <v>26</v>
      </c>
      <c r="L253" s="10" t="s">
        <v>30</v>
      </c>
      <c r="M253" s="18" t="s">
        <v>28</v>
      </c>
      <c r="N253" s="10"/>
      <c r="O253" s="21" t="s">
        <v>822</v>
      </c>
      <c r="P253" s="21"/>
      <c r="Q253" s="29">
        <f t="shared" si="9"/>
        <v>1</v>
      </c>
      <c r="R253" s="30" t="str">
        <f t="shared" si="10"/>
        <v>P36.091</v>
      </c>
    </row>
    <row r="254" spans="1:18">
      <c r="A254" s="17"/>
      <c r="B254" s="17"/>
      <c r="C254" s="17"/>
      <c r="D254" s="10">
        <f t="shared" si="11"/>
        <v>9308</v>
      </c>
      <c r="E254" s="18" t="s">
        <v>34</v>
      </c>
      <c r="F254" s="19"/>
      <c r="G254" s="20" t="s">
        <v>23</v>
      </c>
      <c r="H254" s="20" t="s">
        <v>23</v>
      </c>
      <c r="I254" s="20" t="s">
        <v>35</v>
      </c>
      <c r="J254" s="10" t="s">
        <v>25</v>
      </c>
      <c r="K254" s="10" t="s">
        <v>26</v>
      </c>
      <c r="L254" s="10" t="s">
        <v>30</v>
      </c>
      <c r="M254" s="18" t="s">
        <v>28</v>
      </c>
      <c r="N254" s="10"/>
      <c r="O254" s="21"/>
      <c r="P254" s="21"/>
      <c r="Q254" s="29">
        <f t="shared" si="9"/>
        <v>1</v>
      </c>
      <c r="R254" s="30" t="str">
        <f t="shared" si="10"/>
        <v>P36.092</v>
      </c>
    </row>
    <row r="255" spans="1:18">
      <c r="A255" s="17"/>
      <c r="B255" s="17"/>
      <c r="C255" s="17"/>
      <c r="D255" s="10">
        <f t="shared" si="11"/>
        <v>9309</v>
      </c>
      <c r="E255" s="18" t="s">
        <v>91</v>
      </c>
      <c r="F255" s="19" t="s">
        <v>823</v>
      </c>
      <c r="G255" s="20" t="s">
        <v>23</v>
      </c>
      <c r="H255" s="20" t="s">
        <v>93</v>
      </c>
      <c r="I255" s="20" t="s">
        <v>94</v>
      </c>
      <c r="J255" s="10" t="s">
        <v>365</v>
      </c>
      <c r="K255" s="10" t="s">
        <v>26</v>
      </c>
      <c r="L255" s="10" t="s">
        <v>30</v>
      </c>
      <c r="M255" s="18" t="s">
        <v>28</v>
      </c>
      <c r="N255" s="10"/>
      <c r="O255" s="21" t="s">
        <v>824</v>
      </c>
      <c r="P255" s="21"/>
      <c r="Q255" s="29">
        <f t="shared" si="9"/>
        <v>1</v>
      </c>
      <c r="R255" s="30" t="str">
        <f t="shared" si="10"/>
        <v>P36.093</v>
      </c>
    </row>
    <row r="256" spans="1:18">
      <c r="A256" s="17"/>
      <c r="B256" s="17"/>
      <c r="C256" s="17"/>
      <c r="D256" s="10">
        <f t="shared" si="11"/>
        <v>9310</v>
      </c>
      <c r="E256" s="18" t="s">
        <v>91</v>
      </c>
      <c r="F256" s="19" t="s">
        <v>825</v>
      </c>
      <c r="G256" s="20" t="s">
        <v>23</v>
      </c>
      <c r="H256" s="20" t="s">
        <v>93</v>
      </c>
      <c r="I256" s="20" t="s">
        <v>94</v>
      </c>
      <c r="J256" s="10" t="s">
        <v>365</v>
      </c>
      <c r="K256" s="10" t="s">
        <v>26</v>
      </c>
      <c r="L256" s="10" t="s">
        <v>30</v>
      </c>
      <c r="M256" s="18" t="s">
        <v>28</v>
      </c>
      <c r="N256" s="10"/>
      <c r="O256" s="21" t="s">
        <v>826</v>
      </c>
      <c r="P256" s="21"/>
      <c r="Q256" s="29">
        <f t="shared" si="9"/>
        <v>1</v>
      </c>
      <c r="R256" s="30" t="str">
        <f t="shared" si="10"/>
        <v>P36.094</v>
      </c>
    </row>
    <row r="257" spans="1:18">
      <c r="A257" s="17"/>
      <c r="B257" s="17"/>
      <c r="C257" s="17"/>
      <c r="D257" s="10">
        <f t="shared" si="11"/>
        <v>9311</v>
      </c>
      <c r="E257" s="18" t="s">
        <v>91</v>
      </c>
      <c r="F257" s="19" t="s">
        <v>827</v>
      </c>
      <c r="G257" s="20" t="s">
        <v>23</v>
      </c>
      <c r="H257" s="20" t="s">
        <v>93</v>
      </c>
      <c r="I257" s="20" t="s">
        <v>94</v>
      </c>
      <c r="J257" s="10" t="s">
        <v>365</v>
      </c>
      <c r="K257" s="10" t="s">
        <v>26</v>
      </c>
      <c r="L257" s="10" t="s">
        <v>30</v>
      </c>
      <c r="M257" s="18" t="s">
        <v>28</v>
      </c>
      <c r="N257" s="10"/>
      <c r="O257" s="21" t="s">
        <v>828</v>
      </c>
      <c r="P257" s="21"/>
      <c r="Q257" s="29">
        <f t="shared" si="9"/>
        <v>1</v>
      </c>
      <c r="R257" s="30" t="str">
        <f t="shared" si="10"/>
        <v>P36.095</v>
      </c>
    </row>
    <row r="258" spans="1:18">
      <c r="A258" s="17"/>
      <c r="B258" s="17"/>
      <c r="C258" s="17"/>
      <c r="D258" s="10">
        <f t="shared" si="11"/>
        <v>9312</v>
      </c>
      <c r="E258" s="18" t="s">
        <v>91</v>
      </c>
      <c r="F258" s="19" t="s">
        <v>829</v>
      </c>
      <c r="G258" s="20" t="s">
        <v>23</v>
      </c>
      <c r="H258" s="20" t="s">
        <v>93</v>
      </c>
      <c r="I258" s="20" t="s">
        <v>94</v>
      </c>
      <c r="J258" s="10" t="s">
        <v>365</v>
      </c>
      <c r="K258" s="10" t="s">
        <v>26</v>
      </c>
      <c r="L258" s="10" t="s">
        <v>30</v>
      </c>
      <c r="M258" s="18" t="s">
        <v>28</v>
      </c>
      <c r="N258" s="10"/>
      <c r="O258" s="21" t="s">
        <v>830</v>
      </c>
      <c r="P258" s="21"/>
      <c r="Q258" s="29">
        <f t="shared" si="9"/>
        <v>1</v>
      </c>
      <c r="R258" s="30" t="str">
        <f t="shared" si="10"/>
        <v>P36.096</v>
      </c>
    </row>
    <row r="259" spans="1:18">
      <c r="A259" s="17"/>
      <c r="B259" s="17"/>
      <c r="C259" s="17"/>
      <c r="D259" s="10">
        <f t="shared" si="11"/>
        <v>9313</v>
      </c>
      <c r="E259" s="18" t="s">
        <v>91</v>
      </c>
      <c r="F259" s="19" t="s">
        <v>831</v>
      </c>
      <c r="G259" s="20" t="s">
        <v>23</v>
      </c>
      <c r="H259" s="20" t="s">
        <v>93</v>
      </c>
      <c r="I259" s="20" t="s">
        <v>94</v>
      </c>
      <c r="J259" s="10" t="s">
        <v>365</v>
      </c>
      <c r="K259" s="10" t="s">
        <v>26</v>
      </c>
      <c r="L259" s="10" t="s">
        <v>30</v>
      </c>
      <c r="M259" s="18" t="s">
        <v>28</v>
      </c>
      <c r="N259" s="10"/>
      <c r="O259" s="21" t="s">
        <v>832</v>
      </c>
      <c r="P259" s="21"/>
      <c r="Q259" s="29">
        <f t="shared" si="9"/>
        <v>1</v>
      </c>
      <c r="R259" s="30" t="str">
        <f t="shared" si="10"/>
        <v>P36.097</v>
      </c>
    </row>
    <row r="260" spans="1:18">
      <c r="A260" s="17"/>
      <c r="B260" s="17"/>
      <c r="C260" s="17"/>
      <c r="D260" s="10">
        <f t="shared" si="11"/>
        <v>9314</v>
      </c>
      <c r="E260" s="18" t="s">
        <v>91</v>
      </c>
      <c r="F260" s="19" t="s">
        <v>833</v>
      </c>
      <c r="G260" s="20" t="s">
        <v>23</v>
      </c>
      <c r="H260" s="20" t="s">
        <v>93</v>
      </c>
      <c r="I260" s="20" t="s">
        <v>94</v>
      </c>
      <c r="J260" s="10" t="s">
        <v>365</v>
      </c>
      <c r="K260" s="10" t="s">
        <v>26</v>
      </c>
      <c r="L260" s="10" t="s">
        <v>30</v>
      </c>
      <c r="M260" s="18" t="s">
        <v>28</v>
      </c>
      <c r="N260" s="10"/>
      <c r="O260" s="21" t="s">
        <v>834</v>
      </c>
      <c r="P260" s="21"/>
      <c r="Q260" s="29">
        <f t="shared" si="9"/>
        <v>1</v>
      </c>
      <c r="R260" s="30" t="str">
        <f t="shared" si="10"/>
        <v>P36.098</v>
      </c>
    </row>
    <row r="261" spans="1:18">
      <c r="A261" s="17"/>
      <c r="B261" s="17"/>
      <c r="C261" s="17"/>
      <c r="D261" s="10">
        <f t="shared" si="11"/>
        <v>9315</v>
      </c>
      <c r="E261" s="18" t="s">
        <v>91</v>
      </c>
      <c r="F261" s="19" t="s">
        <v>835</v>
      </c>
      <c r="G261" s="20" t="s">
        <v>23</v>
      </c>
      <c r="H261" s="20" t="s">
        <v>93</v>
      </c>
      <c r="I261" s="20" t="s">
        <v>94</v>
      </c>
      <c r="J261" s="10" t="s">
        <v>365</v>
      </c>
      <c r="K261" s="10" t="s">
        <v>26</v>
      </c>
      <c r="L261" s="10" t="s">
        <v>30</v>
      </c>
      <c r="M261" s="18" t="s">
        <v>28</v>
      </c>
      <c r="N261" s="19"/>
      <c r="O261" s="21" t="s">
        <v>836</v>
      </c>
      <c r="P261" s="21"/>
      <c r="Q261" s="29">
        <f t="shared" si="9"/>
        <v>1</v>
      </c>
      <c r="R261" s="30" t="str">
        <f t="shared" si="10"/>
        <v>P36.099</v>
      </c>
    </row>
    <row r="262" spans="1:18">
      <c r="A262" s="17"/>
      <c r="B262" s="17"/>
      <c r="C262" s="17"/>
      <c r="D262" s="10">
        <f t="shared" si="11"/>
        <v>9316</v>
      </c>
      <c r="E262" s="18" t="s">
        <v>91</v>
      </c>
      <c r="F262" s="19" t="s">
        <v>837</v>
      </c>
      <c r="G262" s="20" t="s">
        <v>23</v>
      </c>
      <c r="H262" s="20" t="s">
        <v>93</v>
      </c>
      <c r="I262" s="20" t="s">
        <v>94</v>
      </c>
      <c r="J262" s="10" t="s">
        <v>365</v>
      </c>
      <c r="K262" s="10" t="s">
        <v>26</v>
      </c>
      <c r="L262" s="10" t="s">
        <v>30</v>
      </c>
      <c r="M262" s="18" t="s">
        <v>28</v>
      </c>
      <c r="N262" s="19"/>
      <c r="O262" s="21" t="s">
        <v>838</v>
      </c>
      <c r="P262" s="21"/>
      <c r="Q262" s="29">
        <f t="shared" si="9"/>
        <v>1</v>
      </c>
      <c r="R262" s="30" t="str">
        <f t="shared" si="10"/>
        <v>P36.100</v>
      </c>
    </row>
    <row r="263" spans="1:18">
      <c r="A263" s="17"/>
      <c r="B263" s="17"/>
      <c r="C263" s="17"/>
      <c r="D263" s="10">
        <f t="shared" si="11"/>
        <v>9317</v>
      </c>
      <c r="E263" s="18" t="s">
        <v>91</v>
      </c>
      <c r="F263" s="19" t="s">
        <v>839</v>
      </c>
      <c r="G263" s="20" t="s">
        <v>23</v>
      </c>
      <c r="H263" s="20" t="s">
        <v>93</v>
      </c>
      <c r="I263" s="20" t="s">
        <v>94</v>
      </c>
      <c r="J263" s="10" t="s">
        <v>365</v>
      </c>
      <c r="K263" s="10" t="s">
        <v>26</v>
      </c>
      <c r="L263" s="10" t="s">
        <v>30</v>
      </c>
      <c r="M263" s="18" t="s">
        <v>28</v>
      </c>
      <c r="N263" s="19"/>
      <c r="O263" s="21" t="s">
        <v>840</v>
      </c>
      <c r="P263" s="21"/>
      <c r="Q263" s="29">
        <f t="shared" si="9"/>
        <v>1</v>
      </c>
      <c r="R263" s="30" t="str">
        <f t="shared" si="10"/>
        <v>P36.101</v>
      </c>
    </row>
    <row r="264" spans="1:18">
      <c r="A264" s="17"/>
      <c r="B264" s="17"/>
      <c r="C264" s="17"/>
      <c r="D264" s="10">
        <f t="shared" si="11"/>
        <v>9318</v>
      </c>
      <c r="E264" s="18" t="s">
        <v>91</v>
      </c>
      <c r="F264" s="19" t="s">
        <v>841</v>
      </c>
      <c r="G264" s="20" t="s">
        <v>23</v>
      </c>
      <c r="H264" s="20" t="s">
        <v>93</v>
      </c>
      <c r="I264" s="20" t="s">
        <v>94</v>
      </c>
      <c r="J264" s="10" t="s">
        <v>365</v>
      </c>
      <c r="K264" s="10" t="s">
        <v>26</v>
      </c>
      <c r="L264" s="10" t="s">
        <v>30</v>
      </c>
      <c r="M264" s="18" t="s">
        <v>28</v>
      </c>
      <c r="N264" s="19"/>
      <c r="O264" s="21" t="s">
        <v>842</v>
      </c>
      <c r="P264" s="21"/>
      <c r="Q264" s="29">
        <f t="shared" ref="Q264:Q327" si="12">IF(OR(F264="",LEFT(TRIM(F264),3)=E264),1,0)</f>
        <v>1</v>
      </c>
      <c r="R264" s="30" t="str">
        <f t="shared" ref="R264:R327" si="13">"P"&amp;TEXT(ROUND(D264/256,0),"00")&amp;"."&amp;TEXT(MOD(D264,256),"000")</f>
        <v>P36.102</v>
      </c>
    </row>
    <row r="265" spans="1:18">
      <c r="A265" s="17"/>
      <c r="B265" s="17"/>
      <c r="C265" s="17"/>
      <c r="D265" s="10">
        <f t="shared" ref="D265:D328" si="14">INDEX(D:D,ROW()-1)+_xlfn.IFS(INDEX(E:E,ROW()-1)="u16",1,INDEX(E:E,ROW()-1)="s16",1,INDEX(E:E,ROW()-1)="s32",2,INDEX(E:E,ROW()-1)="s64",4,INDEX(E:E,ROW()-1)="u16",1,INDEX(E:E,ROW()-1)="u32",2,INDEX(E:E,ROW()-1)="u64",4,INDEX(E:E,ROW()-1)="f32",2,INDEX(E:E,ROW()-1)="f64",4)</f>
        <v>9319</v>
      </c>
      <c r="E265" s="18" t="s">
        <v>34</v>
      </c>
      <c r="F265" s="19" t="s">
        <v>843</v>
      </c>
      <c r="G265" s="20" t="s">
        <v>23</v>
      </c>
      <c r="H265" s="20" t="s">
        <v>23</v>
      </c>
      <c r="I265" s="20" t="s">
        <v>35</v>
      </c>
      <c r="J265" s="10" t="s">
        <v>25</v>
      </c>
      <c r="K265" s="10" t="s">
        <v>26</v>
      </c>
      <c r="L265" s="10" t="s">
        <v>30</v>
      </c>
      <c r="M265" s="18" t="s">
        <v>28</v>
      </c>
      <c r="N265" s="19"/>
      <c r="O265" s="21" t="s">
        <v>844</v>
      </c>
      <c r="P265" s="21"/>
      <c r="Q265" s="29">
        <f t="shared" si="12"/>
        <v>1</v>
      </c>
      <c r="R265" s="30" t="str">
        <f t="shared" si="13"/>
        <v>P36.103</v>
      </c>
    </row>
    <row r="266" spans="1:18">
      <c r="A266" s="17"/>
      <c r="B266" s="17"/>
      <c r="C266" s="17"/>
      <c r="D266" s="10">
        <f t="shared" si="14"/>
        <v>9320</v>
      </c>
      <c r="E266" s="18" t="s">
        <v>34</v>
      </c>
      <c r="F266" s="19"/>
      <c r="G266" s="20" t="s">
        <v>23</v>
      </c>
      <c r="H266" s="20" t="s">
        <v>23</v>
      </c>
      <c r="I266" s="20" t="s">
        <v>35</v>
      </c>
      <c r="J266" s="10" t="s">
        <v>25</v>
      </c>
      <c r="K266" s="10" t="s">
        <v>26</v>
      </c>
      <c r="L266" s="10" t="s">
        <v>30</v>
      </c>
      <c r="M266" s="18" t="s">
        <v>28</v>
      </c>
      <c r="N266" s="10"/>
      <c r="O266" s="21"/>
      <c r="P266" s="21"/>
      <c r="Q266" s="29">
        <f t="shared" si="12"/>
        <v>1</v>
      </c>
      <c r="R266" s="30" t="str">
        <f t="shared" si="13"/>
        <v>P36.104</v>
      </c>
    </row>
    <row r="267" spans="1:18">
      <c r="A267" s="17"/>
      <c r="B267" s="17"/>
      <c r="C267" s="17"/>
      <c r="D267" s="10">
        <f t="shared" si="14"/>
        <v>9321</v>
      </c>
      <c r="E267" s="18" t="s">
        <v>34</v>
      </c>
      <c r="F267" s="19" t="s">
        <v>845</v>
      </c>
      <c r="G267" s="20" t="s">
        <v>23</v>
      </c>
      <c r="H267" s="20" t="s">
        <v>23</v>
      </c>
      <c r="I267" s="20" t="s">
        <v>35</v>
      </c>
      <c r="J267" s="10" t="s">
        <v>25</v>
      </c>
      <c r="K267" s="10" t="s">
        <v>26</v>
      </c>
      <c r="L267" s="10" t="s">
        <v>30</v>
      </c>
      <c r="M267" s="18" t="s">
        <v>28</v>
      </c>
      <c r="N267" s="19"/>
      <c r="O267" s="21" t="s">
        <v>846</v>
      </c>
      <c r="P267" s="21"/>
      <c r="Q267" s="29">
        <f t="shared" si="12"/>
        <v>1</v>
      </c>
      <c r="R267" s="30" t="str">
        <f t="shared" si="13"/>
        <v>P36.105</v>
      </c>
    </row>
    <row r="268" spans="1:18">
      <c r="A268" s="17"/>
      <c r="B268" s="17"/>
      <c r="C268" s="17"/>
      <c r="D268" s="10">
        <f t="shared" si="14"/>
        <v>9322</v>
      </c>
      <c r="E268" s="18" t="s">
        <v>91</v>
      </c>
      <c r="F268" s="19" t="s">
        <v>847</v>
      </c>
      <c r="G268" s="20" t="s">
        <v>23</v>
      </c>
      <c r="H268" s="20" t="s">
        <v>93</v>
      </c>
      <c r="I268" s="20" t="s">
        <v>94</v>
      </c>
      <c r="J268" s="10" t="s">
        <v>365</v>
      </c>
      <c r="K268" s="10" t="s">
        <v>26</v>
      </c>
      <c r="L268" s="10" t="s">
        <v>30</v>
      </c>
      <c r="M268" s="18" t="s">
        <v>28</v>
      </c>
      <c r="N268" s="19"/>
      <c r="O268" s="21" t="s">
        <v>848</v>
      </c>
      <c r="P268" s="21"/>
      <c r="Q268" s="29">
        <f t="shared" si="12"/>
        <v>1</v>
      </c>
      <c r="R268" s="30" t="str">
        <f t="shared" si="13"/>
        <v>P36.106</v>
      </c>
    </row>
    <row r="269" spans="1:18">
      <c r="A269" s="17"/>
      <c r="B269" s="17"/>
      <c r="C269" s="17"/>
      <c r="D269" s="10">
        <f t="shared" si="14"/>
        <v>9323</v>
      </c>
      <c r="E269" s="18" t="s">
        <v>91</v>
      </c>
      <c r="F269" s="19" t="s">
        <v>849</v>
      </c>
      <c r="G269" s="20" t="s">
        <v>23</v>
      </c>
      <c r="H269" s="20" t="s">
        <v>93</v>
      </c>
      <c r="I269" s="20" t="s">
        <v>94</v>
      </c>
      <c r="J269" s="10" t="s">
        <v>365</v>
      </c>
      <c r="K269" s="10" t="s">
        <v>26</v>
      </c>
      <c r="L269" s="10" t="s">
        <v>30</v>
      </c>
      <c r="M269" s="18" t="s">
        <v>28</v>
      </c>
      <c r="N269" s="19"/>
      <c r="O269" s="21" t="s">
        <v>850</v>
      </c>
      <c r="P269" s="21"/>
      <c r="Q269" s="29">
        <f t="shared" si="12"/>
        <v>1</v>
      </c>
      <c r="R269" s="30" t="str">
        <f t="shared" si="13"/>
        <v>P36.107</v>
      </c>
    </row>
    <row r="270" spans="1:18">
      <c r="A270" s="17"/>
      <c r="B270" s="17"/>
      <c r="C270" s="17"/>
      <c r="D270" s="10">
        <f t="shared" si="14"/>
        <v>9324</v>
      </c>
      <c r="E270" s="18" t="s">
        <v>91</v>
      </c>
      <c r="F270" s="19" t="s">
        <v>851</v>
      </c>
      <c r="G270" s="20" t="s">
        <v>23</v>
      </c>
      <c r="H270" s="20" t="s">
        <v>93</v>
      </c>
      <c r="I270" s="20" t="s">
        <v>94</v>
      </c>
      <c r="J270" s="10" t="s">
        <v>365</v>
      </c>
      <c r="K270" s="10" t="s">
        <v>26</v>
      </c>
      <c r="L270" s="10" t="s">
        <v>30</v>
      </c>
      <c r="M270" s="18" t="s">
        <v>28</v>
      </c>
      <c r="N270" s="19"/>
      <c r="O270" s="21" t="s">
        <v>852</v>
      </c>
      <c r="P270" s="21"/>
      <c r="Q270" s="29">
        <f t="shared" si="12"/>
        <v>1</v>
      </c>
      <c r="R270" s="30" t="str">
        <f t="shared" si="13"/>
        <v>P36.108</v>
      </c>
    </row>
    <row r="271" spans="1:18">
      <c r="A271" s="17"/>
      <c r="B271" s="17"/>
      <c r="C271" s="17"/>
      <c r="D271" s="10">
        <f t="shared" si="14"/>
        <v>9325</v>
      </c>
      <c r="E271" s="18" t="s">
        <v>91</v>
      </c>
      <c r="F271" s="19" t="s">
        <v>853</v>
      </c>
      <c r="G271" s="20" t="s">
        <v>23</v>
      </c>
      <c r="H271" s="20" t="s">
        <v>93</v>
      </c>
      <c r="I271" s="20" t="s">
        <v>94</v>
      </c>
      <c r="J271" s="10" t="s">
        <v>365</v>
      </c>
      <c r="K271" s="10" t="s">
        <v>26</v>
      </c>
      <c r="L271" s="10" t="s">
        <v>30</v>
      </c>
      <c r="M271" s="18" t="s">
        <v>28</v>
      </c>
      <c r="N271" s="19"/>
      <c r="O271" s="21" t="s">
        <v>854</v>
      </c>
      <c r="P271" s="21"/>
      <c r="Q271" s="29">
        <f t="shared" si="12"/>
        <v>1</v>
      </c>
      <c r="R271" s="30" t="str">
        <f t="shared" si="13"/>
        <v>P36.109</v>
      </c>
    </row>
    <row r="272" spans="1:18">
      <c r="A272" s="17"/>
      <c r="B272" s="17"/>
      <c r="C272" s="17"/>
      <c r="D272" s="10">
        <f t="shared" si="14"/>
        <v>9326</v>
      </c>
      <c r="E272" s="18" t="s">
        <v>34</v>
      </c>
      <c r="F272" s="19" t="s">
        <v>855</v>
      </c>
      <c r="G272" s="20" t="s">
        <v>23</v>
      </c>
      <c r="H272" s="20" t="s">
        <v>23</v>
      </c>
      <c r="I272" s="20" t="s">
        <v>564</v>
      </c>
      <c r="J272" s="10" t="s">
        <v>25</v>
      </c>
      <c r="K272" s="10" t="s">
        <v>26</v>
      </c>
      <c r="L272" s="10" t="s">
        <v>30</v>
      </c>
      <c r="M272" s="18" t="s">
        <v>28</v>
      </c>
      <c r="N272" s="19"/>
      <c r="O272" s="21" t="s">
        <v>856</v>
      </c>
      <c r="P272" s="21"/>
      <c r="Q272" s="29">
        <f t="shared" si="12"/>
        <v>0</v>
      </c>
      <c r="R272" s="30" t="str">
        <f t="shared" si="13"/>
        <v>P36.110</v>
      </c>
    </row>
    <row r="273" spans="1:18">
      <c r="A273" s="17"/>
      <c r="B273" s="17"/>
      <c r="C273" s="17"/>
      <c r="D273" s="10">
        <f t="shared" si="14"/>
        <v>9327</v>
      </c>
      <c r="E273" s="18" t="s">
        <v>34</v>
      </c>
      <c r="F273" s="19" t="s">
        <v>857</v>
      </c>
      <c r="G273" s="20" t="s">
        <v>23</v>
      </c>
      <c r="H273" s="20" t="s">
        <v>23</v>
      </c>
      <c r="I273" s="20" t="s">
        <v>35</v>
      </c>
      <c r="J273" s="10" t="s">
        <v>25</v>
      </c>
      <c r="K273" s="10" t="s">
        <v>26</v>
      </c>
      <c r="L273" s="10" t="s">
        <v>30</v>
      </c>
      <c r="M273" s="18" t="s">
        <v>28</v>
      </c>
      <c r="N273" s="19"/>
      <c r="O273" s="21" t="s">
        <v>858</v>
      </c>
      <c r="P273" s="21"/>
      <c r="Q273" s="29">
        <f t="shared" si="12"/>
        <v>1</v>
      </c>
      <c r="R273" s="30" t="str">
        <f t="shared" si="13"/>
        <v>P36.111</v>
      </c>
    </row>
    <row r="274" spans="1:18">
      <c r="A274" s="17"/>
      <c r="B274" s="17"/>
      <c r="C274" s="17"/>
      <c r="D274" s="10">
        <f t="shared" si="14"/>
        <v>9328</v>
      </c>
      <c r="E274" s="18" t="s">
        <v>34</v>
      </c>
      <c r="F274" s="19" t="s">
        <v>859</v>
      </c>
      <c r="G274" s="20" t="s">
        <v>23</v>
      </c>
      <c r="H274" s="20" t="s">
        <v>23</v>
      </c>
      <c r="I274" s="20" t="s">
        <v>35</v>
      </c>
      <c r="J274" s="10" t="s">
        <v>25</v>
      </c>
      <c r="K274" s="10" t="s">
        <v>26</v>
      </c>
      <c r="L274" s="10" t="s">
        <v>30</v>
      </c>
      <c r="M274" s="18" t="s">
        <v>28</v>
      </c>
      <c r="N274" s="19"/>
      <c r="O274" s="21" t="s">
        <v>860</v>
      </c>
      <c r="P274" s="21"/>
      <c r="Q274" s="29">
        <f t="shared" si="12"/>
        <v>1</v>
      </c>
      <c r="R274" s="30" t="str">
        <f t="shared" si="13"/>
        <v>P36.112</v>
      </c>
    </row>
    <row r="275" spans="1:18">
      <c r="A275" s="17"/>
      <c r="B275" s="17"/>
      <c r="C275" s="17"/>
      <c r="D275" s="10">
        <f t="shared" si="14"/>
        <v>9329</v>
      </c>
      <c r="E275" s="18" t="s">
        <v>34</v>
      </c>
      <c r="F275" s="19" t="s">
        <v>861</v>
      </c>
      <c r="G275" s="20" t="s">
        <v>23</v>
      </c>
      <c r="H275" s="20" t="s">
        <v>23</v>
      </c>
      <c r="I275" s="20" t="s">
        <v>35</v>
      </c>
      <c r="J275" s="10" t="s">
        <v>25</v>
      </c>
      <c r="K275" s="10" t="s">
        <v>26</v>
      </c>
      <c r="L275" s="10" t="s">
        <v>30</v>
      </c>
      <c r="M275" s="18" t="s">
        <v>28</v>
      </c>
      <c r="N275" s="19"/>
      <c r="O275" s="21" t="s">
        <v>862</v>
      </c>
      <c r="P275" s="21"/>
      <c r="Q275" s="29">
        <f t="shared" si="12"/>
        <v>1</v>
      </c>
      <c r="R275" s="30" t="str">
        <f t="shared" si="13"/>
        <v>P36.113</v>
      </c>
    </row>
    <row r="276" spans="1:18">
      <c r="A276" s="17"/>
      <c r="B276" s="17"/>
      <c r="C276" s="17"/>
      <c r="D276" s="10">
        <f t="shared" si="14"/>
        <v>9330</v>
      </c>
      <c r="E276" s="18" t="s">
        <v>34</v>
      </c>
      <c r="F276" s="19"/>
      <c r="G276" s="20" t="s">
        <v>23</v>
      </c>
      <c r="H276" s="20" t="s">
        <v>23</v>
      </c>
      <c r="I276" s="20" t="s">
        <v>35</v>
      </c>
      <c r="J276" s="10" t="s">
        <v>25</v>
      </c>
      <c r="K276" s="10" t="s">
        <v>26</v>
      </c>
      <c r="L276" s="10" t="s">
        <v>30</v>
      </c>
      <c r="M276" s="18" t="s">
        <v>28</v>
      </c>
      <c r="N276" s="10"/>
      <c r="O276" s="21"/>
      <c r="P276" s="21"/>
      <c r="Q276" s="29">
        <f t="shared" si="12"/>
        <v>1</v>
      </c>
      <c r="R276" s="30" t="str">
        <f t="shared" si="13"/>
        <v>P36.114</v>
      </c>
    </row>
    <row r="277" spans="1:18">
      <c r="A277" s="17"/>
      <c r="B277" s="17"/>
      <c r="C277" s="17"/>
      <c r="D277" s="10">
        <f t="shared" si="14"/>
        <v>9331</v>
      </c>
      <c r="E277" s="18" t="s">
        <v>434</v>
      </c>
      <c r="F277" s="19" t="s">
        <v>863</v>
      </c>
      <c r="G277" s="20" t="s">
        <v>23</v>
      </c>
      <c r="H277" s="20" t="s">
        <v>436</v>
      </c>
      <c r="I277" s="20" t="s">
        <v>437</v>
      </c>
      <c r="J277" s="10" t="s">
        <v>695</v>
      </c>
      <c r="K277" s="10" t="s">
        <v>26</v>
      </c>
      <c r="L277" s="10" t="s">
        <v>30</v>
      </c>
      <c r="M277" s="18" t="s">
        <v>28</v>
      </c>
      <c r="N277" s="21"/>
      <c r="O277" s="21" t="s">
        <v>864</v>
      </c>
      <c r="P277" s="21"/>
      <c r="Q277" s="29">
        <f t="shared" si="12"/>
        <v>1</v>
      </c>
      <c r="R277" s="30" t="str">
        <f t="shared" si="13"/>
        <v>P36.115</v>
      </c>
    </row>
    <row r="278" spans="1:18">
      <c r="A278" s="17"/>
      <c r="B278" s="17"/>
      <c r="C278" s="17"/>
      <c r="D278" s="10">
        <f t="shared" si="14"/>
        <v>9333</v>
      </c>
      <c r="E278" s="18" t="s">
        <v>434</v>
      </c>
      <c r="F278" s="19" t="s">
        <v>865</v>
      </c>
      <c r="G278" s="20" t="s">
        <v>23</v>
      </c>
      <c r="H278" s="20" t="s">
        <v>436</v>
      </c>
      <c r="I278" s="20" t="s">
        <v>437</v>
      </c>
      <c r="J278" s="10" t="s">
        <v>695</v>
      </c>
      <c r="K278" s="10" t="s">
        <v>26</v>
      </c>
      <c r="L278" s="10" t="s">
        <v>30</v>
      </c>
      <c r="M278" s="18" t="s">
        <v>28</v>
      </c>
      <c r="N278" s="21"/>
      <c r="O278" s="21" t="s">
        <v>866</v>
      </c>
      <c r="P278" s="21"/>
      <c r="Q278" s="29">
        <f t="shared" si="12"/>
        <v>1</v>
      </c>
      <c r="R278" s="30" t="str">
        <f t="shared" si="13"/>
        <v>P36.117</v>
      </c>
    </row>
    <row r="279" spans="1:18">
      <c r="A279" s="17"/>
      <c r="B279" s="17"/>
      <c r="C279" s="17"/>
      <c r="D279" s="10">
        <f t="shared" si="14"/>
        <v>9335</v>
      </c>
      <c r="E279" s="18" t="s">
        <v>383</v>
      </c>
      <c r="F279" s="19" t="s">
        <v>867</v>
      </c>
      <c r="G279" s="20" t="s">
        <v>23</v>
      </c>
      <c r="H279" s="20" t="s">
        <v>385</v>
      </c>
      <c r="I279" s="20" t="s">
        <v>386</v>
      </c>
      <c r="J279" s="10" t="s">
        <v>387</v>
      </c>
      <c r="K279" s="10" t="s">
        <v>26</v>
      </c>
      <c r="L279" s="10" t="s">
        <v>30</v>
      </c>
      <c r="M279" s="18" t="s">
        <v>28</v>
      </c>
      <c r="N279" s="21"/>
      <c r="O279" s="21" t="s">
        <v>868</v>
      </c>
      <c r="P279" s="21"/>
      <c r="Q279" s="29">
        <f t="shared" si="12"/>
        <v>1</v>
      </c>
      <c r="R279" s="30" t="str">
        <f t="shared" si="13"/>
        <v>P36.119</v>
      </c>
    </row>
    <row r="280" spans="1:18">
      <c r="A280" s="17"/>
      <c r="B280" s="17"/>
      <c r="C280" s="17"/>
      <c r="D280" s="10">
        <f t="shared" si="14"/>
        <v>9339</v>
      </c>
      <c r="E280" s="18" t="s">
        <v>383</v>
      </c>
      <c r="F280" s="19" t="s">
        <v>869</v>
      </c>
      <c r="G280" s="20" t="s">
        <v>23</v>
      </c>
      <c r="H280" s="20" t="s">
        <v>385</v>
      </c>
      <c r="I280" s="20" t="s">
        <v>386</v>
      </c>
      <c r="J280" s="10" t="s">
        <v>387</v>
      </c>
      <c r="K280" s="10" t="s">
        <v>26</v>
      </c>
      <c r="L280" s="10" t="s">
        <v>30</v>
      </c>
      <c r="M280" s="18" t="s">
        <v>28</v>
      </c>
      <c r="N280" s="21"/>
      <c r="O280" s="21" t="s">
        <v>870</v>
      </c>
      <c r="P280" s="21"/>
      <c r="Q280" s="29">
        <f t="shared" si="12"/>
        <v>1</v>
      </c>
      <c r="R280" s="30" t="str">
        <f t="shared" si="13"/>
        <v>P36.123</v>
      </c>
    </row>
    <row r="281" spans="1:18">
      <c r="A281" s="17"/>
      <c r="B281" s="17"/>
      <c r="C281" s="17"/>
      <c r="D281" s="10">
        <f t="shared" si="14"/>
        <v>9343</v>
      </c>
      <c r="E281" s="18" t="s">
        <v>91</v>
      </c>
      <c r="F281" s="19" t="s">
        <v>871</v>
      </c>
      <c r="G281" s="20" t="s">
        <v>23</v>
      </c>
      <c r="H281" s="20" t="s">
        <v>93</v>
      </c>
      <c r="I281" s="20" t="s">
        <v>94</v>
      </c>
      <c r="J281" s="10" t="s">
        <v>365</v>
      </c>
      <c r="K281" s="10" t="s">
        <v>26</v>
      </c>
      <c r="L281" s="10" t="s">
        <v>30</v>
      </c>
      <c r="M281" s="18" t="s">
        <v>28</v>
      </c>
      <c r="N281" s="19"/>
      <c r="O281" s="21" t="s">
        <v>872</v>
      </c>
      <c r="P281" s="21"/>
      <c r="Q281" s="29">
        <f t="shared" si="12"/>
        <v>1</v>
      </c>
      <c r="R281" s="30" t="str">
        <f t="shared" si="13"/>
        <v>P36.127</v>
      </c>
    </row>
    <row r="282" spans="1:18">
      <c r="A282" s="17"/>
      <c r="B282" s="17"/>
      <c r="C282" s="17"/>
      <c r="D282" s="10">
        <f t="shared" si="14"/>
        <v>9344</v>
      </c>
      <c r="E282" s="18" t="s">
        <v>91</v>
      </c>
      <c r="F282" s="19" t="s">
        <v>873</v>
      </c>
      <c r="G282" s="20" t="s">
        <v>23</v>
      </c>
      <c r="H282" s="20" t="s">
        <v>93</v>
      </c>
      <c r="I282" s="20" t="s">
        <v>94</v>
      </c>
      <c r="J282" s="10" t="s">
        <v>365</v>
      </c>
      <c r="K282" s="10" t="s">
        <v>26</v>
      </c>
      <c r="L282" s="10" t="s">
        <v>30</v>
      </c>
      <c r="M282" s="18" t="s">
        <v>28</v>
      </c>
      <c r="N282" s="19"/>
      <c r="O282" s="21" t="s">
        <v>874</v>
      </c>
      <c r="P282" s="21"/>
      <c r="Q282" s="29">
        <f t="shared" si="12"/>
        <v>1</v>
      </c>
      <c r="R282" s="30" t="str">
        <f t="shared" si="13"/>
        <v>P37.128</v>
      </c>
    </row>
    <row r="283" spans="1:18">
      <c r="A283" s="17"/>
      <c r="B283" s="17"/>
      <c r="C283" s="17"/>
      <c r="D283" s="10">
        <f t="shared" si="14"/>
        <v>9345</v>
      </c>
      <c r="E283" s="18" t="s">
        <v>34</v>
      </c>
      <c r="F283" s="19"/>
      <c r="G283" s="20" t="s">
        <v>23</v>
      </c>
      <c r="H283" s="20" t="s">
        <v>23</v>
      </c>
      <c r="I283" s="20" t="s">
        <v>35</v>
      </c>
      <c r="J283" s="10" t="s">
        <v>25</v>
      </c>
      <c r="K283" s="10" t="s">
        <v>26</v>
      </c>
      <c r="L283" s="10" t="s">
        <v>30</v>
      </c>
      <c r="M283" s="18" t="s">
        <v>28</v>
      </c>
      <c r="N283" s="10"/>
      <c r="O283" s="21"/>
      <c r="P283" s="21"/>
      <c r="Q283" s="29">
        <f t="shared" si="12"/>
        <v>1</v>
      </c>
      <c r="R283" s="30" t="str">
        <f t="shared" si="13"/>
        <v>P37.129</v>
      </c>
    </row>
    <row r="284" spans="1:18">
      <c r="A284" s="17"/>
      <c r="B284" s="17"/>
      <c r="C284" s="17"/>
      <c r="D284" s="10">
        <f t="shared" si="14"/>
        <v>9346</v>
      </c>
      <c r="E284" s="18" t="s">
        <v>34</v>
      </c>
      <c r="F284" s="19"/>
      <c r="G284" s="20" t="s">
        <v>23</v>
      </c>
      <c r="H284" s="20" t="s">
        <v>23</v>
      </c>
      <c r="I284" s="20" t="s">
        <v>35</v>
      </c>
      <c r="J284" s="10" t="s">
        <v>25</v>
      </c>
      <c r="K284" s="10" t="s">
        <v>26</v>
      </c>
      <c r="L284" s="10" t="s">
        <v>30</v>
      </c>
      <c r="M284" s="18" t="s">
        <v>28</v>
      </c>
      <c r="N284" s="10"/>
      <c r="O284" s="21"/>
      <c r="P284" s="21"/>
      <c r="Q284" s="29">
        <f t="shared" si="12"/>
        <v>1</v>
      </c>
      <c r="R284" s="30" t="str">
        <f t="shared" si="13"/>
        <v>P37.130</v>
      </c>
    </row>
    <row r="285" spans="1:18">
      <c r="A285" s="17"/>
      <c r="B285" s="17"/>
      <c r="C285" s="17"/>
      <c r="D285" s="10">
        <f t="shared" si="14"/>
        <v>9347</v>
      </c>
      <c r="E285" s="18" t="s">
        <v>34</v>
      </c>
      <c r="F285" s="19"/>
      <c r="G285" s="20" t="s">
        <v>23</v>
      </c>
      <c r="H285" s="20" t="s">
        <v>23</v>
      </c>
      <c r="I285" s="20" t="s">
        <v>35</v>
      </c>
      <c r="J285" s="10" t="s">
        <v>25</v>
      </c>
      <c r="K285" s="10" t="s">
        <v>26</v>
      </c>
      <c r="L285" s="10" t="s">
        <v>30</v>
      </c>
      <c r="M285" s="18" t="s">
        <v>28</v>
      </c>
      <c r="N285" s="10"/>
      <c r="O285" s="21"/>
      <c r="P285" s="21"/>
      <c r="Q285" s="29">
        <f t="shared" si="12"/>
        <v>1</v>
      </c>
      <c r="R285" s="30" t="str">
        <f t="shared" si="13"/>
        <v>P37.131</v>
      </c>
    </row>
    <row r="286" spans="1:18">
      <c r="A286" s="17"/>
      <c r="B286" s="17"/>
      <c r="C286" s="17"/>
      <c r="D286" s="10">
        <f t="shared" si="14"/>
        <v>9348</v>
      </c>
      <c r="E286" s="18" t="s">
        <v>34</v>
      </c>
      <c r="F286" s="19"/>
      <c r="G286" s="20" t="s">
        <v>23</v>
      </c>
      <c r="H286" s="20" t="s">
        <v>23</v>
      </c>
      <c r="I286" s="20" t="s">
        <v>35</v>
      </c>
      <c r="J286" s="10" t="s">
        <v>25</v>
      </c>
      <c r="K286" s="10" t="s">
        <v>26</v>
      </c>
      <c r="L286" s="10" t="s">
        <v>30</v>
      </c>
      <c r="M286" s="18" t="s">
        <v>28</v>
      </c>
      <c r="N286" s="10"/>
      <c r="O286" s="21"/>
      <c r="P286" s="21"/>
      <c r="Q286" s="29">
        <f t="shared" si="12"/>
        <v>1</v>
      </c>
      <c r="R286" s="30" t="str">
        <f t="shared" si="13"/>
        <v>P37.132</v>
      </c>
    </row>
    <row r="287" spans="1:18">
      <c r="A287" s="17"/>
      <c r="B287" s="17"/>
      <c r="C287" s="17"/>
      <c r="D287" s="10">
        <f t="shared" si="14"/>
        <v>9349</v>
      </c>
      <c r="E287" s="18" t="s">
        <v>34</v>
      </c>
      <c r="F287" s="19"/>
      <c r="G287" s="20" t="s">
        <v>23</v>
      </c>
      <c r="H287" s="20" t="s">
        <v>23</v>
      </c>
      <c r="I287" s="20" t="s">
        <v>35</v>
      </c>
      <c r="J287" s="10" t="s">
        <v>25</v>
      </c>
      <c r="K287" s="10" t="s">
        <v>26</v>
      </c>
      <c r="L287" s="10" t="s">
        <v>30</v>
      </c>
      <c r="M287" s="18" t="s">
        <v>28</v>
      </c>
      <c r="N287" s="19"/>
      <c r="O287" s="21"/>
      <c r="P287" s="21"/>
      <c r="Q287" s="29">
        <f t="shared" si="12"/>
        <v>1</v>
      </c>
      <c r="R287" s="30" t="str">
        <f t="shared" si="13"/>
        <v>P37.133</v>
      </c>
    </row>
    <row r="288" spans="1:18">
      <c r="A288" s="17"/>
      <c r="B288" s="17"/>
      <c r="C288" s="17"/>
      <c r="D288" s="10">
        <f t="shared" si="14"/>
        <v>9350</v>
      </c>
      <c r="E288" s="18" t="s">
        <v>34</v>
      </c>
      <c r="F288" s="19"/>
      <c r="G288" s="20" t="s">
        <v>23</v>
      </c>
      <c r="H288" s="20" t="s">
        <v>23</v>
      </c>
      <c r="I288" s="20" t="s">
        <v>35</v>
      </c>
      <c r="J288" s="10" t="s">
        <v>25</v>
      </c>
      <c r="K288" s="10" t="s">
        <v>26</v>
      </c>
      <c r="L288" s="10" t="s">
        <v>30</v>
      </c>
      <c r="M288" s="18" t="s">
        <v>28</v>
      </c>
      <c r="N288" s="19"/>
      <c r="O288" s="21"/>
      <c r="P288" s="21"/>
      <c r="Q288" s="29">
        <f t="shared" si="12"/>
        <v>1</v>
      </c>
      <c r="R288" s="30" t="str">
        <f t="shared" si="13"/>
        <v>P37.134</v>
      </c>
    </row>
    <row r="289" spans="1:18">
      <c r="A289" s="17"/>
      <c r="B289" s="17"/>
      <c r="C289" s="17"/>
      <c r="D289" s="10">
        <f t="shared" si="14"/>
        <v>9351</v>
      </c>
      <c r="E289" s="18" t="s">
        <v>34</v>
      </c>
      <c r="F289" s="19"/>
      <c r="G289" s="20" t="s">
        <v>23</v>
      </c>
      <c r="H289" s="20" t="s">
        <v>23</v>
      </c>
      <c r="I289" s="20" t="s">
        <v>35</v>
      </c>
      <c r="J289" s="10" t="s">
        <v>25</v>
      </c>
      <c r="K289" s="10" t="s">
        <v>26</v>
      </c>
      <c r="L289" s="10" t="s">
        <v>30</v>
      </c>
      <c r="M289" s="18" t="s">
        <v>28</v>
      </c>
      <c r="N289" s="19"/>
      <c r="O289" s="21"/>
      <c r="P289" s="21"/>
      <c r="Q289" s="29">
        <f t="shared" si="12"/>
        <v>1</v>
      </c>
      <c r="R289" s="30" t="str">
        <f t="shared" si="13"/>
        <v>P37.135</v>
      </c>
    </row>
    <row r="290" spans="1:18">
      <c r="A290" s="32">
        <v>4</v>
      </c>
      <c r="B290" s="32"/>
      <c r="C290" s="32"/>
      <c r="D290" s="10">
        <f t="shared" si="14"/>
        <v>9352</v>
      </c>
      <c r="E290" s="18" t="s">
        <v>34</v>
      </c>
      <c r="F290" s="19"/>
      <c r="G290" s="20" t="s">
        <v>23</v>
      </c>
      <c r="H290" s="20" t="s">
        <v>23</v>
      </c>
      <c r="I290" s="20" t="s">
        <v>35</v>
      </c>
      <c r="J290" s="10" t="s">
        <v>25</v>
      </c>
      <c r="K290" s="10" t="s">
        <v>26</v>
      </c>
      <c r="L290" s="10" t="s">
        <v>30</v>
      </c>
      <c r="M290" s="18" t="s">
        <v>28</v>
      </c>
      <c r="N290" s="19"/>
      <c r="O290" s="21"/>
      <c r="P290" s="21"/>
      <c r="Q290" s="29">
        <f t="shared" si="12"/>
        <v>1</v>
      </c>
      <c r="R290" s="30" t="str">
        <f t="shared" si="13"/>
        <v>P37.136</v>
      </c>
    </row>
    <row r="291" spans="1:18">
      <c r="A291" s="17"/>
      <c r="B291" s="17"/>
      <c r="C291" s="17"/>
      <c r="D291" s="10">
        <f t="shared" si="14"/>
        <v>9353</v>
      </c>
      <c r="E291" s="18" t="s">
        <v>34</v>
      </c>
      <c r="F291" s="19" t="s">
        <v>875</v>
      </c>
      <c r="G291" s="20" t="s">
        <v>23</v>
      </c>
      <c r="H291" s="20" t="s">
        <v>23</v>
      </c>
      <c r="I291" s="20" t="s">
        <v>35</v>
      </c>
      <c r="J291" s="10" t="s">
        <v>25</v>
      </c>
      <c r="K291" s="10" t="s">
        <v>62</v>
      </c>
      <c r="L291" s="10" t="s">
        <v>27</v>
      </c>
      <c r="M291" s="18" t="s">
        <v>28</v>
      </c>
      <c r="N291" s="19"/>
      <c r="O291" s="21" t="s">
        <v>876</v>
      </c>
      <c r="P291" s="21"/>
      <c r="Q291" s="29">
        <f t="shared" si="12"/>
        <v>0</v>
      </c>
      <c r="R291" s="30" t="str">
        <f t="shared" si="13"/>
        <v>P37.137</v>
      </c>
    </row>
    <row r="292" spans="1:18">
      <c r="A292" s="17"/>
      <c r="B292" s="17"/>
      <c r="C292" s="17"/>
      <c r="D292" s="10">
        <f t="shared" si="14"/>
        <v>9354</v>
      </c>
      <c r="E292" s="18" t="s">
        <v>34</v>
      </c>
      <c r="F292" s="19" t="s">
        <v>877</v>
      </c>
      <c r="G292" s="20" t="s">
        <v>23</v>
      </c>
      <c r="H292" s="20" t="s">
        <v>23</v>
      </c>
      <c r="I292" s="20" t="s">
        <v>35</v>
      </c>
      <c r="J292" s="10" t="s">
        <v>25</v>
      </c>
      <c r="K292" s="10" t="s">
        <v>62</v>
      </c>
      <c r="L292" s="10" t="s">
        <v>27</v>
      </c>
      <c r="M292" s="18" t="s">
        <v>28</v>
      </c>
      <c r="N292" s="21"/>
      <c r="O292" s="21" t="s">
        <v>878</v>
      </c>
      <c r="P292" s="21"/>
      <c r="Q292" s="29">
        <f t="shared" si="12"/>
        <v>0</v>
      </c>
      <c r="R292" s="30" t="str">
        <f t="shared" si="13"/>
        <v>P37.138</v>
      </c>
    </row>
    <row r="293" spans="1:18">
      <c r="A293" s="17"/>
      <c r="B293" s="17"/>
      <c r="C293" s="17"/>
      <c r="D293" s="10">
        <f t="shared" si="14"/>
        <v>9355</v>
      </c>
      <c r="E293" s="18" t="s">
        <v>434</v>
      </c>
      <c r="F293" s="19" t="s">
        <v>879</v>
      </c>
      <c r="G293" s="20" t="s">
        <v>23</v>
      </c>
      <c r="H293" s="20" t="s">
        <v>436</v>
      </c>
      <c r="I293" s="20" t="s">
        <v>437</v>
      </c>
      <c r="J293" s="10" t="s">
        <v>25</v>
      </c>
      <c r="K293" s="10" t="s">
        <v>26</v>
      </c>
      <c r="L293" s="10" t="s">
        <v>30</v>
      </c>
      <c r="M293" s="18" t="s">
        <v>28</v>
      </c>
      <c r="N293" s="10"/>
      <c r="O293" s="21"/>
      <c r="P293" s="21"/>
      <c r="Q293" s="29">
        <f t="shared" si="12"/>
        <v>1</v>
      </c>
      <c r="R293" s="30" t="str">
        <f t="shared" si="13"/>
        <v>P37.139</v>
      </c>
    </row>
    <row r="294" spans="1:18">
      <c r="A294" s="17"/>
      <c r="B294" s="17"/>
      <c r="C294" s="17"/>
      <c r="D294" s="10">
        <f t="shared" si="14"/>
        <v>9357</v>
      </c>
      <c r="E294" s="18" t="s">
        <v>34</v>
      </c>
      <c r="F294" s="19"/>
      <c r="G294" s="20" t="s">
        <v>23</v>
      </c>
      <c r="H294" s="20" t="s">
        <v>23</v>
      </c>
      <c r="I294" s="20" t="s">
        <v>35</v>
      </c>
      <c r="J294" s="10" t="s">
        <v>25</v>
      </c>
      <c r="K294" s="10" t="s">
        <v>26</v>
      </c>
      <c r="L294" s="10" t="s">
        <v>30</v>
      </c>
      <c r="M294" s="18" t="s">
        <v>28</v>
      </c>
      <c r="N294" s="10"/>
      <c r="O294" s="21"/>
      <c r="P294" s="21"/>
      <c r="Q294" s="29">
        <f t="shared" si="12"/>
        <v>1</v>
      </c>
      <c r="R294" s="30" t="str">
        <f t="shared" si="13"/>
        <v>P37.141</v>
      </c>
    </row>
    <row r="295" spans="1:18">
      <c r="A295" s="17"/>
      <c r="B295" s="17"/>
      <c r="C295" s="17"/>
      <c r="D295" s="10">
        <f t="shared" si="14"/>
        <v>9358</v>
      </c>
      <c r="E295" s="18" t="s">
        <v>34</v>
      </c>
      <c r="F295" s="19"/>
      <c r="G295" s="20" t="s">
        <v>23</v>
      </c>
      <c r="H295" s="20" t="s">
        <v>23</v>
      </c>
      <c r="I295" s="20" t="s">
        <v>35</v>
      </c>
      <c r="J295" s="10" t="s">
        <v>25</v>
      </c>
      <c r="K295" s="10" t="s">
        <v>26</v>
      </c>
      <c r="L295" s="10" t="s">
        <v>30</v>
      </c>
      <c r="M295" s="18" t="s">
        <v>28</v>
      </c>
      <c r="N295" s="10"/>
      <c r="O295" s="21"/>
      <c r="P295" s="21"/>
      <c r="Q295" s="29">
        <f t="shared" si="12"/>
        <v>1</v>
      </c>
      <c r="R295" s="30" t="str">
        <f t="shared" si="13"/>
        <v>P37.142</v>
      </c>
    </row>
    <row r="296" spans="1:18">
      <c r="A296" s="31"/>
      <c r="B296" s="31"/>
      <c r="C296" s="31"/>
      <c r="D296" s="10">
        <f t="shared" si="14"/>
        <v>9359</v>
      </c>
      <c r="E296" s="18" t="s">
        <v>34</v>
      </c>
      <c r="F296" s="19"/>
      <c r="G296" s="20" t="s">
        <v>23</v>
      </c>
      <c r="H296" s="20" t="s">
        <v>23</v>
      </c>
      <c r="I296" s="20" t="s">
        <v>35</v>
      </c>
      <c r="J296" s="10" t="s">
        <v>25</v>
      </c>
      <c r="K296" s="10" t="s">
        <v>26</v>
      </c>
      <c r="L296" s="10" t="s">
        <v>30</v>
      </c>
      <c r="M296" s="18" t="s">
        <v>28</v>
      </c>
      <c r="N296" s="10"/>
      <c r="O296" s="21"/>
      <c r="P296" s="21"/>
      <c r="Q296" s="29">
        <f t="shared" si="12"/>
        <v>1</v>
      </c>
      <c r="R296" s="30" t="str">
        <f t="shared" si="13"/>
        <v>P37.143</v>
      </c>
    </row>
    <row r="297" ht="39.6" spans="1:18">
      <c r="A297" s="17">
        <v>5</v>
      </c>
      <c r="B297" s="17" t="s">
        <v>880</v>
      </c>
      <c r="C297" s="17" t="s">
        <v>881</v>
      </c>
      <c r="D297" s="10">
        <f t="shared" si="14"/>
        <v>9360</v>
      </c>
      <c r="E297" s="18" t="s">
        <v>34</v>
      </c>
      <c r="F297" s="19" t="s">
        <v>882</v>
      </c>
      <c r="G297" s="20" t="s">
        <v>23</v>
      </c>
      <c r="H297" s="20" t="s">
        <v>23</v>
      </c>
      <c r="I297" s="20" t="s">
        <v>42</v>
      </c>
      <c r="J297" s="10" t="s">
        <v>25</v>
      </c>
      <c r="K297" s="10" t="s">
        <v>62</v>
      </c>
      <c r="L297" s="10" t="s">
        <v>27</v>
      </c>
      <c r="M297" s="18" t="s">
        <v>28</v>
      </c>
      <c r="N297" s="10"/>
      <c r="O297" s="21" t="s">
        <v>883</v>
      </c>
      <c r="P297" s="24" t="s">
        <v>884</v>
      </c>
      <c r="Q297" s="29">
        <f t="shared" si="12"/>
        <v>0</v>
      </c>
      <c r="R297" s="30" t="str">
        <f t="shared" si="13"/>
        <v>P37.144</v>
      </c>
    </row>
    <row r="298" spans="1:18">
      <c r="A298" s="17"/>
      <c r="B298" s="17"/>
      <c r="C298" s="17"/>
      <c r="D298" s="10">
        <f t="shared" si="14"/>
        <v>9361</v>
      </c>
      <c r="E298" s="18" t="s">
        <v>383</v>
      </c>
      <c r="F298" s="19" t="s">
        <v>885</v>
      </c>
      <c r="G298" s="20" t="s">
        <v>23</v>
      </c>
      <c r="H298" s="20" t="s">
        <v>385</v>
      </c>
      <c r="I298" s="20" t="s">
        <v>386</v>
      </c>
      <c r="J298" s="10" t="s">
        <v>25</v>
      </c>
      <c r="K298" s="10" t="s">
        <v>62</v>
      </c>
      <c r="L298" s="10" t="s">
        <v>27</v>
      </c>
      <c r="M298" s="18" t="s">
        <v>28</v>
      </c>
      <c r="N298" s="10"/>
      <c r="O298" s="21" t="s">
        <v>886</v>
      </c>
      <c r="P298" s="21"/>
      <c r="Q298" s="29">
        <f t="shared" si="12"/>
        <v>1</v>
      </c>
      <c r="R298" s="30" t="str">
        <f t="shared" si="13"/>
        <v>P37.145</v>
      </c>
    </row>
    <row r="299" spans="1:18">
      <c r="A299" s="17"/>
      <c r="B299" s="17"/>
      <c r="C299" s="17"/>
      <c r="D299" s="10">
        <f t="shared" si="14"/>
        <v>9365</v>
      </c>
      <c r="E299" s="18" t="s">
        <v>34</v>
      </c>
      <c r="F299" s="19" t="s">
        <v>887</v>
      </c>
      <c r="G299" s="20" t="s">
        <v>675</v>
      </c>
      <c r="H299" s="20" t="s">
        <v>23</v>
      </c>
      <c r="I299" s="20" t="s">
        <v>170</v>
      </c>
      <c r="J299" s="10" t="s">
        <v>489</v>
      </c>
      <c r="K299" s="10" t="s">
        <v>62</v>
      </c>
      <c r="L299" s="10" t="s">
        <v>27</v>
      </c>
      <c r="M299" s="18" t="s">
        <v>28</v>
      </c>
      <c r="N299" s="10"/>
      <c r="O299" s="21" t="s">
        <v>888</v>
      </c>
      <c r="P299" s="21"/>
      <c r="Q299" s="29">
        <f t="shared" si="12"/>
        <v>1</v>
      </c>
      <c r="R299" s="30" t="str">
        <f t="shared" si="13"/>
        <v>P37.149</v>
      </c>
    </row>
    <row r="300" spans="1:18">
      <c r="A300" s="17"/>
      <c r="B300" s="17"/>
      <c r="C300" s="17"/>
      <c r="D300" s="10">
        <f t="shared" si="14"/>
        <v>9366</v>
      </c>
      <c r="E300" s="18" t="s">
        <v>34</v>
      </c>
      <c r="F300" s="19"/>
      <c r="G300" s="20" t="s">
        <v>23</v>
      </c>
      <c r="H300" s="20" t="s">
        <v>23</v>
      </c>
      <c r="I300" s="20" t="s">
        <v>35</v>
      </c>
      <c r="J300" s="10" t="s">
        <v>25</v>
      </c>
      <c r="K300" s="10" t="s">
        <v>26</v>
      </c>
      <c r="L300" s="10" t="s">
        <v>30</v>
      </c>
      <c r="M300" s="18" t="s">
        <v>28</v>
      </c>
      <c r="N300" s="10"/>
      <c r="O300" s="21"/>
      <c r="P300" s="21"/>
      <c r="Q300" s="29">
        <f t="shared" si="12"/>
        <v>1</v>
      </c>
      <c r="R300" s="30" t="str">
        <f t="shared" si="13"/>
        <v>P37.150</v>
      </c>
    </row>
    <row r="301" spans="1:18">
      <c r="A301" s="17"/>
      <c r="B301" s="17"/>
      <c r="C301" s="17"/>
      <c r="D301" s="10">
        <f t="shared" si="14"/>
        <v>9367</v>
      </c>
      <c r="E301" s="18" t="s">
        <v>34</v>
      </c>
      <c r="F301" s="19" t="s">
        <v>889</v>
      </c>
      <c r="G301" s="20" t="s">
        <v>23</v>
      </c>
      <c r="H301" s="20" t="s">
        <v>23</v>
      </c>
      <c r="I301" s="20" t="s">
        <v>35</v>
      </c>
      <c r="J301" s="10" t="s">
        <v>25</v>
      </c>
      <c r="K301" s="10" t="s">
        <v>62</v>
      </c>
      <c r="L301" s="10" t="s">
        <v>27</v>
      </c>
      <c r="M301" s="18" t="s">
        <v>28</v>
      </c>
      <c r="N301" s="10"/>
      <c r="O301" s="21"/>
      <c r="P301" s="21"/>
      <c r="Q301" s="29">
        <f t="shared" si="12"/>
        <v>0</v>
      </c>
      <c r="R301" s="30" t="str">
        <f t="shared" si="13"/>
        <v>P37.151</v>
      </c>
    </row>
    <row r="302" spans="1:18">
      <c r="A302" s="17"/>
      <c r="B302" s="17"/>
      <c r="C302" s="17"/>
      <c r="D302" s="10">
        <f t="shared" si="14"/>
        <v>9368</v>
      </c>
      <c r="E302" s="18" t="s">
        <v>34</v>
      </c>
      <c r="F302" s="19" t="s">
        <v>890</v>
      </c>
      <c r="G302" s="20" t="s">
        <v>23</v>
      </c>
      <c r="H302" s="20" t="s">
        <v>23</v>
      </c>
      <c r="I302" s="20" t="s">
        <v>42</v>
      </c>
      <c r="J302" s="10" t="s">
        <v>25</v>
      </c>
      <c r="K302" s="10" t="s">
        <v>62</v>
      </c>
      <c r="L302" s="10" t="s">
        <v>27</v>
      </c>
      <c r="M302" s="18" t="s">
        <v>28</v>
      </c>
      <c r="N302" s="10"/>
      <c r="O302" s="21"/>
      <c r="P302" s="21"/>
      <c r="Q302" s="29">
        <f t="shared" si="12"/>
        <v>0</v>
      </c>
      <c r="R302" s="30" t="str">
        <f t="shared" si="13"/>
        <v>P37.152</v>
      </c>
    </row>
    <row r="303" spans="1:18">
      <c r="A303" s="17"/>
      <c r="B303" s="17"/>
      <c r="C303" s="17"/>
      <c r="D303" s="10">
        <f t="shared" si="14"/>
        <v>9369</v>
      </c>
      <c r="E303" s="18" t="s">
        <v>34</v>
      </c>
      <c r="F303" s="19" t="s">
        <v>891</v>
      </c>
      <c r="G303" s="20" t="s">
        <v>23</v>
      </c>
      <c r="H303" s="20" t="s">
        <v>23</v>
      </c>
      <c r="I303" s="20" t="s">
        <v>892</v>
      </c>
      <c r="J303" s="10" t="s">
        <v>25</v>
      </c>
      <c r="K303" s="10" t="s">
        <v>62</v>
      </c>
      <c r="L303" s="10" t="s">
        <v>27</v>
      </c>
      <c r="M303" s="18" t="s">
        <v>28</v>
      </c>
      <c r="N303" s="10"/>
      <c r="O303" s="21"/>
      <c r="P303" s="21"/>
      <c r="Q303" s="29">
        <f t="shared" si="12"/>
        <v>1</v>
      </c>
      <c r="R303" s="30" t="str">
        <f t="shared" si="13"/>
        <v>P37.153</v>
      </c>
    </row>
    <row r="304" spans="1:18">
      <c r="A304" s="17"/>
      <c r="B304" s="17"/>
      <c r="C304" s="17"/>
      <c r="D304" s="10">
        <f t="shared" si="14"/>
        <v>9370</v>
      </c>
      <c r="E304" s="18" t="s">
        <v>34</v>
      </c>
      <c r="F304" s="19"/>
      <c r="G304" s="20" t="s">
        <v>23</v>
      </c>
      <c r="H304" s="20" t="s">
        <v>23</v>
      </c>
      <c r="I304" s="20" t="s">
        <v>35</v>
      </c>
      <c r="J304" s="10" t="s">
        <v>25</v>
      </c>
      <c r="K304" s="10" t="s">
        <v>26</v>
      </c>
      <c r="L304" s="10" t="s">
        <v>30</v>
      </c>
      <c r="M304" s="18" t="s">
        <v>28</v>
      </c>
      <c r="N304" s="10"/>
      <c r="O304" s="21"/>
      <c r="P304" s="21"/>
      <c r="Q304" s="29">
        <f t="shared" si="12"/>
        <v>1</v>
      </c>
      <c r="R304" s="30" t="str">
        <f t="shared" si="13"/>
        <v>P37.154</v>
      </c>
    </row>
    <row r="305" spans="1:18">
      <c r="A305" s="17"/>
      <c r="B305" s="17"/>
      <c r="C305" s="17"/>
      <c r="D305" s="10">
        <f t="shared" si="14"/>
        <v>9371</v>
      </c>
      <c r="E305" s="18" t="s">
        <v>34</v>
      </c>
      <c r="F305" s="19"/>
      <c r="G305" s="20" t="s">
        <v>23</v>
      </c>
      <c r="H305" s="20" t="s">
        <v>23</v>
      </c>
      <c r="I305" s="20" t="s">
        <v>35</v>
      </c>
      <c r="J305" s="10" t="s">
        <v>25</v>
      </c>
      <c r="K305" s="10" t="s">
        <v>26</v>
      </c>
      <c r="L305" s="10" t="s">
        <v>30</v>
      </c>
      <c r="M305" s="18" t="s">
        <v>28</v>
      </c>
      <c r="N305" s="10"/>
      <c r="O305" s="21"/>
      <c r="P305" s="21"/>
      <c r="Q305" s="29">
        <f t="shared" si="12"/>
        <v>1</v>
      </c>
      <c r="R305" s="30" t="str">
        <f t="shared" si="13"/>
        <v>P37.155</v>
      </c>
    </row>
    <row r="306" spans="1:18">
      <c r="A306" s="17"/>
      <c r="B306" s="17"/>
      <c r="C306" s="17"/>
      <c r="D306" s="10">
        <f t="shared" si="14"/>
        <v>9372</v>
      </c>
      <c r="E306" s="18" t="s">
        <v>34</v>
      </c>
      <c r="F306" s="19"/>
      <c r="G306" s="20" t="s">
        <v>23</v>
      </c>
      <c r="H306" s="20" t="s">
        <v>23</v>
      </c>
      <c r="I306" s="20" t="s">
        <v>35</v>
      </c>
      <c r="J306" s="10" t="s">
        <v>25</v>
      </c>
      <c r="K306" s="10" t="s">
        <v>26</v>
      </c>
      <c r="L306" s="10" t="s">
        <v>30</v>
      </c>
      <c r="M306" s="18" t="s">
        <v>28</v>
      </c>
      <c r="N306" s="10"/>
      <c r="O306" s="21"/>
      <c r="P306" s="21"/>
      <c r="Q306" s="29">
        <f t="shared" si="12"/>
        <v>1</v>
      </c>
      <c r="R306" s="30" t="str">
        <f t="shared" si="13"/>
        <v>P37.156</v>
      </c>
    </row>
    <row r="307" spans="1:18">
      <c r="A307" s="17"/>
      <c r="B307" s="17"/>
      <c r="C307" s="17"/>
      <c r="D307" s="10">
        <f t="shared" si="14"/>
        <v>9373</v>
      </c>
      <c r="E307" s="18" t="s">
        <v>34</v>
      </c>
      <c r="F307" s="19"/>
      <c r="G307" s="20" t="s">
        <v>23</v>
      </c>
      <c r="H307" s="20" t="s">
        <v>23</v>
      </c>
      <c r="I307" s="20" t="s">
        <v>35</v>
      </c>
      <c r="J307" s="10" t="s">
        <v>25</v>
      </c>
      <c r="K307" s="10" t="s">
        <v>26</v>
      </c>
      <c r="L307" s="10" t="s">
        <v>30</v>
      </c>
      <c r="M307" s="18" t="s">
        <v>28</v>
      </c>
      <c r="N307" s="10"/>
      <c r="O307" s="21"/>
      <c r="P307" s="21"/>
      <c r="Q307" s="29">
        <f t="shared" si="12"/>
        <v>1</v>
      </c>
      <c r="R307" s="30" t="str">
        <f t="shared" si="13"/>
        <v>P37.157</v>
      </c>
    </row>
    <row r="308" spans="1:18">
      <c r="A308" s="17"/>
      <c r="B308" s="17"/>
      <c r="C308" s="17"/>
      <c r="D308" s="10">
        <f t="shared" si="14"/>
        <v>9374</v>
      </c>
      <c r="E308" s="18" t="s">
        <v>34</v>
      </c>
      <c r="F308" s="21" t="s">
        <v>893</v>
      </c>
      <c r="G308" s="20" t="s">
        <v>23</v>
      </c>
      <c r="H308" s="20" t="s">
        <v>23</v>
      </c>
      <c r="I308" s="20" t="s">
        <v>35</v>
      </c>
      <c r="J308" s="10" t="s">
        <v>25</v>
      </c>
      <c r="K308" s="10" t="s">
        <v>68</v>
      </c>
      <c r="L308" s="10" t="s">
        <v>27</v>
      </c>
      <c r="M308" s="18" t="s">
        <v>28</v>
      </c>
      <c r="N308" s="19"/>
      <c r="O308" s="21" t="s">
        <v>894</v>
      </c>
      <c r="P308" s="21"/>
      <c r="Q308" s="29">
        <f t="shared" si="12"/>
        <v>0</v>
      </c>
      <c r="R308" s="30" t="str">
        <f t="shared" si="13"/>
        <v>P37.158</v>
      </c>
    </row>
    <row r="309" ht="39.6" spans="1:18">
      <c r="A309" s="17"/>
      <c r="B309" s="17"/>
      <c r="C309" s="17"/>
      <c r="D309" s="10">
        <f t="shared" si="14"/>
        <v>9375</v>
      </c>
      <c r="E309" s="18" t="s">
        <v>34</v>
      </c>
      <c r="F309" s="21" t="s">
        <v>895</v>
      </c>
      <c r="G309" s="20" t="s">
        <v>23</v>
      </c>
      <c r="H309" s="20" t="s">
        <v>23</v>
      </c>
      <c r="I309" s="20" t="s">
        <v>35</v>
      </c>
      <c r="J309" s="10" t="s">
        <v>25</v>
      </c>
      <c r="K309" s="10" t="s">
        <v>68</v>
      </c>
      <c r="L309" s="10" t="s">
        <v>27</v>
      </c>
      <c r="M309" s="18" t="s">
        <v>28</v>
      </c>
      <c r="N309" s="10"/>
      <c r="O309" s="21" t="s">
        <v>883</v>
      </c>
      <c r="P309" s="24" t="s">
        <v>896</v>
      </c>
      <c r="Q309" s="29">
        <f t="shared" si="12"/>
        <v>0</v>
      </c>
      <c r="R309" s="30" t="str">
        <f t="shared" si="13"/>
        <v>P37.159</v>
      </c>
    </row>
    <row r="310" spans="1:18">
      <c r="A310" s="17"/>
      <c r="B310" s="17"/>
      <c r="C310" s="17"/>
      <c r="D310" s="10">
        <f t="shared" si="14"/>
        <v>9376</v>
      </c>
      <c r="E310" s="18" t="s">
        <v>383</v>
      </c>
      <c r="F310" s="21" t="s">
        <v>897</v>
      </c>
      <c r="G310" s="20" t="s">
        <v>23</v>
      </c>
      <c r="H310" s="20" t="s">
        <v>385</v>
      </c>
      <c r="I310" s="20" t="s">
        <v>386</v>
      </c>
      <c r="J310" s="10" t="s">
        <v>387</v>
      </c>
      <c r="K310" s="10" t="s">
        <v>62</v>
      </c>
      <c r="L310" s="10" t="s">
        <v>27</v>
      </c>
      <c r="M310" s="18" t="s">
        <v>28</v>
      </c>
      <c r="N310" s="10"/>
      <c r="O310" s="21" t="s">
        <v>886</v>
      </c>
      <c r="P310" s="21"/>
      <c r="Q310" s="29">
        <f t="shared" si="12"/>
        <v>1</v>
      </c>
      <c r="R310" s="30" t="str">
        <f t="shared" si="13"/>
        <v>P37.160</v>
      </c>
    </row>
    <row r="311" spans="1:18">
      <c r="A311" s="17"/>
      <c r="B311" s="17"/>
      <c r="C311" s="17"/>
      <c r="D311" s="10">
        <f t="shared" si="14"/>
        <v>9380</v>
      </c>
      <c r="E311" s="18" t="s">
        <v>383</v>
      </c>
      <c r="F311" s="21" t="s">
        <v>898</v>
      </c>
      <c r="G311" s="20" t="s">
        <v>23</v>
      </c>
      <c r="H311" s="20" t="s">
        <v>385</v>
      </c>
      <c r="I311" s="20" t="s">
        <v>386</v>
      </c>
      <c r="J311" s="10" t="s">
        <v>387</v>
      </c>
      <c r="K311" s="10" t="s">
        <v>62</v>
      </c>
      <c r="L311" s="10" t="s">
        <v>27</v>
      </c>
      <c r="M311" s="18" t="s">
        <v>28</v>
      </c>
      <c r="N311" s="10"/>
      <c r="O311" s="21" t="s">
        <v>894</v>
      </c>
      <c r="P311" s="21"/>
      <c r="Q311" s="29">
        <f t="shared" si="12"/>
        <v>1</v>
      </c>
      <c r="R311" s="30" t="str">
        <f t="shared" si="13"/>
        <v>P37.164</v>
      </c>
    </row>
    <row r="312" spans="1:18">
      <c r="A312" s="17"/>
      <c r="B312" s="17"/>
      <c r="C312" s="17"/>
      <c r="D312" s="10">
        <f t="shared" si="14"/>
        <v>9384</v>
      </c>
      <c r="E312" s="18" t="s">
        <v>34</v>
      </c>
      <c r="F312" s="21" t="s">
        <v>899</v>
      </c>
      <c r="G312" s="20" t="s">
        <v>23</v>
      </c>
      <c r="H312" s="20" t="s">
        <v>23</v>
      </c>
      <c r="I312" s="20" t="s">
        <v>35</v>
      </c>
      <c r="J312" s="10" t="s">
        <v>25</v>
      </c>
      <c r="K312" s="10" t="s">
        <v>26</v>
      </c>
      <c r="L312" s="10" t="s">
        <v>30</v>
      </c>
      <c r="M312" s="18" t="s">
        <v>28</v>
      </c>
      <c r="N312" s="10"/>
      <c r="O312" s="21" t="s">
        <v>900</v>
      </c>
      <c r="P312" s="21"/>
      <c r="Q312" s="29">
        <f t="shared" si="12"/>
        <v>0</v>
      </c>
      <c r="R312" s="30" t="str">
        <f t="shared" si="13"/>
        <v>P37.168</v>
      </c>
    </row>
    <row r="313" spans="1:18">
      <c r="A313" s="17"/>
      <c r="B313" s="17"/>
      <c r="C313" s="17"/>
      <c r="D313" s="10">
        <f t="shared" si="14"/>
        <v>9385</v>
      </c>
      <c r="E313" s="18" t="s">
        <v>34</v>
      </c>
      <c r="F313" s="19"/>
      <c r="G313" s="20" t="s">
        <v>23</v>
      </c>
      <c r="H313" s="20" t="s">
        <v>23</v>
      </c>
      <c r="I313" s="20" t="s">
        <v>35</v>
      </c>
      <c r="J313" s="10" t="s">
        <v>25</v>
      </c>
      <c r="K313" s="10" t="s">
        <v>26</v>
      </c>
      <c r="L313" s="10" t="s">
        <v>30</v>
      </c>
      <c r="M313" s="18" t="s">
        <v>28</v>
      </c>
      <c r="N313" s="10"/>
      <c r="O313" s="21"/>
      <c r="P313" s="21"/>
      <c r="Q313" s="29">
        <f t="shared" si="12"/>
        <v>1</v>
      </c>
      <c r="R313" s="30" t="str">
        <f t="shared" si="13"/>
        <v>P37.169</v>
      </c>
    </row>
    <row r="314" spans="1:18">
      <c r="A314" s="17"/>
      <c r="B314" s="17"/>
      <c r="C314" s="17"/>
      <c r="D314" s="10">
        <f t="shared" si="14"/>
        <v>9386</v>
      </c>
      <c r="E314" s="18" t="s">
        <v>20</v>
      </c>
      <c r="F314" s="21" t="s">
        <v>901</v>
      </c>
      <c r="G314" s="20" t="s">
        <v>39</v>
      </c>
      <c r="H314" s="20" t="s">
        <v>23</v>
      </c>
      <c r="I314" s="20" t="s">
        <v>24</v>
      </c>
      <c r="J314" s="10" t="s">
        <v>25</v>
      </c>
      <c r="K314" s="10" t="s">
        <v>62</v>
      </c>
      <c r="L314" s="10" t="s">
        <v>27</v>
      </c>
      <c r="M314" s="18" t="s">
        <v>28</v>
      </c>
      <c r="N314" s="10"/>
      <c r="O314" s="21" t="s">
        <v>902</v>
      </c>
      <c r="P314" s="21"/>
      <c r="Q314" s="29">
        <f t="shared" si="12"/>
        <v>1</v>
      </c>
      <c r="R314" s="30" t="str">
        <f t="shared" si="13"/>
        <v>P37.170</v>
      </c>
    </row>
    <row r="315" spans="1:18">
      <c r="A315" s="17"/>
      <c r="B315" s="17"/>
      <c r="C315" s="17"/>
      <c r="D315" s="10">
        <f t="shared" si="14"/>
        <v>9388</v>
      </c>
      <c r="E315" s="18" t="s">
        <v>20</v>
      </c>
      <c r="F315" s="21" t="s">
        <v>903</v>
      </c>
      <c r="G315" s="20" t="s">
        <v>39</v>
      </c>
      <c r="H315" s="20" t="s">
        <v>23</v>
      </c>
      <c r="I315" s="20" t="s">
        <v>24</v>
      </c>
      <c r="J315" s="10" t="s">
        <v>25</v>
      </c>
      <c r="K315" s="10" t="s">
        <v>62</v>
      </c>
      <c r="L315" s="10" t="s">
        <v>27</v>
      </c>
      <c r="M315" s="18" t="s">
        <v>28</v>
      </c>
      <c r="N315" s="10"/>
      <c r="O315" s="21" t="s">
        <v>904</v>
      </c>
      <c r="P315" s="21"/>
      <c r="Q315" s="29">
        <f t="shared" si="12"/>
        <v>1</v>
      </c>
      <c r="R315" s="30" t="str">
        <f t="shared" si="13"/>
        <v>P37.172</v>
      </c>
    </row>
    <row r="316" spans="1:18">
      <c r="A316" s="17"/>
      <c r="B316" s="17"/>
      <c r="C316" s="17"/>
      <c r="D316" s="10">
        <f t="shared" si="14"/>
        <v>9390</v>
      </c>
      <c r="E316" s="18" t="s">
        <v>34</v>
      </c>
      <c r="F316" s="19"/>
      <c r="G316" s="20" t="s">
        <v>23</v>
      </c>
      <c r="H316" s="20" t="s">
        <v>23</v>
      </c>
      <c r="I316" s="20" t="s">
        <v>35</v>
      </c>
      <c r="J316" s="10" t="s">
        <v>25</v>
      </c>
      <c r="K316" s="10" t="s">
        <v>26</v>
      </c>
      <c r="L316" s="10" t="s">
        <v>30</v>
      </c>
      <c r="M316" s="18" t="s">
        <v>28</v>
      </c>
      <c r="N316" s="10"/>
      <c r="O316" s="21"/>
      <c r="P316" s="21"/>
      <c r="Q316" s="29">
        <f t="shared" si="12"/>
        <v>1</v>
      </c>
      <c r="R316" s="30" t="str">
        <f t="shared" si="13"/>
        <v>P37.174</v>
      </c>
    </row>
    <row r="317" spans="1:18">
      <c r="A317" s="17"/>
      <c r="B317" s="17"/>
      <c r="C317" s="17"/>
      <c r="D317" s="10">
        <f t="shared" si="14"/>
        <v>9391</v>
      </c>
      <c r="E317" s="18" t="s">
        <v>34</v>
      </c>
      <c r="F317" s="21" t="s">
        <v>905</v>
      </c>
      <c r="G317" s="20" t="s">
        <v>23</v>
      </c>
      <c r="H317" s="20" t="s">
        <v>23</v>
      </c>
      <c r="I317" s="20" t="s">
        <v>35</v>
      </c>
      <c r="J317" s="10" t="s">
        <v>25</v>
      </c>
      <c r="K317" s="10" t="s">
        <v>62</v>
      </c>
      <c r="L317" s="10" t="s">
        <v>27</v>
      </c>
      <c r="M317" s="18" t="s">
        <v>28</v>
      </c>
      <c r="N317" s="10"/>
      <c r="O317" s="21" t="s">
        <v>906</v>
      </c>
      <c r="P317" s="21"/>
      <c r="Q317" s="29">
        <f t="shared" si="12"/>
        <v>1</v>
      </c>
      <c r="R317" s="30" t="str">
        <f t="shared" si="13"/>
        <v>P37.175</v>
      </c>
    </row>
    <row r="318" spans="1:18">
      <c r="A318" s="17"/>
      <c r="B318" s="17"/>
      <c r="C318" s="17"/>
      <c r="D318" s="10">
        <f t="shared" si="14"/>
        <v>9392</v>
      </c>
      <c r="E318" s="18" t="s">
        <v>34</v>
      </c>
      <c r="F318" s="21" t="s">
        <v>907</v>
      </c>
      <c r="G318" s="20" t="s">
        <v>23</v>
      </c>
      <c r="H318" s="20" t="s">
        <v>23</v>
      </c>
      <c r="I318" s="20" t="s">
        <v>35</v>
      </c>
      <c r="J318" s="10" t="s">
        <v>25</v>
      </c>
      <c r="K318" s="10" t="s">
        <v>62</v>
      </c>
      <c r="L318" s="10" t="s">
        <v>27</v>
      </c>
      <c r="M318" s="18" t="s">
        <v>28</v>
      </c>
      <c r="N318" s="10"/>
      <c r="O318" s="21" t="s">
        <v>908</v>
      </c>
      <c r="P318" s="21"/>
      <c r="Q318" s="29">
        <f t="shared" si="12"/>
        <v>1</v>
      </c>
      <c r="R318" s="30" t="str">
        <f t="shared" si="13"/>
        <v>P37.176</v>
      </c>
    </row>
    <row r="319" spans="1:18">
      <c r="A319" s="17"/>
      <c r="B319" s="17"/>
      <c r="C319" s="17"/>
      <c r="D319" s="10">
        <f t="shared" si="14"/>
        <v>9393</v>
      </c>
      <c r="E319" s="18" t="s">
        <v>34</v>
      </c>
      <c r="F319" s="21" t="s">
        <v>909</v>
      </c>
      <c r="G319" s="20" t="s">
        <v>23</v>
      </c>
      <c r="H319" s="20" t="s">
        <v>23</v>
      </c>
      <c r="I319" s="20" t="s">
        <v>35</v>
      </c>
      <c r="J319" s="10" t="s">
        <v>25</v>
      </c>
      <c r="K319" s="10" t="s">
        <v>62</v>
      </c>
      <c r="L319" s="10" t="s">
        <v>27</v>
      </c>
      <c r="M319" s="18" t="s">
        <v>28</v>
      </c>
      <c r="N319" s="10"/>
      <c r="O319" s="21" t="s">
        <v>910</v>
      </c>
      <c r="P319" s="21"/>
      <c r="Q319" s="29">
        <f t="shared" si="12"/>
        <v>1</v>
      </c>
      <c r="R319" s="30" t="str">
        <f t="shared" si="13"/>
        <v>P37.177</v>
      </c>
    </row>
    <row r="320" spans="1:18">
      <c r="A320" s="17"/>
      <c r="B320" s="17"/>
      <c r="C320" s="17"/>
      <c r="D320" s="10">
        <f t="shared" si="14"/>
        <v>9394</v>
      </c>
      <c r="E320" s="18" t="s">
        <v>34</v>
      </c>
      <c r="F320" s="19"/>
      <c r="G320" s="20" t="s">
        <v>23</v>
      </c>
      <c r="H320" s="20" t="s">
        <v>23</v>
      </c>
      <c r="I320" s="20" t="s">
        <v>35</v>
      </c>
      <c r="J320" s="10" t="s">
        <v>25</v>
      </c>
      <c r="K320" s="10" t="s">
        <v>26</v>
      </c>
      <c r="L320" s="10" t="s">
        <v>30</v>
      </c>
      <c r="M320" s="18" t="s">
        <v>28</v>
      </c>
      <c r="N320" s="10"/>
      <c r="O320" s="21"/>
      <c r="P320" s="21"/>
      <c r="Q320" s="29">
        <f t="shared" si="12"/>
        <v>1</v>
      </c>
      <c r="R320" s="30" t="str">
        <f t="shared" si="13"/>
        <v>P37.178</v>
      </c>
    </row>
    <row r="321" spans="1:18">
      <c r="A321" s="17"/>
      <c r="B321" s="17"/>
      <c r="C321" s="17"/>
      <c r="D321" s="10">
        <f t="shared" si="14"/>
        <v>9395</v>
      </c>
      <c r="E321" s="18" t="s">
        <v>383</v>
      </c>
      <c r="F321" s="21" t="s">
        <v>911</v>
      </c>
      <c r="G321" s="20" t="s">
        <v>23</v>
      </c>
      <c r="H321" s="20" t="s">
        <v>385</v>
      </c>
      <c r="I321" s="20" t="s">
        <v>386</v>
      </c>
      <c r="J321" s="10" t="s">
        <v>387</v>
      </c>
      <c r="K321" s="10" t="s">
        <v>62</v>
      </c>
      <c r="L321" s="10" t="s">
        <v>27</v>
      </c>
      <c r="M321" s="18" t="s">
        <v>28</v>
      </c>
      <c r="N321" s="10"/>
      <c r="O321" s="21" t="s">
        <v>912</v>
      </c>
      <c r="P321" s="21"/>
      <c r="Q321" s="29">
        <f t="shared" si="12"/>
        <v>1</v>
      </c>
      <c r="R321" s="30" t="str">
        <f t="shared" si="13"/>
        <v>P37.179</v>
      </c>
    </row>
    <row r="322" spans="1:18">
      <c r="A322" s="17"/>
      <c r="B322" s="17"/>
      <c r="C322" s="17"/>
      <c r="D322" s="10">
        <f t="shared" si="14"/>
        <v>9399</v>
      </c>
      <c r="E322" s="18" t="s">
        <v>383</v>
      </c>
      <c r="F322" s="21" t="s">
        <v>913</v>
      </c>
      <c r="G322" s="20" t="s">
        <v>23</v>
      </c>
      <c r="H322" s="20" t="s">
        <v>385</v>
      </c>
      <c r="I322" s="20" t="s">
        <v>386</v>
      </c>
      <c r="J322" s="10" t="s">
        <v>387</v>
      </c>
      <c r="K322" s="10" t="s">
        <v>62</v>
      </c>
      <c r="L322" s="10" t="s">
        <v>27</v>
      </c>
      <c r="M322" s="18" t="s">
        <v>28</v>
      </c>
      <c r="N322" s="10"/>
      <c r="O322" s="21" t="s">
        <v>914</v>
      </c>
      <c r="P322" s="21"/>
      <c r="Q322" s="29">
        <f t="shared" si="12"/>
        <v>1</v>
      </c>
      <c r="R322" s="30" t="str">
        <f t="shared" si="13"/>
        <v>P37.183</v>
      </c>
    </row>
    <row r="323" spans="1:18">
      <c r="A323" s="17"/>
      <c r="B323" s="17"/>
      <c r="C323" s="17"/>
      <c r="D323" s="10">
        <f t="shared" si="14"/>
        <v>9403</v>
      </c>
      <c r="E323" s="18" t="s">
        <v>383</v>
      </c>
      <c r="F323" s="21" t="s">
        <v>915</v>
      </c>
      <c r="G323" s="20" t="s">
        <v>23</v>
      </c>
      <c r="H323" s="20" t="s">
        <v>385</v>
      </c>
      <c r="I323" s="20" t="s">
        <v>386</v>
      </c>
      <c r="J323" s="10" t="s">
        <v>387</v>
      </c>
      <c r="K323" s="10" t="s">
        <v>62</v>
      </c>
      <c r="L323" s="10" t="s">
        <v>27</v>
      </c>
      <c r="M323" s="18" t="s">
        <v>28</v>
      </c>
      <c r="N323" s="10"/>
      <c r="O323" s="21" t="s">
        <v>916</v>
      </c>
      <c r="P323" s="21"/>
      <c r="Q323" s="29">
        <f t="shared" si="12"/>
        <v>1</v>
      </c>
      <c r="R323" s="30" t="str">
        <f t="shared" si="13"/>
        <v>P37.187</v>
      </c>
    </row>
    <row r="324" spans="1:18">
      <c r="A324" s="17"/>
      <c r="B324" s="17"/>
      <c r="C324" s="17"/>
      <c r="D324" s="10">
        <f t="shared" si="14"/>
        <v>9407</v>
      </c>
      <c r="E324" s="18" t="s">
        <v>383</v>
      </c>
      <c r="F324" s="21" t="s">
        <v>917</v>
      </c>
      <c r="G324" s="20" t="s">
        <v>23</v>
      </c>
      <c r="H324" s="20" t="s">
        <v>385</v>
      </c>
      <c r="I324" s="20" t="s">
        <v>386</v>
      </c>
      <c r="J324" s="10" t="s">
        <v>387</v>
      </c>
      <c r="K324" s="10" t="s">
        <v>62</v>
      </c>
      <c r="L324" s="10" t="s">
        <v>27</v>
      </c>
      <c r="M324" s="18" t="s">
        <v>28</v>
      </c>
      <c r="N324" s="10"/>
      <c r="O324" s="21" t="s">
        <v>918</v>
      </c>
      <c r="P324" s="21"/>
      <c r="Q324" s="29">
        <f t="shared" si="12"/>
        <v>1</v>
      </c>
      <c r="R324" s="30" t="str">
        <f t="shared" si="13"/>
        <v>P37.191</v>
      </c>
    </row>
    <row r="325" spans="1:18">
      <c r="A325" s="17"/>
      <c r="B325" s="17"/>
      <c r="C325" s="17"/>
      <c r="D325" s="10">
        <f t="shared" si="14"/>
        <v>9411</v>
      </c>
      <c r="E325" s="18" t="s">
        <v>383</v>
      </c>
      <c r="F325" s="21" t="s">
        <v>919</v>
      </c>
      <c r="G325" s="20" t="s">
        <v>23</v>
      </c>
      <c r="H325" s="20" t="s">
        <v>385</v>
      </c>
      <c r="I325" s="20" t="s">
        <v>386</v>
      </c>
      <c r="J325" s="10" t="s">
        <v>387</v>
      </c>
      <c r="K325" s="10" t="s">
        <v>62</v>
      </c>
      <c r="L325" s="10" t="s">
        <v>27</v>
      </c>
      <c r="M325" s="18" t="s">
        <v>28</v>
      </c>
      <c r="N325" s="10"/>
      <c r="O325" s="21" t="s">
        <v>920</v>
      </c>
      <c r="P325" s="21"/>
      <c r="Q325" s="29">
        <f t="shared" si="12"/>
        <v>1</v>
      </c>
      <c r="R325" s="30" t="str">
        <f t="shared" si="13"/>
        <v>P37.195</v>
      </c>
    </row>
    <row r="326" spans="1:18">
      <c r="A326" s="17"/>
      <c r="B326" s="17"/>
      <c r="C326" s="17"/>
      <c r="D326" s="10">
        <f t="shared" si="14"/>
        <v>9415</v>
      </c>
      <c r="E326" s="18" t="s">
        <v>383</v>
      </c>
      <c r="F326" s="21" t="s">
        <v>921</v>
      </c>
      <c r="G326" s="20" t="s">
        <v>23</v>
      </c>
      <c r="H326" s="20" t="s">
        <v>385</v>
      </c>
      <c r="I326" s="20" t="s">
        <v>386</v>
      </c>
      <c r="J326" s="10" t="s">
        <v>387</v>
      </c>
      <c r="K326" s="10" t="s">
        <v>62</v>
      </c>
      <c r="L326" s="10" t="s">
        <v>27</v>
      </c>
      <c r="M326" s="18" t="s">
        <v>28</v>
      </c>
      <c r="N326" s="10"/>
      <c r="O326" s="21" t="s">
        <v>922</v>
      </c>
      <c r="P326" s="21"/>
      <c r="Q326" s="29">
        <f t="shared" si="12"/>
        <v>1</v>
      </c>
      <c r="R326" s="30" t="str">
        <f t="shared" si="13"/>
        <v>P37.199</v>
      </c>
    </row>
    <row r="327" spans="1:18">
      <c r="A327" s="17"/>
      <c r="B327" s="17"/>
      <c r="C327" s="17"/>
      <c r="D327" s="10">
        <f t="shared" si="14"/>
        <v>9419</v>
      </c>
      <c r="E327" s="18" t="s">
        <v>383</v>
      </c>
      <c r="F327" s="21" t="s">
        <v>923</v>
      </c>
      <c r="G327" s="20" t="s">
        <v>23</v>
      </c>
      <c r="H327" s="20" t="s">
        <v>385</v>
      </c>
      <c r="I327" s="20" t="s">
        <v>386</v>
      </c>
      <c r="J327" s="10" t="s">
        <v>387</v>
      </c>
      <c r="K327" s="10" t="s">
        <v>62</v>
      </c>
      <c r="L327" s="10" t="s">
        <v>27</v>
      </c>
      <c r="M327" s="18" t="s">
        <v>28</v>
      </c>
      <c r="N327" s="10"/>
      <c r="O327" s="21" t="s">
        <v>924</v>
      </c>
      <c r="P327" s="21"/>
      <c r="Q327" s="29">
        <f t="shared" si="12"/>
        <v>1</v>
      </c>
      <c r="R327" s="30" t="str">
        <f t="shared" si="13"/>
        <v>P37.203</v>
      </c>
    </row>
    <row r="328" spans="1:18">
      <c r="A328" s="17"/>
      <c r="B328" s="17"/>
      <c r="C328" s="17"/>
      <c r="D328" s="10">
        <f t="shared" si="14"/>
        <v>9423</v>
      </c>
      <c r="E328" s="18" t="s">
        <v>383</v>
      </c>
      <c r="F328" s="21" t="s">
        <v>925</v>
      </c>
      <c r="G328" s="20" t="s">
        <v>23</v>
      </c>
      <c r="H328" s="20" t="s">
        <v>385</v>
      </c>
      <c r="I328" s="20" t="s">
        <v>386</v>
      </c>
      <c r="J328" s="10" t="s">
        <v>387</v>
      </c>
      <c r="K328" s="10" t="s">
        <v>62</v>
      </c>
      <c r="L328" s="10" t="s">
        <v>27</v>
      </c>
      <c r="M328" s="18" t="s">
        <v>28</v>
      </c>
      <c r="N328" s="10"/>
      <c r="O328" s="21" t="s">
        <v>926</v>
      </c>
      <c r="P328" s="21"/>
      <c r="Q328" s="29">
        <f t="shared" ref="Q328:Q391" si="15">IF(OR(F328="",LEFT(TRIM(F328),3)=E328),1,0)</f>
        <v>1</v>
      </c>
      <c r="R328" s="30" t="str">
        <f t="shared" ref="R328:R391" si="16">"P"&amp;TEXT(ROUND(D328/256,0),"00")&amp;"."&amp;TEXT(MOD(D328,256),"000")</f>
        <v>P37.207</v>
      </c>
    </row>
    <row r="329" spans="1:18">
      <c r="A329" s="17"/>
      <c r="B329" s="17"/>
      <c r="C329" s="17"/>
      <c r="D329" s="10">
        <f t="shared" ref="D329:D392" si="17">INDEX(D:D,ROW()-1)+_xlfn.IFS(INDEX(E:E,ROW()-1)="u16",1,INDEX(E:E,ROW()-1)="s16",1,INDEX(E:E,ROW()-1)="s32",2,INDEX(E:E,ROW()-1)="s64",4,INDEX(E:E,ROW()-1)="u16",1,INDEX(E:E,ROW()-1)="u32",2,INDEX(E:E,ROW()-1)="u64",4,INDEX(E:E,ROW()-1)="f32",2,INDEX(E:E,ROW()-1)="f64",4)</f>
        <v>9427</v>
      </c>
      <c r="E329" s="18" t="s">
        <v>383</v>
      </c>
      <c r="F329" s="21" t="s">
        <v>927</v>
      </c>
      <c r="G329" s="20" t="s">
        <v>23</v>
      </c>
      <c r="H329" s="20" t="s">
        <v>385</v>
      </c>
      <c r="I329" s="20" t="s">
        <v>386</v>
      </c>
      <c r="J329" s="10" t="s">
        <v>387</v>
      </c>
      <c r="K329" s="10" t="s">
        <v>62</v>
      </c>
      <c r="L329" s="10" t="s">
        <v>27</v>
      </c>
      <c r="M329" s="18" t="s">
        <v>28</v>
      </c>
      <c r="N329" s="10"/>
      <c r="O329" s="21" t="s">
        <v>928</v>
      </c>
      <c r="P329" s="21"/>
      <c r="Q329" s="29">
        <f t="shared" si="15"/>
        <v>1</v>
      </c>
      <c r="R329" s="30" t="str">
        <f t="shared" si="16"/>
        <v>P37.211</v>
      </c>
    </row>
    <row r="330" spans="1:18">
      <c r="A330" s="17"/>
      <c r="B330" s="17"/>
      <c r="C330" s="17"/>
      <c r="D330" s="10">
        <f t="shared" si="17"/>
        <v>9431</v>
      </c>
      <c r="E330" s="18" t="s">
        <v>383</v>
      </c>
      <c r="F330" s="21" t="s">
        <v>929</v>
      </c>
      <c r="G330" s="20" t="s">
        <v>23</v>
      </c>
      <c r="H330" s="20" t="s">
        <v>385</v>
      </c>
      <c r="I330" s="20" t="s">
        <v>386</v>
      </c>
      <c r="J330" s="10" t="s">
        <v>387</v>
      </c>
      <c r="K330" s="10" t="s">
        <v>62</v>
      </c>
      <c r="L330" s="10" t="s">
        <v>27</v>
      </c>
      <c r="M330" s="18" t="s">
        <v>28</v>
      </c>
      <c r="N330" s="10"/>
      <c r="O330" s="21" t="s">
        <v>930</v>
      </c>
      <c r="P330" s="21"/>
      <c r="Q330" s="29">
        <f t="shared" si="15"/>
        <v>1</v>
      </c>
      <c r="R330" s="30" t="str">
        <f t="shared" si="16"/>
        <v>P37.215</v>
      </c>
    </row>
    <row r="331" spans="1:18">
      <c r="A331" s="17"/>
      <c r="B331" s="17"/>
      <c r="C331" s="17"/>
      <c r="D331" s="10">
        <f t="shared" si="17"/>
        <v>9435</v>
      </c>
      <c r="E331" s="18" t="s">
        <v>383</v>
      </c>
      <c r="F331" s="21" t="s">
        <v>931</v>
      </c>
      <c r="G331" s="20" t="s">
        <v>23</v>
      </c>
      <c r="H331" s="20" t="s">
        <v>385</v>
      </c>
      <c r="I331" s="20" t="s">
        <v>386</v>
      </c>
      <c r="J331" s="10" t="s">
        <v>387</v>
      </c>
      <c r="K331" s="10" t="s">
        <v>62</v>
      </c>
      <c r="L331" s="10" t="s">
        <v>27</v>
      </c>
      <c r="M331" s="18" t="s">
        <v>28</v>
      </c>
      <c r="N331" s="10"/>
      <c r="O331" s="21" t="s">
        <v>932</v>
      </c>
      <c r="P331" s="21"/>
      <c r="Q331" s="29">
        <f t="shared" si="15"/>
        <v>1</v>
      </c>
      <c r="R331" s="30" t="str">
        <f t="shared" si="16"/>
        <v>P37.219</v>
      </c>
    </row>
    <row r="332" spans="1:18">
      <c r="A332" s="17"/>
      <c r="B332" s="17"/>
      <c r="C332" s="17"/>
      <c r="D332" s="10">
        <f t="shared" si="17"/>
        <v>9439</v>
      </c>
      <c r="E332" s="18" t="s">
        <v>383</v>
      </c>
      <c r="F332" s="21" t="s">
        <v>933</v>
      </c>
      <c r="G332" s="20" t="s">
        <v>23</v>
      </c>
      <c r="H332" s="20" t="s">
        <v>385</v>
      </c>
      <c r="I332" s="20" t="s">
        <v>386</v>
      </c>
      <c r="J332" s="10" t="s">
        <v>387</v>
      </c>
      <c r="K332" s="10" t="s">
        <v>62</v>
      </c>
      <c r="L332" s="10" t="s">
        <v>27</v>
      </c>
      <c r="M332" s="18" t="s">
        <v>28</v>
      </c>
      <c r="N332" s="10"/>
      <c r="O332" s="21" t="s">
        <v>934</v>
      </c>
      <c r="P332" s="21"/>
      <c r="Q332" s="29">
        <f t="shared" si="15"/>
        <v>1</v>
      </c>
      <c r="R332" s="30" t="str">
        <f t="shared" si="16"/>
        <v>P37.223</v>
      </c>
    </row>
    <row r="333" spans="1:18">
      <c r="A333" s="17"/>
      <c r="B333" s="17"/>
      <c r="C333" s="17"/>
      <c r="D333" s="10">
        <f t="shared" si="17"/>
        <v>9443</v>
      </c>
      <c r="E333" s="18" t="s">
        <v>383</v>
      </c>
      <c r="F333" s="21" t="s">
        <v>935</v>
      </c>
      <c r="G333" s="20" t="s">
        <v>23</v>
      </c>
      <c r="H333" s="20" t="s">
        <v>385</v>
      </c>
      <c r="I333" s="20" t="s">
        <v>386</v>
      </c>
      <c r="J333" s="10" t="s">
        <v>387</v>
      </c>
      <c r="K333" s="10" t="s">
        <v>62</v>
      </c>
      <c r="L333" s="10" t="s">
        <v>27</v>
      </c>
      <c r="M333" s="18" t="s">
        <v>28</v>
      </c>
      <c r="N333" s="10"/>
      <c r="O333" s="21" t="s">
        <v>936</v>
      </c>
      <c r="P333" s="21"/>
      <c r="Q333" s="29">
        <f t="shared" si="15"/>
        <v>1</v>
      </c>
      <c r="R333" s="30" t="str">
        <f t="shared" si="16"/>
        <v>P37.227</v>
      </c>
    </row>
    <row r="334" spans="1:18">
      <c r="A334" s="17"/>
      <c r="B334" s="17"/>
      <c r="C334" s="17"/>
      <c r="D334" s="10">
        <f t="shared" si="17"/>
        <v>9447</v>
      </c>
      <c r="E334" s="18" t="s">
        <v>383</v>
      </c>
      <c r="F334" s="21" t="s">
        <v>937</v>
      </c>
      <c r="G334" s="20" t="s">
        <v>23</v>
      </c>
      <c r="H334" s="20" t="s">
        <v>385</v>
      </c>
      <c r="I334" s="20" t="s">
        <v>386</v>
      </c>
      <c r="J334" s="10" t="s">
        <v>387</v>
      </c>
      <c r="K334" s="10" t="s">
        <v>62</v>
      </c>
      <c r="L334" s="10" t="s">
        <v>27</v>
      </c>
      <c r="M334" s="18" t="s">
        <v>28</v>
      </c>
      <c r="N334" s="10"/>
      <c r="O334" s="21" t="s">
        <v>938</v>
      </c>
      <c r="P334" s="21"/>
      <c r="Q334" s="29">
        <f t="shared" si="15"/>
        <v>1</v>
      </c>
      <c r="R334" s="30" t="str">
        <f t="shared" si="16"/>
        <v>P37.231</v>
      </c>
    </row>
    <row r="335" spans="1:18">
      <c r="A335" s="17"/>
      <c r="B335" s="17"/>
      <c r="C335" s="17"/>
      <c r="D335" s="10">
        <f t="shared" si="17"/>
        <v>9451</v>
      </c>
      <c r="E335" s="18" t="s">
        <v>383</v>
      </c>
      <c r="F335" s="21" t="s">
        <v>939</v>
      </c>
      <c r="G335" s="20" t="s">
        <v>23</v>
      </c>
      <c r="H335" s="20" t="s">
        <v>385</v>
      </c>
      <c r="I335" s="20" t="s">
        <v>386</v>
      </c>
      <c r="J335" s="10" t="s">
        <v>387</v>
      </c>
      <c r="K335" s="10" t="s">
        <v>62</v>
      </c>
      <c r="L335" s="10" t="s">
        <v>27</v>
      </c>
      <c r="M335" s="18" t="s">
        <v>28</v>
      </c>
      <c r="N335" s="10"/>
      <c r="O335" s="21" t="s">
        <v>940</v>
      </c>
      <c r="P335" s="21"/>
      <c r="Q335" s="29">
        <f t="shared" si="15"/>
        <v>1</v>
      </c>
      <c r="R335" s="30" t="str">
        <f t="shared" si="16"/>
        <v>P37.235</v>
      </c>
    </row>
    <row r="336" spans="1:18">
      <c r="A336" s="17"/>
      <c r="B336" s="17"/>
      <c r="C336" s="17"/>
      <c r="D336" s="10">
        <f t="shared" si="17"/>
        <v>9455</v>
      </c>
      <c r="E336" s="18" t="s">
        <v>383</v>
      </c>
      <c r="F336" s="21" t="s">
        <v>941</v>
      </c>
      <c r="G336" s="20" t="s">
        <v>23</v>
      </c>
      <c r="H336" s="20" t="s">
        <v>385</v>
      </c>
      <c r="I336" s="20" t="s">
        <v>386</v>
      </c>
      <c r="J336" s="10" t="s">
        <v>387</v>
      </c>
      <c r="K336" s="10" t="s">
        <v>62</v>
      </c>
      <c r="L336" s="10" t="s">
        <v>27</v>
      </c>
      <c r="M336" s="18" t="s">
        <v>28</v>
      </c>
      <c r="N336" s="10"/>
      <c r="O336" s="21" t="s">
        <v>942</v>
      </c>
      <c r="P336" s="21"/>
      <c r="Q336" s="29">
        <f t="shared" si="15"/>
        <v>1</v>
      </c>
      <c r="R336" s="30" t="str">
        <f t="shared" si="16"/>
        <v>P37.239</v>
      </c>
    </row>
    <row r="337" spans="1:18">
      <c r="A337" s="17"/>
      <c r="B337" s="17"/>
      <c r="C337" s="17"/>
      <c r="D337" s="10">
        <f t="shared" si="17"/>
        <v>9459</v>
      </c>
      <c r="E337" s="18" t="s">
        <v>34</v>
      </c>
      <c r="F337" s="19"/>
      <c r="G337" s="20" t="s">
        <v>23</v>
      </c>
      <c r="H337" s="20" t="s">
        <v>23</v>
      </c>
      <c r="I337" s="20" t="s">
        <v>35</v>
      </c>
      <c r="J337" s="10" t="s">
        <v>25</v>
      </c>
      <c r="K337" s="10" t="s">
        <v>26</v>
      </c>
      <c r="L337" s="10" t="s">
        <v>30</v>
      </c>
      <c r="M337" s="18" t="s">
        <v>28</v>
      </c>
      <c r="N337" s="10"/>
      <c r="O337" s="21"/>
      <c r="P337" s="21"/>
      <c r="Q337" s="29">
        <f t="shared" si="15"/>
        <v>1</v>
      </c>
      <c r="R337" s="30" t="str">
        <f t="shared" si="16"/>
        <v>P37.243</v>
      </c>
    </row>
    <row r="338" spans="1:18">
      <c r="A338" s="17"/>
      <c r="B338" s="17"/>
      <c r="C338" s="17"/>
      <c r="D338" s="10">
        <f t="shared" si="17"/>
        <v>9460</v>
      </c>
      <c r="E338" s="18" t="s">
        <v>34</v>
      </c>
      <c r="F338" s="19"/>
      <c r="G338" s="20" t="s">
        <v>23</v>
      </c>
      <c r="H338" s="20" t="s">
        <v>23</v>
      </c>
      <c r="I338" s="20" t="s">
        <v>35</v>
      </c>
      <c r="J338" s="10" t="s">
        <v>25</v>
      </c>
      <c r="K338" s="10" t="s">
        <v>26</v>
      </c>
      <c r="L338" s="10" t="s">
        <v>30</v>
      </c>
      <c r="M338" s="18" t="s">
        <v>28</v>
      </c>
      <c r="N338" s="10"/>
      <c r="O338" s="21"/>
      <c r="P338" s="21"/>
      <c r="Q338" s="29">
        <f t="shared" si="15"/>
        <v>1</v>
      </c>
      <c r="R338" s="30" t="str">
        <f t="shared" si="16"/>
        <v>P37.244</v>
      </c>
    </row>
    <row r="339" spans="1:18">
      <c r="A339" s="17"/>
      <c r="B339" s="17"/>
      <c r="C339" s="17"/>
      <c r="D339" s="10">
        <f t="shared" si="17"/>
        <v>9461</v>
      </c>
      <c r="E339" s="18" t="s">
        <v>34</v>
      </c>
      <c r="F339" s="19"/>
      <c r="G339" s="20" t="s">
        <v>23</v>
      </c>
      <c r="H339" s="20" t="s">
        <v>23</v>
      </c>
      <c r="I339" s="20" t="s">
        <v>35</v>
      </c>
      <c r="J339" s="10" t="s">
        <v>25</v>
      </c>
      <c r="K339" s="10" t="s">
        <v>26</v>
      </c>
      <c r="L339" s="10" t="s">
        <v>30</v>
      </c>
      <c r="M339" s="18" t="s">
        <v>28</v>
      </c>
      <c r="N339" s="10"/>
      <c r="O339" s="21"/>
      <c r="P339" s="21"/>
      <c r="Q339" s="29">
        <f t="shared" si="15"/>
        <v>1</v>
      </c>
      <c r="R339" s="30" t="str">
        <f t="shared" si="16"/>
        <v>P37.245</v>
      </c>
    </row>
    <row r="340" spans="1:18">
      <c r="A340" s="17"/>
      <c r="B340" s="17"/>
      <c r="C340" s="17"/>
      <c r="D340" s="10">
        <f t="shared" si="17"/>
        <v>9462</v>
      </c>
      <c r="E340" s="18" t="s">
        <v>34</v>
      </c>
      <c r="F340" s="19"/>
      <c r="G340" s="20" t="s">
        <v>23</v>
      </c>
      <c r="H340" s="20" t="s">
        <v>23</v>
      </c>
      <c r="I340" s="20" t="s">
        <v>35</v>
      </c>
      <c r="J340" s="10" t="s">
        <v>25</v>
      </c>
      <c r="K340" s="10" t="s">
        <v>26</v>
      </c>
      <c r="L340" s="10" t="s">
        <v>30</v>
      </c>
      <c r="M340" s="18" t="s">
        <v>28</v>
      </c>
      <c r="N340" s="10"/>
      <c r="O340" s="21"/>
      <c r="P340" s="21"/>
      <c r="Q340" s="29">
        <f t="shared" si="15"/>
        <v>1</v>
      </c>
      <c r="R340" s="30" t="str">
        <f t="shared" si="16"/>
        <v>P37.246</v>
      </c>
    </row>
    <row r="341" spans="1:18">
      <c r="A341" s="17"/>
      <c r="B341" s="17"/>
      <c r="C341" s="17"/>
      <c r="D341" s="10">
        <f t="shared" si="17"/>
        <v>9463</v>
      </c>
      <c r="E341" s="18" t="s">
        <v>34</v>
      </c>
      <c r="F341" s="19"/>
      <c r="G341" s="20" t="s">
        <v>23</v>
      </c>
      <c r="H341" s="20" t="s">
        <v>23</v>
      </c>
      <c r="I341" s="20" t="s">
        <v>35</v>
      </c>
      <c r="J341" s="10" t="s">
        <v>25</v>
      </c>
      <c r="K341" s="10" t="s">
        <v>26</v>
      </c>
      <c r="L341" s="10" t="s">
        <v>30</v>
      </c>
      <c r="M341" s="18" t="s">
        <v>28</v>
      </c>
      <c r="N341" s="10"/>
      <c r="O341" s="21"/>
      <c r="P341" s="21"/>
      <c r="Q341" s="29">
        <f t="shared" si="15"/>
        <v>1</v>
      </c>
      <c r="R341" s="30" t="str">
        <f t="shared" si="16"/>
        <v>P37.247</v>
      </c>
    </row>
    <row r="342" spans="1:18">
      <c r="A342" s="17"/>
      <c r="B342" s="17"/>
      <c r="C342" s="17"/>
      <c r="D342" s="10">
        <f t="shared" si="17"/>
        <v>9464</v>
      </c>
      <c r="E342" s="18" t="s">
        <v>34</v>
      </c>
      <c r="F342" s="19"/>
      <c r="G342" s="20" t="s">
        <v>23</v>
      </c>
      <c r="H342" s="20" t="s">
        <v>23</v>
      </c>
      <c r="I342" s="20" t="s">
        <v>35</v>
      </c>
      <c r="J342" s="10" t="s">
        <v>25</v>
      </c>
      <c r="K342" s="10" t="s">
        <v>26</v>
      </c>
      <c r="L342" s="10" t="s">
        <v>30</v>
      </c>
      <c r="M342" s="18" t="s">
        <v>28</v>
      </c>
      <c r="N342" s="10"/>
      <c r="O342" s="21"/>
      <c r="P342" s="21"/>
      <c r="Q342" s="29">
        <f t="shared" si="15"/>
        <v>1</v>
      </c>
      <c r="R342" s="30" t="str">
        <f t="shared" si="16"/>
        <v>P37.248</v>
      </c>
    </row>
    <row r="343" spans="1:18">
      <c r="A343" s="17"/>
      <c r="B343" s="17"/>
      <c r="C343" s="17"/>
      <c r="D343" s="10">
        <f t="shared" si="17"/>
        <v>9465</v>
      </c>
      <c r="E343" s="18" t="s">
        <v>34</v>
      </c>
      <c r="F343" s="19"/>
      <c r="G343" s="20" t="s">
        <v>23</v>
      </c>
      <c r="H343" s="20" t="s">
        <v>23</v>
      </c>
      <c r="I343" s="20" t="s">
        <v>35</v>
      </c>
      <c r="J343" s="10" t="s">
        <v>25</v>
      </c>
      <c r="K343" s="10" t="s">
        <v>26</v>
      </c>
      <c r="L343" s="10" t="s">
        <v>30</v>
      </c>
      <c r="M343" s="18" t="s">
        <v>28</v>
      </c>
      <c r="N343" s="10"/>
      <c r="O343" s="21"/>
      <c r="P343" s="21"/>
      <c r="Q343" s="29">
        <f t="shared" si="15"/>
        <v>1</v>
      </c>
      <c r="R343" s="30" t="str">
        <f t="shared" si="16"/>
        <v>P37.249</v>
      </c>
    </row>
    <row r="344" spans="1:18">
      <c r="A344" s="17"/>
      <c r="B344" s="17"/>
      <c r="C344" s="17"/>
      <c r="D344" s="10">
        <f t="shared" si="17"/>
        <v>9466</v>
      </c>
      <c r="E344" s="18" t="s">
        <v>34</v>
      </c>
      <c r="F344" s="19"/>
      <c r="G344" s="20" t="s">
        <v>23</v>
      </c>
      <c r="H344" s="20" t="s">
        <v>23</v>
      </c>
      <c r="I344" s="20" t="s">
        <v>35</v>
      </c>
      <c r="J344" s="10" t="s">
        <v>25</v>
      </c>
      <c r="K344" s="10" t="s">
        <v>26</v>
      </c>
      <c r="L344" s="10" t="s">
        <v>30</v>
      </c>
      <c r="M344" s="18" t="s">
        <v>28</v>
      </c>
      <c r="N344" s="10"/>
      <c r="O344" s="21"/>
      <c r="P344" s="21"/>
      <c r="Q344" s="29">
        <f t="shared" si="15"/>
        <v>1</v>
      </c>
      <c r="R344" s="30" t="str">
        <f t="shared" si="16"/>
        <v>P37.250</v>
      </c>
    </row>
    <row r="345" spans="1:18">
      <c r="A345" s="17"/>
      <c r="B345" s="17"/>
      <c r="C345" s="17"/>
      <c r="D345" s="10">
        <f t="shared" si="17"/>
        <v>9467</v>
      </c>
      <c r="E345" s="18" t="s">
        <v>34</v>
      </c>
      <c r="F345" s="19"/>
      <c r="G345" s="20" t="s">
        <v>23</v>
      </c>
      <c r="H345" s="20" t="s">
        <v>23</v>
      </c>
      <c r="I345" s="20" t="s">
        <v>35</v>
      </c>
      <c r="J345" s="10" t="s">
        <v>25</v>
      </c>
      <c r="K345" s="10" t="s">
        <v>26</v>
      </c>
      <c r="L345" s="10" t="s">
        <v>30</v>
      </c>
      <c r="M345" s="18" t="s">
        <v>28</v>
      </c>
      <c r="N345" s="10"/>
      <c r="O345" s="21"/>
      <c r="P345" s="21"/>
      <c r="Q345" s="29">
        <f t="shared" si="15"/>
        <v>1</v>
      </c>
      <c r="R345" s="30" t="str">
        <f t="shared" si="16"/>
        <v>P37.251</v>
      </c>
    </row>
    <row r="346" spans="1:18">
      <c r="A346" s="17"/>
      <c r="B346" s="17"/>
      <c r="C346" s="17"/>
      <c r="D346" s="10">
        <f t="shared" si="17"/>
        <v>9468</v>
      </c>
      <c r="E346" s="18" t="s">
        <v>34</v>
      </c>
      <c r="F346" s="19"/>
      <c r="G346" s="20" t="s">
        <v>23</v>
      </c>
      <c r="H346" s="20" t="s">
        <v>23</v>
      </c>
      <c r="I346" s="20" t="s">
        <v>35</v>
      </c>
      <c r="J346" s="10" t="s">
        <v>25</v>
      </c>
      <c r="K346" s="10" t="s">
        <v>26</v>
      </c>
      <c r="L346" s="10" t="s">
        <v>30</v>
      </c>
      <c r="M346" s="18" t="s">
        <v>28</v>
      </c>
      <c r="N346" s="10"/>
      <c r="O346" s="21"/>
      <c r="P346" s="21"/>
      <c r="Q346" s="29">
        <f t="shared" si="15"/>
        <v>1</v>
      </c>
      <c r="R346" s="30" t="str">
        <f t="shared" si="16"/>
        <v>P37.252</v>
      </c>
    </row>
    <row r="347" spans="1:18">
      <c r="A347" s="17"/>
      <c r="B347" s="17"/>
      <c r="C347" s="17"/>
      <c r="D347" s="10">
        <f t="shared" si="17"/>
        <v>9469</v>
      </c>
      <c r="E347" s="18" t="s">
        <v>34</v>
      </c>
      <c r="F347" s="19"/>
      <c r="G347" s="20" t="s">
        <v>23</v>
      </c>
      <c r="H347" s="20" t="s">
        <v>23</v>
      </c>
      <c r="I347" s="20" t="s">
        <v>35</v>
      </c>
      <c r="J347" s="10" t="s">
        <v>25</v>
      </c>
      <c r="K347" s="10" t="s">
        <v>26</v>
      </c>
      <c r="L347" s="10" t="s">
        <v>30</v>
      </c>
      <c r="M347" s="18" t="s">
        <v>28</v>
      </c>
      <c r="N347" s="10"/>
      <c r="O347" s="21"/>
      <c r="P347" s="21"/>
      <c r="Q347" s="29">
        <f t="shared" si="15"/>
        <v>1</v>
      </c>
      <c r="R347" s="30" t="str">
        <f t="shared" si="16"/>
        <v>P37.253</v>
      </c>
    </row>
    <row r="348" spans="1:18">
      <c r="A348" s="17"/>
      <c r="B348" s="17"/>
      <c r="C348" s="17"/>
      <c r="D348" s="10">
        <f t="shared" si="17"/>
        <v>9470</v>
      </c>
      <c r="E348" s="18" t="s">
        <v>34</v>
      </c>
      <c r="F348" s="19"/>
      <c r="G348" s="20" t="s">
        <v>23</v>
      </c>
      <c r="H348" s="20" t="s">
        <v>23</v>
      </c>
      <c r="I348" s="20" t="s">
        <v>35</v>
      </c>
      <c r="J348" s="10" t="s">
        <v>25</v>
      </c>
      <c r="K348" s="10" t="s">
        <v>26</v>
      </c>
      <c r="L348" s="10" t="s">
        <v>30</v>
      </c>
      <c r="M348" s="18" t="s">
        <v>28</v>
      </c>
      <c r="N348" s="10"/>
      <c r="O348" s="21"/>
      <c r="P348" s="21"/>
      <c r="Q348" s="29">
        <f t="shared" si="15"/>
        <v>1</v>
      </c>
      <c r="R348" s="30" t="str">
        <f t="shared" si="16"/>
        <v>P37.254</v>
      </c>
    </row>
    <row r="349" spans="1:18">
      <c r="A349" s="17"/>
      <c r="B349" s="17"/>
      <c r="C349" s="17"/>
      <c r="D349" s="10">
        <f t="shared" si="17"/>
        <v>9471</v>
      </c>
      <c r="E349" s="18" t="s">
        <v>34</v>
      </c>
      <c r="F349" s="19"/>
      <c r="G349" s="20" t="s">
        <v>23</v>
      </c>
      <c r="H349" s="20" t="s">
        <v>23</v>
      </c>
      <c r="I349" s="20" t="s">
        <v>35</v>
      </c>
      <c r="J349" s="10" t="s">
        <v>25</v>
      </c>
      <c r="K349" s="10" t="s">
        <v>26</v>
      </c>
      <c r="L349" s="10" t="s">
        <v>30</v>
      </c>
      <c r="M349" s="18" t="s">
        <v>28</v>
      </c>
      <c r="N349" s="10"/>
      <c r="O349" s="21"/>
      <c r="P349" s="21"/>
      <c r="Q349" s="29">
        <f t="shared" si="15"/>
        <v>1</v>
      </c>
      <c r="R349" s="30" t="str">
        <f t="shared" si="16"/>
        <v>P37.255</v>
      </c>
    </row>
    <row r="350" spans="1:18">
      <c r="A350" s="17"/>
      <c r="B350" s="17"/>
      <c r="C350" s="17"/>
      <c r="D350" s="10">
        <f t="shared" si="17"/>
        <v>9472</v>
      </c>
      <c r="E350" s="18" t="s">
        <v>34</v>
      </c>
      <c r="F350" s="19"/>
      <c r="G350" s="20" t="s">
        <v>23</v>
      </c>
      <c r="H350" s="20" t="s">
        <v>23</v>
      </c>
      <c r="I350" s="20" t="s">
        <v>35</v>
      </c>
      <c r="J350" s="10" t="s">
        <v>25</v>
      </c>
      <c r="K350" s="10" t="s">
        <v>26</v>
      </c>
      <c r="L350" s="10" t="s">
        <v>30</v>
      </c>
      <c r="M350" s="18" t="s">
        <v>28</v>
      </c>
      <c r="N350" s="10"/>
      <c r="O350" s="21"/>
      <c r="P350" s="21"/>
      <c r="Q350" s="29">
        <f t="shared" si="15"/>
        <v>1</v>
      </c>
      <c r="R350" s="30" t="str">
        <f t="shared" si="16"/>
        <v>P37.000</v>
      </c>
    </row>
    <row r="351" spans="1:18">
      <c r="A351" s="17"/>
      <c r="B351" s="17"/>
      <c r="C351" s="17"/>
      <c r="D351" s="10">
        <f t="shared" si="17"/>
        <v>9473</v>
      </c>
      <c r="E351" s="18" t="s">
        <v>34</v>
      </c>
      <c r="F351" s="19"/>
      <c r="G351" s="20" t="s">
        <v>23</v>
      </c>
      <c r="H351" s="20" t="s">
        <v>23</v>
      </c>
      <c r="I351" s="20" t="s">
        <v>35</v>
      </c>
      <c r="J351" s="10" t="s">
        <v>25</v>
      </c>
      <c r="K351" s="10" t="s">
        <v>26</v>
      </c>
      <c r="L351" s="10" t="s">
        <v>30</v>
      </c>
      <c r="M351" s="18" t="s">
        <v>28</v>
      </c>
      <c r="N351" s="10"/>
      <c r="O351" s="21"/>
      <c r="P351" s="21"/>
      <c r="Q351" s="29">
        <f t="shared" si="15"/>
        <v>1</v>
      </c>
      <c r="R351" s="30" t="str">
        <f t="shared" si="16"/>
        <v>P37.001</v>
      </c>
    </row>
    <row r="352" spans="1:18">
      <c r="A352" s="17"/>
      <c r="B352" s="17"/>
      <c r="C352" s="17"/>
      <c r="D352" s="10">
        <f t="shared" si="17"/>
        <v>9474</v>
      </c>
      <c r="E352" s="18" t="s">
        <v>34</v>
      </c>
      <c r="F352" s="19"/>
      <c r="G352" s="20" t="s">
        <v>23</v>
      </c>
      <c r="H352" s="20" t="s">
        <v>23</v>
      </c>
      <c r="I352" s="20" t="s">
        <v>35</v>
      </c>
      <c r="J352" s="10" t="s">
        <v>25</v>
      </c>
      <c r="K352" s="10" t="s">
        <v>26</v>
      </c>
      <c r="L352" s="10" t="s">
        <v>30</v>
      </c>
      <c r="M352" s="18" t="s">
        <v>28</v>
      </c>
      <c r="N352" s="10"/>
      <c r="O352" s="21"/>
      <c r="P352" s="21"/>
      <c r="Q352" s="29">
        <f t="shared" si="15"/>
        <v>1</v>
      </c>
      <c r="R352" s="30" t="str">
        <f t="shared" si="16"/>
        <v>P37.002</v>
      </c>
    </row>
    <row r="353" spans="1:18">
      <c r="A353" s="17"/>
      <c r="B353" s="17"/>
      <c r="C353" s="17"/>
      <c r="D353" s="10">
        <f t="shared" si="17"/>
        <v>9475</v>
      </c>
      <c r="E353" s="18" t="s">
        <v>34</v>
      </c>
      <c r="F353" s="19"/>
      <c r="G353" s="20" t="s">
        <v>23</v>
      </c>
      <c r="H353" s="20" t="s">
        <v>23</v>
      </c>
      <c r="I353" s="20" t="s">
        <v>35</v>
      </c>
      <c r="J353" s="10" t="s">
        <v>25</v>
      </c>
      <c r="K353" s="10" t="s">
        <v>26</v>
      </c>
      <c r="L353" s="10" t="s">
        <v>30</v>
      </c>
      <c r="M353" s="18" t="s">
        <v>28</v>
      </c>
      <c r="N353" s="10"/>
      <c r="O353" s="21"/>
      <c r="P353" s="21"/>
      <c r="Q353" s="29">
        <f t="shared" si="15"/>
        <v>1</v>
      </c>
      <c r="R353" s="30" t="str">
        <f t="shared" si="16"/>
        <v>P37.003</v>
      </c>
    </row>
    <row r="354" spans="1:18">
      <c r="A354" s="17"/>
      <c r="B354" s="17"/>
      <c r="C354" s="17"/>
      <c r="D354" s="10">
        <f t="shared" si="17"/>
        <v>9476</v>
      </c>
      <c r="E354" s="18" t="s">
        <v>34</v>
      </c>
      <c r="F354" s="19"/>
      <c r="G354" s="20" t="s">
        <v>23</v>
      </c>
      <c r="H354" s="20" t="s">
        <v>23</v>
      </c>
      <c r="I354" s="20" t="s">
        <v>35</v>
      </c>
      <c r="J354" s="10" t="s">
        <v>25</v>
      </c>
      <c r="K354" s="10" t="s">
        <v>26</v>
      </c>
      <c r="L354" s="10" t="s">
        <v>30</v>
      </c>
      <c r="M354" s="18" t="s">
        <v>28</v>
      </c>
      <c r="N354" s="10"/>
      <c r="O354" s="21"/>
      <c r="P354" s="21"/>
      <c r="Q354" s="29">
        <f t="shared" si="15"/>
        <v>1</v>
      </c>
      <c r="R354" s="30" t="str">
        <f t="shared" si="16"/>
        <v>P37.004</v>
      </c>
    </row>
    <row r="355" spans="1:18">
      <c r="A355" s="17"/>
      <c r="B355" s="17"/>
      <c r="C355" s="17"/>
      <c r="D355" s="10">
        <f t="shared" si="17"/>
        <v>9477</v>
      </c>
      <c r="E355" s="18" t="s">
        <v>34</v>
      </c>
      <c r="F355" s="19"/>
      <c r="G355" s="20" t="s">
        <v>23</v>
      </c>
      <c r="H355" s="20" t="s">
        <v>23</v>
      </c>
      <c r="I355" s="20" t="s">
        <v>35</v>
      </c>
      <c r="J355" s="10" t="s">
        <v>25</v>
      </c>
      <c r="K355" s="10" t="s">
        <v>26</v>
      </c>
      <c r="L355" s="10" t="s">
        <v>30</v>
      </c>
      <c r="M355" s="18" t="s">
        <v>28</v>
      </c>
      <c r="N355" s="10"/>
      <c r="O355" s="21"/>
      <c r="P355" s="21"/>
      <c r="Q355" s="29">
        <f t="shared" si="15"/>
        <v>1</v>
      </c>
      <c r="R355" s="30" t="str">
        <f t="shared" si="16"/>
        <v>P37.005</v>
      </c>
    </row>
    <row r="356" spans="1:18">
      <c r="A356" s="17"/>
      <c r="B356" s="17"/>
      <c r="C356" s="17"/>
      <c r="D356" s="10">
        <f t="shared" si="17"/>
        <v>9478</v>
      </c>
      <c r="E356" s="18" t="s">
        <v>34</v>
      </c>
      <c r="F356" s="19"/>
      <c r="G356" s="20" t="s">
        <v>23</v>
      </c>
      <c r="H356" s="20" t="s">
        <v>23</v>
      </c>
      <c r="I356" s="20" t="s">
        <v>35</v>
      </c>
      <c r="J356" s="10" t="s">
        <v>25</v>
      </c>
      <c r="K356" s="10" t="s">
        <v>26</v>
      </c>
      <c r="L356" s="10" t="s">
        <v>30</v>
      </c>
      <c r="M356" s="18" t="s">
        <v>28</v>
      </c>
      <c r="N356" s="10"/>
      <c r="O356" s="21"/>
      <c r="P356" s="21"/>
      <c r="Q356" s="29">
        <f t="shared" si="15"/>
        <v>1</v>
      </c>
      <c r="R356" s="30" t="str">
        <f t="shared" si="16"/>
        <v>P37.006</v>
      </c>
    </row>
    <row r="357" spans="1:18">
      <c r="A357" s="17"/>
      <c r="B357" s="17"/>
      <c r="C357" s="17"/>
      <c r="D357" s="10">
        <f t="shared" si="17"/>
        <v>9479</v>
      </c>
      <c r="E357" s="18" t="s">
        <v>34</v>
      </c>
      <c r="F357" s="19"/>
      <c r="G357" s="20" t="s">
        <v>23</v>
      </c>
      <c r="H357" s="20" t="s">
        <v>23</v>
      </c>
      <c r="I357" s="20" t="s">
        <v>35</v>
      </c>
      <c r="J357" s="10" t="s">
        <v>25</v>
      </c>
      <c r="K357" s="10" t="s">
        <v>26</v>
      </c>
      <c r="L357" s="10" t="s">
        <v>30</v>
      </c>
      <c r="M357" s="18" t="s">
        <v>28</v>
      </c>
      <c r="N357" s="10"/>
      <c r="O357" s="21"/>
      <c r="P357" s="21"/>
      <c r="Q357" s="29">
        <f t="shared" si="15"/>
        <v>1</v>
      </c>
      <c r="R357" s="30" t="str">
        <f t="shared" si="16"/>
        <v>P37.007</v>
      </c>
    </row>
    <row r="358" spans="1:18">
      <c r="A358" s="17"/>
      <c r="B358" s="17"/>
      <c r="C358" s="17"/>
      <c r="D358" s="10">
        <f t="shared" si="17"/>
        <v>9480</v>
      </c>
      <c r="E358" s="18" t="s">
        <v>34</v>
      </c>
      <c r="F358" s="19"/>
      <c r="G358" s="20" t="s">
        <v>23</v>
      </c>
      <c r="H358" s="20" t="s">
        <v>23</v>
      </c>
      <c r="I358" s="20" t="s">
        <v>35</v>
      </c>
      <c r="J358" s="10" t="s">
        <v>25</v>
      </c>
      <c r="K358" s="10" t="s">
        <v>26</v>
      </c>
      <c r="L358" s="10" t="s">
        <v>30</v>
      </c>
      <c r="M358" s="18" t="s">
        <v>28</v>
      </c>
      <c r="N358" s="10"/>
      <c r="O358" s="21"/>
      <c r="P358" s="21"/>
      <c r="Q358" s="29">
        <f t="shared" si="15"/>
        <v>1</v>
      </c>
      <c r="R358" s="30" t="str">
        <f t="shared" si="16"/>
        <v>P37.008</v>
      </c>
    </row>
    <row r="359" spans="1:18">
      <c r="A359" s="17"/>
      <c r="B359" s="17"/>
      <c r="C359" s="17"/>
      <c r="D359" s="10">
        <f t="shared" si="17"/>
        <v>9481</v>
      </c>
      <c r="E359" s="18" t="s">
        <v>34</v>
      </c>
      <c r="F359" s="19"/>
      <c r="G359" s="20" t="s">
        <v>23</v>
      </c>
      <c r="H359" s="20" t="s">
        <v>23</v>
      </c>
      <c r="I359" s="20" t="s">
        <v>35</v>
      </c>
      <c r="J359" s="10" t="s">
        <v>25</v>
      </c>
      <c r="K359" s="10" t="s">
        <v>26</v>
      </c>
      <c r="L359" s="10" t="s">
        <v>30</v>
      </c>
      <c r="M359" s="18" t="s">
        <v>28</v>
      </c>
      <c r="N359" s="10"/>
      <c r="O359" s="21"/>
      <c r="P359" s="21"/>
      <c r="Q359" s="29">
        <f t="shared" si="15"/>
        <v>1</v>
      </c>
      <c r="R359" s="30" t="str">
        <f t="shared" si="16"/>
        <v>P37.009</v>
      </c>
    </row>
    <row r="360" spans="1:18">
      <c r="A360" s="17"/>
      <c r="B360" s="17"/>
      <c r="C360" s="17"/>
      <c r="D360" s="10">
        <f t="shared" si="17"/>
        <v>9482</v>
      </c>
      <c r="E360" s="18" t="s">
        <v>34</v>
      </c>
      <c r="F360" s="19"/>
      <c r="G360" s="20" t="s">
        <v>23</v>
      </c>
      <c r="H360" s="20" t="s">
        <v>23</v>
      </c>
      <c r="I360" s="20" t="s">
        <v>35</v>
      </c>
      <c r="J360" s="10" t="s">
        <v>25</v>
      </c>
      <c r="K360" s="10" t="s">
        <v>26</v>
      </c>
      <c r="L360" s="10" t="s">
        <v>30</v>
      </c>
      <c r="M360" s="18" t="s">
        <v>28</v>
      </c>
      <c r="N360" s="10"/>
      <c r="O360" s="21"/>
      <c r="P360" s="21"/>
      <c r="Q360" s="29">
        <f t="shared" si="15"/>
        <v>1</v>
      </c>
      <c r="R360" s="30" t="str">
        <f t="shared" si="16"/>
        <v>P37.010</v>
      </c>
    </row>
    <row r="361" spans="1:18">
      <c r="A361" s="17"/>
      <c r="B361" s="17"/>
      <c r="C361" s="17"/>
      <c r="D361" s="10">
        <f t="shared" si="17"/>
        <v>9483</v>
      </c>
      <c r="E361" s="18" t="s">
        <v>34</v>
      </c>
      <c r="F361" s="19"/>
      <c r="G361" s="20" t="s">
        <v>23</v>
      </c>
      <c r="H361" s="20" t="s">
        <v>23</v>
      </c>
      <c r="I361" s="20" t="s">
        <v>35</v>
      </c>
      <c r="J361" s="10" t="s">
        <v>25</v>
      </c>
      <c r="K361" s="10" t="s">
        <v>26</v>
      </c>
      <c r="L361" s="10" t="s">
        <v>30</v>
      </c>
      <c r="M361" s="18" t="s">
        <v>28</v>
      </c>
      <c r="N361" s="10"/>
      <c r="O361" s="21"/>
      <c r="P361" s="21"/>
      <c r="Q361" s="29">
        <f t="shared" si="15"/>
        <v>1</v>
      </c>
      <c r="R361" s="30" t="str">
        <f t="shared" si="16"/>
        <v>P37.011</v>
      </c>
    </row>
    <row r="362" spans="1:18">
      <c r="A362" s="17"/>
      <c r="B362" s="17"/>
      <c r="C362" s="17"/>
      <c r="D362" s="10">
        <f t="shared" si="17"/>
        <v>9484</v>
      </c>
      <c r="E362" s="18" t="s">
        <v>34</v>
      </c>
      <c r="F362" s="19"/>
      <c r="G362" s="20" t="s">
        <v>23</v>
      </c>
      <c r="H362" s="20" t="s">
        <v>23</v>
      </c>
      <c r="I362" s="20" t="s">
        <v>35</v>
      </c>
      <c r="J362" s="10" t="s">
        <v>25</v>
      </c>
      <c r="K362" s="10" t="s">
        <v>26</v>
      </c>
      <c r="L362" s="10" t="s">
        <v>30</v>
      </c>
      <c r="M362" s="18" t="s">
        <v>28</v>
      </c>
      <c r="N362" s="10"/>
      <c r="O362" s="21"/>
      <c r="P362" s="21"/>
      <c r="Q362" s="29">
        <f t="shared" si="15"/>
        <v>1</v>
      </c>
      <c r="R362" s="30" t="str">
        <f t="shared" si="16"/>
        <v>P37.012</v>
      </c>
    </row>
    <row r="363" spans="1:18">
      <c r="A363" s="17"/>
      <c r="B363" s="17"/>
      <c r="C363" s="17"/>
      <c r="D363" s="10">
        <f t="shared" si="17"/>
        <v>9485</v>
      </c>
      <c r="E363" s="18" t="s">
        <v>34</v>
      </c>
      <c r="F363" s="19"/>
      <c r="G363" s="20" t="s">
        <v>23</v>
      </c>
      <c r="H363" s="20" t="s">
        <v>23</v>
      </c>
      <c r="I363" s="20" t="s">
        <v>35</v>
      </c>
      <c r="J363" s="10" t="s">
        <v>25</v>
      </c>
      <c r="K363" s="10" t="s">
        <v>26</v>
      </c>
      <c r="L363" s="10" t="s">
        <v>30</v>
      </c>
      <c r="M363" s="18" t="s">
        <v>28</v>
      </c>
      <c r="N363" s="10"/>
      <c r="O363" s="21"/>
      <c r="P363" s="21"/>
      <c r="Q363" s="29">
        <f t="shared" si="15"/>
        <v>1</v>
      </c>
      <c r="R363" s="30" t="str">
        <f t="shared" si="16"/>
        <v>P37.013</v>
      </c>
    </row>
    <row r="364" spans="1:18">
      <c r="A364" s="31"/>
      <c r="B364" s="31"/>
      <c r="C364" s="31"/>
      <c r="D364" s="10">
        <f t="shared" si="17"/>
        <v>9486</v>
      </c>
      <c r="E364" s="18" t="s">
        <v>34</v>
      </c>
      <c r="F364" s="19"/>
      <c r="G364" s="20" t="s">
        <v>23</v>
      </c>
      <c r="H364" s="20" t="s">
        <v>23</v>
      </c>
      <c r="I364" s="20" t="s">
        <v>35</v>
      </c>
      <c r="J364" s="10" t="s">
        <v>25</v>
      </c>
      <c r="K364" s="10" t="s">
        <v>26</v>
      </c>
      <c r="L364" s="10" t="s">
        <v>30</v>
      </c>
      <c r="M364" s="18" t="s">
        <v>28</v>
      </c>
      <c r="N364" s="10"/>
      <c r="O364" s="21"/>
      <c r="P364" s="21"/>
      <c r="Q364" s="29">
        <f t="shared" si="15"/>
        <v>1</v>
      </c>
      <c r="R364" s="30" t="str">
        <f t="shared" si="16"/>
        <v>P37.014</v>
      </c>
    </row>
    <row r="365" spans="1:18">
      <c r="A365" s="32">
        <v>6</v>
      </c>
      <c r="B365" s="32" t="s">
        <v>943</v>
      </c>
      <c r="C365" s="32" t="s">
        <v>944</v>
      </c>
      <c r="D365" s="10">
        <f t="shared" si="17"/>
        <v>9487</v>
      </c>
      <c r="E365" s="18" t="s">
        <v>34</v>
      </c>
      <c r="F365" s="21" t="s">
        <v>945</v>
      </c>
      <c r="G365" s="20" t="s">
        <v>23</v>
      </c>
      <c r="H365" s="20" t="s">
        <v>23</v>
      </c>
      <c r="I365" s="20" t="s">
        <v>39</v>
      </c>
      <c r="J365" s="10" t="s">
        <v>25</v>
      </c>
      <c r="K365" s="10" t="s">
        <v>68</v>
      </c>
      <c r="L365" s="10" t="s">
        <v>27</v>
      </c>
      <c r="M365" s="18" t="s">
        <v>28</v>
      </c>
      <c r="N365" s="21"/>
      <c r="O365" s="21" t="s">
        <v>946</v>
      </c>
      <c r="P365" s="21"/>
      <c r="Q365" s="29">
        <f t="shared" si="15"/>
        <v>0</v>
      </c>
      <c r="R365" s="30" t="str">
        <f t="shared" si="16"/>
        <v>P37.015</v>
      </c>
    </row>
    <row r="366" spans="1:18">
      <c r="A366" s="17"/>
      <c r="B366" s="17"/>
      <c r="C366" s="17"/>
      <c r="D366" s="10">
        <f t="shared" si="17"/>
        <v>9488</v>
      </c>
      <c r="E366" s="18" t="s">
        <v>91</v>
      </c>
      <c r="F366" s="21" t="s">
        <v>947</v>
      </c>
      <c r="G366" s="20" t="s">
        <v>204</v>
      </c>
      <c r="H366" s="20" t="s">
        <v>948</v>
      </c>
      <c r="I366" s="20" t="s">
        <v>949</v>
      </c>
      <c r="J366" s="10" t="s">
        <v>489</v>
      </c>
      <c r="K366" s="10" t="s">
        <v>62</v>
      </c>
      <c r="L366" s="10" t="s">
        <v>27</v>
      </c>
      <c r="M366" s="18" t="s">
        <v>28</v>
      </c>
      <c r="N366" s="21"/>
      <c r="O366" s="21" t="s">
        <v>950</v>
      </c>
      <c r="P366" s="21"/>
      <c r="Q366" s="29">
        <f t="shared" si="15"/>
        <v>1</v>
      </c>
      <c r="R366" s="30" t="str">
        <f t="shared" si="16"/>
        <v>P37.016</v>
      </c>
    </row>
    <row r="367" spans="1:18">
      <c r="A367" s="17"/>
      <c r="B367" s="17"/>
      <c r="C367" s="17"/>
      <c r="D367" s="10">
        <f t="shared" si="17"/>
        <v>9489</v>
      </c>
      <c r="E367" s="18" t="s">
        <v>34</v>
      </c>
      <c r="F367" s="19"/>
      <c r="G367" s="20" t="s">
        <v>23</v>
      </c>
      <c r="H367" s="20" t="s">
        <v>23</v>
      </c>
      <c r="I367" s="20" t="s">
        <v>35</v>
      </c>
      <c r="J367" s="10" t="s">
        <v>25</v>
      </c>
      <c r="K367" s="10" t="s">
        <v>26</v>
      </c>
      <c r="L367" s="10" t="s">
        <v>30</v>
      </c>
      <c r="M367" s="18" t="s">
        <v>28</v>
      </c>
      <c r="N367" s="21"/>
      <c r="O367" s="21"/>
      <c r="P367" s="21"/>
      <c r="Q367" s="29">
        <f t="shared" si="15"/>
        <v>1</v>
      </c>
      <c r="R367" s="30" t="str">
        <f t="shared" si="16"/>
        <v>P37.017</v>
      </c>
    </row>
    <row r="368" spans="1:18">
      <c r="A368" s="17"/>
      <c r="B368" s="17"/>
      <c r="C368" s="17"/>
      <c r="D368" s="10">
        <f t="shared" si="17"/>
        <v>9490</v>
      </c>
      <c r="E368" s="18" t="s">
        <v>34</v>
      </c>
      <c r="F368" s="21" t="s">
        <v>951</v>
      </c>
      <c r="G368" s="20" t="s">
        <v>23</v>
      </c>
      <c r="H368" s="20" t="s">
        <v>23</v>
      </c>
      <c r="I368" s="20" t="s">
        <v>35</v>
      </c>
      <c r="J368" s="10" t="s">
        <v>25</v>
      </c>
      <c r="K368" s="10" t="s">
        <v>68</v>
      </c>
      <c r="L368" s="10" t="s">
        <v>27</v>
      </c>
      <c r="M368" s="18" t="s">
        <v>28</v>
      </c>
      <c r="N368" s="19"/>
      <c r="O368" s="21" t="s">
        <v>952</v>
      </c>
      <c r="P368" s="21"/>
      <c r="Q368" s="29">
        <f t="shared" si="15"/>
        <v>0</v>
      </c>
      <c r="R368" s="30" t="str">
        <f t="shared" si="16"/>
        <v>P37.018</v>
      </c>
    </row>
    <row r="369" spans="1:18">
      <c r="A369" s="17"/>
      <c r="B369" s="17"/>
      <c r="C369" s="17"/>
      <c r="D369" s="10">
        <f t="shared" si="17"/>
        <v>9491</v>
      </c>
      <c r="E369" s="18" t="s">
        <v>34</v>
      </c>
      <c r="F369" s="21" t="s">
        <v>953</v>
      </c>
      <c r="G369" s="20" t="s">
        <v>88</v>
      </c>
      <c r="H369" s="20" t="s">
        <v>948</v>
      </c>
      <c r="I369" s="20" t="s">
        <v>949</v>
      </c>
      <c r="J369" s="10" t="s">
        <v>489</v>
      </c>
      <c r="K369" s="10" t="s">
        <v>62</v>
      </c>
      <c r="L369" s="10" t="s">
        <v>27</v>
      </c>
      <c r="M369" s="18" t="s">
        <v>28</v>
      </c>
      <c r="N369" s="21"/>
      <c r="O369" s="21" t="s">
        <v>954</v>
      </c>
      <c r="P369" s="21"/>
      <c r="Q369" s="29">
        <f t="shared" si="15"/>
        <v>1</v>
      </c>
      <c r="R369" s="30" t="str">
        <f t="shared" si="16"/>
        <v>P37.019</v>
      </c>
    </row>
    <row r="370" spans="1:18">
      <c r="A370" s="17"/>
      <c r="B370" s="17"/>
      <c r="C370" s="17"/>
      <c r="D370" s="10">
        <f t="shared" si="17"/>
        <v>9492</v>
      </c>
      <c r="E370" s="18" t="s">
        <v>34</v>
      </c>
      <c r="F370" s="21" t="s">
        <v>955</v>
      </c>
      <c r="G370" s="20" t="s">
        <v>23</v>
      </c>
      <c r="H370" s="20" t="s">
        <v>171</v>
      </c>
      <c r="I370" s="20" t="s">
        <v>35</v>
      </c>
      <c r="J370" s="10" t="s">
        <v>172</v>
      </c>
      <c r="K370" s="10" t="s">
        <v>62</v>
      </c>
      <c r="L370" s="10" t="s">
        <v>27</v>
      </c>
      <c r="M370" s="18" t="s">
        <v>28</v>
      </c>
      <c r="N370" s="21"/>
      <c r="O370" s="21" t="s">
        <v>956</v>
      </c>
      <c r="P370" s="21"/>
      <c r="Q370" s="29">
        <f t="shared" si="15"/>
        <v>1</v>
      </c>
      <c r="R370" s="30" t="str">
        <f t="shared" si="16"/>
        <v>P37.020</v>
      </c>
    </row>
    <row r="371" s="7" customFormat="1" ht="13.8" spans="1:18">
      <c r="A371" s="17"/>
      <c r="B371" s="17"/>
      <c r="C371" s="17"/>
      <c r="D371" s="10">
        <f t="shared" si="17"/>
        <v>9493</v>
      </c>
      <c r="E371" s="18" t="s">
        <v>34</v>
      </c>
      <c r="F371" s="19"/>
      <c r="G371" s="20" t="s">
        <v>23</v>
      </c>
      <c r="H371" s="20" t="s">
        <v>23</v>
      </c>
      <c r="I371" s="20" t="s">
        <v>35</v>
      </c>
      <c r="J371" s="10" t="s">
        <v>25</v>
      </c>
      <c r="K371" s="10" t="s">
        <v>26</v>
      </c>
      <c r="L371" s="10" t="s">
        <v>30</v>
      </c>
      <c r="M371" s="18" t="s">
        <v>28</v>
      </c>
      <c r="N371" s="21"/>
      <c r="O371" s="21"/>
      <c r="P371" s="21"/>
      <c r="Q371" s="29">
        <f t="shared" si="15"/>
        <v>1</v>
      </c>
      <c r="R371" s="30" t="str">
        <f t="shared" si="16"/>
        <v>P37.021</v>
      </c>
    </row>
    <row r="372" ht="39.6" spans="1:18">
      <c r="A372" s="17"/>
      <c r="B372" s="17"/>
      <c r="C372" s="17"/>
      <c r="D372" s="10">
        <f t="shared" si="17"/>
        <v>9494</v>
      </c>
      <c r="E372" s="18" t="s">
        <v>34</v>
      </c>
      <c r="F372" s="21" t="s">
        <v>957</v>
      </c>
      <c r="G372" s="20" t="s">
        <v>23</v>
      </c>
      <c r="H372" s="20" t="s">
        <v>23</v>
      </c>
      <c r="I372" s="20" t="s">
        <v>42</v>
      </c>
      <c r="J372" s="10" t="s">
        <v>25</v>
      </c>
      <c r="K372" s="10" t="s">
        <v>68</v>
      </c>
      <c r="L372" s="10" t="s">
        <v>27</v>
      </c>
      <c r="M372" s="18" t="s">
        <v>28</v>
      </c>
      <c r="N372" s="21"/>
      <c r="O372" s="21" t="s">
        <v>958</v>
      </c>
      <c r="P372" s="24" t="s">
        <v>959</v>
      </c>
      <c r="Q372" s="29">
        <f t="shared" si="15"/>
        <v>0</v>
      </c>
      <c r="R372" s="30" t="str">
        <f t="shared" si="16"/>
        <v>P37.022</v>
      </c>
    </row>
    <row r="373" spans="1:18">
      <c r="A373" s="17"/>
      <c r="B373" s="17"/>
      <c r="C373" s="17"/>
      <c r="D373" s="10">
        <f t="shared" si="17"/>
        <v>9495</v>
      </c>
      <c r="E373" s="18" t="s">
        <v>34</v>
      </c>
      <c r="F373" s="21" t="s">
        <v>960</v>
      </c>
      <c r="G373" s="20" t="s">
        <v>631</v>
      </c>
      <c r="H373" s="20" t="s">
        <v>23</v>
      </c>
      <c r="I373" s="20" t="s">
        <v>35</v>
      </c>
      <c r="J373" s="10" t="s">
        <v>695</v>
      </c>
      <c r="K373" s="10" t="s">
        <v>62</v>
      </c>
      <c r="L373" s="10" t="s">
        <v>27</v>
      </c>
      <c r="M373" s="18" t="s">
        <v>28</v>
      </c>
      <c r="N373" s="21"/>
      <c r="O373" s="21" t="s">
        <v>961</v>
      </c>
      <c r="P373" s="21"/>
      <c r="Q373" s="29">
        <f t="shared" si="15"/>
        <v>1</v>
      </c>
      <c r="R373" s="30" t="str">
        <f t="shared" si="16"/>
        <v>P37.023</v>
      </c>
    </row>
    <row r="374" spans="1:18">
      <c r="A374" s="17"/>
      <c r="B374" s="17"/>
      <c r="C374" s="17"/>
      <c r="D374" s="10">
        <f t="shared" si="17"/>
        <v>9496</v>
      </c>
      <c r="E374" s="18" t="s">
        <v>34</v>
      </c>
      <c r="F374" s="21" t="s">
        <v>962</v>
      </c>
      <c r="G374" s="20" t="s">
        <v>631</v>
      </c>
      <c r="H374" s="20" t="s">
        <v>23</v>
      </c>
      <c r="I374" s="20" t="s">
        <v>35</v>
      </c>
      <c r="J374" s="10" t="s">
        <v>695</v>
      </c>
      <c r="K374" s="10" t="s">
        <v>62</v>
      </c>
      <c r="L374" s="10" t="s">
        <v>27</v>
      </c>
      <c r="M374" s="18" t="s">
        <v>28</v>
      </c>
      <c r="N374" s="21"/>
      <c r="O374" s="21" t="s">
        <v>963</v>
      </c>
      <c r="P374" s="21"/>
      <c r="Q374" s="29">
        <f t="shared" si="15"/>
        <v>1</v>
      </c>
      <c r="R374" s="30" t="str">
        <f t="shared" si="16"/>
        <v>P37.024</v>
      </c>
    </row>
    <row r="375" ht="39.6" spans="1:18">
      <c r="A375" s="17"/>
      <c r="B375" s="17"/>
      <c r="C375" s="17"/>
      <c r="D375" s="10">
        <f t="shared" si="17"/>
        <v>9497</v>
      </c>
      <c r="E375" s="18" t="s">
        <v>34</v>
      </c>
      <c r="F375" s="21" t="s">
        <v>964</v>
      </c>
      <c r="G375" s="20" t="s">
        <v>23</v>
      </c>
      <c r="H375" s="20" t="s">
        <v>23</v>
      </c>
      <c r="I375" s="20" t="s">
        <v>42</v>
      </c>
      <c r="J375" s="10" t="s">
        <v>25</v>
      </c>
      <c r="K375" s="10" t="s">
        <v>26</v>
      </c>
      <c r="L375" s="10" t="s">
        <v>30</v>
      </c>
      <c r="M375" s="18" t="s">
        <v>28</v>
      </c>
      <c r="N375" s="21"/>
      <c r="O375" s="21" t="s">
        <v>965</v>
      </c>
      <c r="P375" s="24" t="s">
        <v>966</v>
      </c>
      <c r="Q375" s="29">
        <f t="shared" si="15"/>
        <v>0</v>
      </c>
      <c r="R375" s="30" t="str">
        <f t="shared" si="16"/>
        <v>P37.025</v>
      </c>
    </row>
    <row r="376" spans="1:18">
      <c r="A376" s="17"/>
      <c r="B376" s="17"/>
      <c r="C376" s="17"/>
      <c r="D376" s="10">
        <f t="shared" si="17"/>
        <v>9498</v>
      </c>
      <c r="E376" s="18" t="s">
        <v>34</v>
      </c>
      <c r="F376" s="19"/>
      <c r="G376" s="20" t="s">
        <v>23</v>
      </c>
      <c r="H376" s="20" t="s">
        <v>23</v>
      </c>
      <c r="I376" s="20" t="s">
        <v>35</v>
      </c>
      <c r="J376" s="10" t="s">
        <v>25</v>
      </c>
      <c r="K376" s="10" t="s">
        <v>26</v>
      </c>
      <c r="L376" s="10" t="s">
        <v>30</v>
      </c>
      <c r="M376" s="18" t="s">
        <v>28</v>
      </c>
      <c r="N376" s="21"/>
      <c r="O376" s="21"/>
      <c r="P376" s="21"/>
      <c r="Q376" s="29">
        <f t="shared" si="15"/>
        <v>1</v>
      </c>
      <c r="R376" s="30" t="str">
        <f t="shared" si="16"/>
        <v>P37.026</v>
      </c>
    </row>
    <row r="377" spans="1:18">
      <c r="A377" s="17"/>
      <c r="B377" s="17"/>
      <c r="C377" s="17"/>
      <c r="D377" s="10">
        <f t="shared" si="17"/>
        <v>9499</v>
      </c>
      <c r="E377" s="18" t="s">
        <v>34</v>
      </c>
      <c r="F377" s="21" t="s">
        <v>967</v>
      </c>
      <c r="G377" s="20" t="s">
        <v>23</v>
      </c>
      <c r="H377" s="20" t="s">
        <v>23</v>
      </c>
      <c r="I377" s="20" t="s">
        <v>35</v>
      </c>
      <c r="J377" s="10" t="s">
        <v>664</v>
      </c>
      <c r="K377" s="10" t="s">
        <v>62</v>
      </c>
      <c r="L377" s="10" t="s">
        <v>27</v>
      </c>
      <c r="M377" s="18" t="s">
        <v>28</v>
      </c>
      <c r="N377" s="21"/>
      <c r="O377" s="21"/>
      <c r="P377" s="21"/>
      <c r="Q377" s="29">
        <f t="shared" si="15"/>
        <v>1</v>
      </c>
      <c r="R377" s="30" t="str">
        <f t="shared" si="16"/>
        <v>P37.027</v>
      </c>
    </row>
    <row r="378" spans="1:18">
      <c r="A378" s="17"/>
      <c r="B378" s="17"/>
      <c r="C378" s="17"/>
      <c r="D378" s="10">
        <f t="shared" si="17"/>
        <v>9500</v>
      </c>
      <c r="E378" s="18" t="s">
        <v>34</v>
      </c>
      <c r="F378" s="21" t="s">
        <v>968</v>
      </c>
      <c r="G378" s="20" t="s">
        <v>23</v>
      </c>
      <c r="H378" s="20" t="s">
        <v>23</v>
      </c>
      <c r="I378" s="20" t="s">
        <v>35</v>
      </c>
      <c r="J378" s="10" t="s">
        <v>664</v>
      </c>
      <c r="K378" s="10" t="s">
        <v>62</v>
      </c>
      <c r="L378" s="10" t="s">
        <v>27</v>
      </c>
      <c r="M378" s="18" t="s">
        <v>28</v>
      </c>
      <c r="N378" s="21"/>
      <c r="O378" s="21"/>
      <c r="P378" s="21"/>
      <c r="Q378" s="29">
        <f t="shared" si="15"/>
        <v>1</v>
      </c>
      <c r="R378" s="30" t="str">
        <f t="shared" si="16"/>
        <v>P37.028</v>
      </c>
    </row>
    <row r="379" spans="1:18">
      <c r="A379" s="17"/>
      <c r="B379" s="17"/>
      <c r="C379" s="17"/>
      <c r="D379" s="10">
        <f t="shared" si="17"/>
        <v>9501</v>
      </c>
      <c r="E379" s="18" t="s">
        <v>34</v>
      </c>
      <c r="F379" s="21" t="s">
        <v>969</v>
      </c>
      <c r="G379" s="20" t="s">
        <v>23</v>
      </c>
      <c r="H379" s="20" t="s">
        <v>23</v>
      </c>
      <c r="I379" s="20" t="s">
        <v>35</v>
      </c>
      <c r="J379" s="10" t="s">
        <v>664</v>
      </c>
      <c r="K379" s="10" t="s">
        <v>62</v>
      </c>
      <c r="L379" s="10" t="s">
        <v>27</v>
      </c>
      <c r="M379" s="18" t="s">
        <v>28</v>
      </c>
      <c r="N379" s="21"/>
      <c r="O379" s="21"/>
      <c r="P379" s="21"/>
      <c r="Q379" s="29">
        <f t="shared" si="15"/>
        <v>1</v>
      </c>
      <c r="R379" s="30" t="str">
        <f t="shared" si="16"/>
        <v>P37.029</v>
      </c>
    </row>
    <row r="380" spans="1:18">
      <c r="A380" s="17"/>
      <c r="B380" s="17"/>
      <c r="C380" s="17"/>
      <c r="D380" s="10">
        <f t="shared" si="17"/>
        <v>9502</v>
      </c>
      <c r="E380" s="18" t="s">
        <v>34</v>
      </c>
      <c r="F380" s="19"/>
      <c r="G380" s="20" t="s">
        <v>23</v>
      </c>
      <c r="H380" s="20" t="s">
        <v>23</v>
      </c>
      <c r="I380" s="20" t="s">
        <v>35</v>
      </c>
      <c r="J380" s="10" t="s">
        <v>25</v>
      </c>
      <c r="K380" s="10" t="s">
        <v>26</v>
      </c>
      <c r="L380" s="10" t="s">
        <v>30</v>
      </c>
      <c r="M380" s="18" t="s">
        <v>28</v>
      </c>
      <c r="N380" s="21"/>
      <c r="O380" s="21"/>
      <c r="P380" s="21"/>
      <c r="Q380" s="29">
        <f t="shared" si="15"/>
        <v>1</v>
      </c>
      <c r="R380" s="30" t="str">
        <f t="shared" si="16"/>
        <v>P37.030</v>
      </c>
    </row>
    <row r="381" spans="1:18">
      <c r="A381" s="17"/>
      <c r="B381" s="17"/>
      <c r="C381" s="17"/>
      <c r="D381" s="10">
        <f t="shared" si="17"/>
        <v>9503</v>
      </c>
      <c r="E381" s="18" t="s">
        <v>34</v>
      </c>
      <c r="F381" s="21" t="s">
        <v>970</v>
      </c>
      <c r="G381" s="20" t="s">
        <v>182</v>
      </c>
      <c r="H381" s="20" t="s">
        <v>39</v>
      </c>
      <c r="I381" s="20" t="s">
        <v>35</v>
      </c>
      <c r="J381" s="10" t="s">
        <v>172</v>
      </c>
      <c r="K381" s="10" t="s">
        <v>62</v>
      </c>
      <c r="L381" s="10" t="s">
        <v>27</v>
      </c>
      <c r="M381" s="18" t="s">
        <v>28</v>
      </c>
      <c r="N381" s="21"/>
      <c r="O381" s="21" t="s">
        <v>971</v>
      </c>
      <c r="P381" s="21" t="s">
        <v>972</v>
      </c>
      <c r="Q381" s="29">
        <f t="shared" si="15"/>
        <v>1</v>
      </c>
      <c r="R381" s="30" t="str">
        <f t="shared" si="16"/>
        <v>P37.031</v>
      </c>
    </row>
    <row r="382" spans="1:18">
      <c r="A382" s="17"/>
      <c r="B382" s="17"/>
      <c r="C382" s="17"/>
      <c r="D382" s="10">
        <f t="shared" si="17"/>
        <v>9504</v>
      </c>
      <c r="E382" s="18" t="s">
        <v>34</v>
      </c>
      <c r="F382" s="21" t="s">
        <v>973</v>
      </c>
      <c r="G382" s="20" t="s">
        <v>182</v>
      </c>
      <c r="H382" s="20" t="s">
        <v>39</v>
      </c>
      <c r="I382" s="20" t="s">
        <v>35</v>
      </c>
      <c r="J382" s="10" t="s">
        <v>172</v>
      </c>
      <c r="K382" s="10" t="s">
        <v>62</v>
      </c>
      <c r="L382" s="10" t="s">
        <v>27</v>
      </c>
      <c r="M382" s="18" t="s">
        <v>28</v>
      </c>
      <c r="N382" s="21"/>
      <c r="O382" s="21" t="s">
        <v>974</v>
      </c>
      <c r="P382" s="21" t="s">
        <v>975</v>
      </c>
      <c r="Q382" s="29">
        <f t="shared" si="15"/>
        <v>1</v>
      </c>
      <c r="R382" s="30" t="str">
        <f t="shared" si="16"/>
        <v>P37.032</v>
      </c>
    </row>
    <row r="383" spans="1:18">
      <c r="A383" s="17"/>
      <c r="B383" s="17"/>
      <c r="C383" s="17"/>
      <c r="D383" s="10">
        <f t="shared" si="17"/>
        <v>9505</v>
      </c>
      <c r="E383" s="18" t="s">
        <v>34</v>
      </c>
      <c r="F383" s="21" t="s">
        <v>976</v>
      </c>
      <c r="G383" s="20" t="s">
        <v>182</v>
      </c>
      <c r="H383" s="20" t="s">
        <v>39</v>
      </c>
      <c r="I383" s="20" t="s">
        <v>35</v>
      </c>
      <c r="J383" s="10" t="s">
        <v>172</v>
      </c>
      <c r="K383" s="10" t="s">
        <v>62</v>
      </c>
      <c r="L383" s="10" t="s">
        <v>27</v>
      </c>
      <c r="M383" s="18" t="s">
        <v>28</v>
      </c>
      <c r="N383" s="21"/>
      <c r="O383" s="21" t="s">
        <v>977</v>
      </c>
      <c r="P383" s="21" t="s">
        <v>972</v>
      </c>
      <c r="Q383" s="29">
        <f t="shared" si="15"/>
        <v>1</v>
      </c>
      <c r="R383" s="30" t="str">
        <f t="shared" si="16"/>
        <v>P37.033</v>
      </c>
    </row>
    <row r="384" spans="1:18">
      <c r="A384" s="17"/>
      <c r="B384" s="17"/>
      <c r="C384" s="17"/>
      <c r="D384" s="10">
        <f t="shared" si="17"/>
        <v>9506</v>
      </c>
      <c r="E384" s="18" t="s">
        <v>34</v>
      </c>
      <c r="F384" s="21" t="s">
        <v>978</v>
      </c>
      <c r="G384" s="20" t="s">
        <v>182</v>
      </c>
      <c r="H384" s="20" t="s">
        <v>39</v>
      </c>
      <c r="I384" s="20" t="s">
        <v>35</v>
      </c>
      <c r="J384" s="10" t="s">
        <v>172</v>
      </c>
      <c r="K384" s="10" t="s">
        <v>62</v>
      </c>
      <c r="L384" s="10" t="s">
        <v>27</v>
      </c>
      <c r="M384" s="18" t="s">
        <v>28</v>
      </c>
      <c r="N384" s="21"/>
      <c r="O384" s="21" t="s">
        <v>979</v>
      </c>
      <c r="P384" s="21" t="s">
        <v>975</v>
      </c>
      <c r="Q384" s="29">
        <f t="shared" si="15"/>
        <v>1</v>
      </c>
      <c r="R384" s="30" t="str">
        <f t="shared" si="16"/>
        <v>P37.034</v>
      </c>
    </row>
    <row r="385" spans="1:18">
      <c r="A385" s="17"/>
      <c r="B385" s="17"/>
      <c r="C385" s="17"/>
      <c r="D385" s="10">
        <f t="shared" si="17"/>
        <v>9507</v>
      </c>
      <c r="E385" s="18" t="s">
        <v>34</v>
      </c>
      <c r="F385" s="19"/>
      <c r="G385" s="20" t="s">
        <v>23</v>
      </c>
      <c r="H385" s="20" t="s">
        <v>23</v>
      </c>
      <c r="I385" s="20" t="s">
        <v>35</v>
      </c>
      <c r="J385" s="10" t="s">
        <v>25</v>
      </c>
      <c r="K385" s="10" t="s">
        <v>26</v>
      </c>
      <c r="L385" s="10" t="s">
        <v>30</v>
      </c>
      <c r="M385" s="18" t="s">
        <v>28</v>
      </c>
      <c r="N385" s="21"/>
      <c r="O385" s="21"/>
      <c r="P385" s="21"/>
      <c r="Q385" s="29">
        <f t="shared" si="15"/>
        <v>1</v>
      </c>
      <c r="R385" s="30" t="str">
        <f t="shared" si="16"/>
        <v>P37.035</v>
      </c>
    </row>
    <row r="386" spans="1:18">
      <c r="A386" s="17"/>
      <c r="B386" s="17"/>
      <c r="C386" s="17"/>
      <c r="D386" s="10">
        <f t="shared" si="17"/>
        <v>9508</v>
      </c>
      <c r="E386" s="18" t="s">
        <v>34</v>
      </c>
      <c r="F386" s="19"/>
      <c r="G386" s="20" t="s">
        <v>23</v>
      </c>
      <c r="H386" s="20" t="s">
        <v>23</v>
      </c>
      <c r="I386" s="20" t="s">
        <v>35</v>
      </c>
      <c r="J386" s="10" t="s">
        <v>25</v>
      </c>
      <c r="K386" s="10" t="s">
        <v>26</v>
      </c>
      <c r="L386" s="10" t="s">
        <v>30</v>
      </c>
      <c r="M386" s="18" t="s">
        <v>28</v>
      </c>
      <c r="N386" s="21"/>
      <c r="O386" s="21"/>
      <c r="P386" s="21"/>
      <c r="Q386" s="29">
        <f t="shared" si="15"/>
        <v>1</v>
      </c>
      <c r="R386" s="30" t="str">
        <f t="shared" si="16"/>
        <v>P37.036</v>
      </c>
    </row>
    <row r="387" spans="1:18">
      <c r="A387" s="17"/>
      <c r="B387" s="17"/>
      <c r="C387" s="17"/>
      <c r="D387" s="10">
        <f t="shared" si="17"/>
        <v>9509</v>
      </c>
      <c r="E387" s="18" t="s">
        <v>34</v>
      </c>
      <c r="F387" s="19" t="s">
        <v>980</v>
      </c>
      <c r="G387" s="20" t="s">
        <v>23</v>
      </c>
      <c r="H387" s="20" t="s">
        <v>23</v>
      </c>
      <c r="I387" s="20" t="s">
        <v>892</v>
      </c>
      <c r="J387" s="10" t="s">
        <v>25</v>
      </c>
      <c r="K387" s="10" t="s">
        <v>62</v>
      </c>
      <c r="L387" s="10" t="s">
        <v>27</v>
      </c>
      <c r="M387" s="18" t="s">
        <v>28</v>
      </c>
      <c r="N387" s="10"/>
      <c r="O387" s="21" t="s">
        <v>981</v>
      </c>
      <c r="P387" s="21"/>
      <c r="Q387" s="29">
        <f t="shared" si="15"/>
        <v>1</v>
      </c>
      <c r="R387" s="30" t="str">
        <f t="shared" si="16"/>
        <v>P37.037</v>
      </c>
    </row>
    <row r="388" spans="1:18">
      <c r="A388" s="17"/>
      <c r="B388" s="17"/>
      <c r="C388" s="17"/>
      <c r="D388" s="10">
        <f t="shared" si="17"/>
        <v>9510</v>
      </c>
      <c r="E388" s="18" t="s">
        <v>91</v>
      </c>
      <c r="F388" s="21" t="s">
        <v>982</v>
      </c>
      <c r="G388" s="20" t="s">
        <v>23</v>
      </c>
      <c r="H388" s="20" t="s">
        <v>948</v>
      </c>
      <c r="I388" s="20" t="s">
        <v>949</v>
      </c>
      <c r="J388" s="10" t="s">
        <v>489</v>
      </c>
      <c r="K388" s="10" t="s">
        <v>62</v>
      </c>
      <c r="L388" s="10" t="s">
        <v>27</v>
      </c>
      <c r="M388" s="18" t="s">
        <v>28</v>
      </c>
      <c r="N388" s="21"/>
      <c r="O388" s="21" t="s">
        <v>983</v>
      </c>
      <c r="P388" s="21"/>
      <c r="Q388" s="29">
        <f t="shared" si="15"/>
        <v>1</v>
      </c>
      <c r="R388" s="30" t="str">
        <f t="shared" si="16"/>
        <v>P37.038</v>
      </c>
    </row>
    <row r="389" spans="1:18">
      <c r="A389" s="17"/>
      <c r="B389" s="17"/>
      <c r="C389" s="17"/>
      <c r="D389" s="10">
        <f t="shared" si="17"/>
        <v>9511</v>
      </c>
      <c r="E389" s="18" t="s">
        <v>91</v>
      </c>
      <c r="F389" s="21" t="s">
        <v>984</v>
      </c>
      <c r="G389" s="20" t="s">
        <v>23</v>
      </c>
      <c r="H389" s="20" t="s">
        <v>948</v>
      </c>
      <c r="I389" s="20" t="s">
        <v>949</v>
      </c>
      <c r="J389" s="10" t="s">
        <v>489</v>
      </c>
      <c r="K389" s="10" t="s">
        <v>62</v>
      </c>
      <c r="L389" s="10" t="s">
        <v>27</v>
      </c>
      <c r="M389" s="18" t="s">
        <v>28</v>
      </c>
      <c r="N389" s="21"/>
      <c r="O389" s="21" t="s">
        <v>985</v>
      </c>
      <c r="P389" s="21"/>
      <c r="Q389" s="29">
        <f t="shared" si="15"/>
        <v>1</v>
      </c>
      <c r="R389" s="30" t="str">
        <f t="shared" si="16"/>
        <v>P37.039</v>
      </c>
    </row>
    <row r="390" spans="1:18">
      <c r="A390" s="17"/>
      <c r="B390" s="17"/>
      <c r="C390" s="17"/>
      <c r="D390" s="10">
        <f t="shared" si="17"/>
        <v>9512</v>
      </c>
      <c r="E390" s="18" t="s">
        <v>91</v>
      </c>
      <c r="F390" s="21" t="s">
        <v>986</v>
      </c>
      <c r="G390" s="20" t="s">
        <v>23</v>
      </c>
      <c r="H390" s="20" t="s">
        <v>948</v>
      </c>
      <c r="I390" s="20" t="s">
        <v>949</v>
      </c>
      <c r="J390" s="10" t="s">
        <v>489</v>
      </c>
      <c r="K390" s="10" t="s">
        <v>62</v>
      </c>
      <c r="L390" s="10" t="s">
        <v>27</v>
      </c>
      <c r="M390" s="18" t="s">
        <v>28</v>
      </c>
      <c r="N390" s="21"/>
      <c r="O390" s="21" t="s">
        <v>987</v>
      </c>
      <c r="P390" s="21"/>
      <c r="Q390" s="29">
        <f t="shared" si="15"/>
        <v>1</v>
      </c>
      <c r="R390" s="30" t="str">
        <f t="shared" si="16"/>
        <v>P37.040</v>
      </c>
    </row>
    <row r="391" spans="1:18">
      <c r="A391" s="17"/>
      <c r="B391" s="17"/>
      <c r="C391" s="17"/>
      <c r="D391" s="10">
        <f t="shared" si="17"/>
        <v>9513</v>
      </c>
      <c r="E391" s="18" t="s">
        <v>91</v>
      </c>
      <c r="F391" s="21" t="s">
        <v>988</v>
      </c>
      <c r="G391" s="20" t="s">
        <v>23</v>
      </c>
      <c r="H391" s="20" t="s">
        <v>948</v>
      </c>
      <c r="I391" s="20" t="s">
        <v>949</v>
      </c>
      <c r="J391" s="10" t="s">
        <v>489</v>
      </c>
      <c r="K391" s="10" t="s">
        <v>62</v>
      </c>
      <c r="L391" s="10" t="s">
        <v>27</v>
      </c>
      <c r="M391" s="18" t="s">
        <v>28</v>
      </c>
      <c r="N391" s="21"/>
      <c r="O391" s="21" t="s">
        <v>989</v>
      </c>
      <c r="P391" s="21"/>
      <c r="Q391" s="29">
        <f t="shared" si="15"/>
        <v>1</v>
      </c>
      <c r="R391" s="30" t="str">
        <f t="shared" si="16"/>
        <v>P37.041</v>
      </c>
    </row>
    <row r="392" spans="1:18">
      <c r="A392" s="17"/>
      <c r="B392" s="17"/>
      <c r="C392" s="17"/>
      <c r="D392" s="10">
        <f t="shared" si="17"/>
        <v>9514</v>
      </c>
      <c r="E392" s="18" t="s">
        <v>91</v>
      </c>
      <c r="F392" s="21" t="s">
        <v>990</v>
      </c>
      <c r="G392" s="20" t="s">
        <v>23</v>
      </c>
      <c r="H392" s="20" t="s">
        <v>948</v>
      </c>
      <c r="I392" s="20" t="s">
        <v>949</v>
      </c>
      <c r="J392" s="10" t="s">
        <v>489</v>
      </c>
      <c r="K392" s="10" t="s">
        <v>62</v>
      </c>
      <c r="L392" s="10" t="s">
        <v>27</v>
      </c>
      <c r="M392" s="18" t="s">
        <v>28</v>
      </c>
      <c r="N392" s="21"/>
      <c r="O392" s="21" t="s">
        <v>991</v>
      </c>
      <c r="P392" s="21"/>
      <c r="Q392" s="29">
        <f t="shared" ref="Q392:Q455" si="18">IF(OR(F392="",LEFT(TRIM(F392),3)=E392),1,0)</f>
        <v>1</v>
      </c>
      <c r="R392" s="30" t="str">
        <f t="shared" ref="R392:R455" si="19">"P"&amp;TEXT(ROUND(D392/256,0),"00")&amp;"."&amp;TEXT(MOD(D392,256),"000")</f>
        <v>P37.042</v>
      </c>
    </row>
    <row r="393" spans="1:18">
      <c r="A393" s="17"/>
      <c r="B393" s="17"/>
      <c r="C393" s="17"/>
      <c r="D393" s="10">
        <f t="shared" ref="D393:D456" si="20">INDEX(D:D,ROW()-1)+_xlfn.IFS(INDEX(E:E,ROW()-1)="u16",1,INDEX(E:E,ROW()-1)="s16",1,INDEX(E:E,ROW()-1)="s32",2,INDEX(E:E,ROW()-1)="s64",4,INDEX(E:E,ROW()-1)="u16",1,INDEX(E:E,ROW()-1)="u32",2,INDEX(E:E,ROW()-1)="u64",4,INDEX(E:E,ROW()-1)="f32",2,INDEX(E:E,ROW()-1)="f64",4)</f>
        <v>9515</v>
      </c>
      <c r="E393" s="18" t="s">
        <v>91</v>
      </c>
      <c r="F393" s="21" t="s">
        <v>992</v>
      </c>
      <c r="G393" s="20" t="s">
        <v>23</v>
      </c>
      <c r="H393" s="20" t="s">
        <v>948</v>
      </c>
      <c r="I393" s="20" t="s">
        <v>949</v>
      </c>
      <c r="J393" s="10" t="s">
        <v>489</v>
      </c>
      <c r="K393" s="10" t="s">
        <v>62</v>
      </c>
      <c r="L393" s="10" t="s">
        <v>27</v>
      </c>
      <c r="M393" s="18" t="s">
        <v>28</v>
      </c>
      <c r="N393" s="21"/>
      <c r="O393" s="21" t="s">
        <v>993</v>
      </c>
      <c r="P393" s="21"/>
      <c r="Q393" s="29">
        <f t="shared" si="18"/>
        <v>1</v>
      </c>
      <c r="R393" s="30" t="str">
        <f t="shared" si="19"/>
        <v>P37.043</v>
      </c>
    </row>
    <row r="394" spans="1:18">
      <c r="A394" s="17"/>
      <c r="B394" s="17"/>
      <c r="C394" s="17"/>
      <c r="D394" s="10">
        <f t="shared" si="20"/>
        <v>9516</v>
      </c>
      <c r="E394" s="18" t="s">
        <v>91</v>
      </c>
      <c r="F394" s="21" t="s">
        <v>994</v>
      </c>
      <c r="G394" s="20" t="s">
        <v>23</v>
      </c>
      <c r="H394" s="20" t="s">
        <v>948</v>
      </c>
      <c r="I394" s="20" t="s">
        <v>949</v>
      </c>
      <c r="J394" s="10" t="s">
        <v>489</v>
      </c>
      <c r="K394" s="10" t="s">
        <v>62</v>
      </c>
      <c r="L394" s="10" t="s">
        <v>27</v>
      </c>
      <c r="M394" s="18" t="s">
        <v>28</v>
      </c>
      <c r="N394" s="21"/>
      <c r="O394" s="21" t="s">
        <v>995</v>
      </c>
      <c r="P394" s="21"/>
      <c r="Q394" s="29">
        <f t="shared" si="18"/>
        <v>1</v>
      </c>
      <c r="R394" s="30" t="str">
        <f t="shared" si="19"/>
        <v>P37.044</v>
      </c>
    </row>
    <row r="395" spans="1:18">
      <c r="A395" s="17"/>
      <c r="B395" s="17"/>
      <c r="C395" s="17"/>
      <c r="D395" s="10">
        <f t="shared" si="20"/>
        <v>9517</v>
      </c>
      <c r="E395" s="18" t="s">
        <v>91</v>
      </c>
      <c r="F395" s="21" t="s">
        <v>996</v>
      </c>
      <c r="G395" s="20" t="s">
        <v>23</v>
      </c>
      <c r="H395" s="20" t="s">
        <v>948</v>
      </c>
      <c r="I395" s="20" t="s">
        <v>949</v>
      </c>
      <c r="J395" s="10" t="s">
        <v>489</v>
      </c>
      <c r="K395" s="10" t="s">
        <v>62</v>
      </c>
      <c r="L395" s="10" t="s">
        <v>27</v>
      </c>
      <c r="M395" s="18" t="s">
        <v>28</v>
      </c>
      <c r="N395" s="21"/>
      <c r="O395" s="21" t="s">
        <v>997</v>
      </c>
      <c r="P395" s="21"/>
      <c r="Q395" s="29">
        <f t="shared" si="18"/>
        <v>1</v>
      </c>
      <c r="R395" s="30" t="str">
        <f t="shared" si="19"/>
        <v>P37.045</v>
      </c>
    </row>
    <row r="396" spans="1:18">
      <c r="A396" s="17"/>
      <c r="B396" s="17"/>
      <c r="C396" s="17"/>
      <c r="D396" s="10">
        <f t="shared" si="20"/>
        <v>9518</v>
      </c>
      <c r="E396" s="18" t="s">
        <v>91</v>
      </c>
      <c r="F396" s="21" t="s">
        <v>998</v>
      </c>
      <c r="G396" s="20" t="s">
        <v>23</v>
      </c>
      <c r="H396" s="20" t="s">
        <v>948</v>
      </c>
      <c r="I396" s="20" t="s">
        <v>949</v>
      </c>
      <c r="J396" s="10" t="s">
        <v>489</v>
      </c>
      <c r="K396" s="10" t="s">
        <v>62</v>
      </c>
      <c r="L396" s="10" t="s">
        <v>27</v>
      </c>
      <c r="M396" s="18" t="s">
        <v>28</v>
      </c>
      <c r="N396" s="21"/>
      <c r="O396" s="21" t="s">
        <v>999</v>
      </c>
      <c r="P396" s="21"/>
      <c r="Q396" s="29">
        <f t="shared" si="18"/>
        <v>1</v>
      </c>
      <c r="R396" s="30" t="str">
        <f t="shared" si="19"/>
        <v>P37.046</v>
      </c>
    </row>
    <row r="397" spans="1:18">
      <c r="A397" s="17"/>
      <c r="B397" s="17"/>
      <c r="C397" s="17"/>
      <c r="D397" s="10">
        <f t="shared" si="20"/>
        <v>9519</v>
      </c>
      <c r="E397" s="18" t="s">
        <v>91</v>
      </c>
      <c r="F397" s="21" t="s">
        <v>1000</v>
      </c>
      <c r="G397" s="20" t="s">
        <v>23</v>
      </c>
      <c r="H397" s="20" t="s">
        <v>948</v>
      </c>
      <c r="I397" s="20" t="s">
        <v>949</v>
      </c>
      <c r="J397" s="10" t="s">
        <v>489</v>
      </c>
      <c r="K397" s="10" t="s">
        <v>62</v>
      </c>
      <c r="L397" s="10" t="s">
        <v>27</v>
      </c>
      <c r="M397" s="18" t="s">
        <v>28</v>
      </c>
      <c r="N397" s="21"/>
      <c r="O397" s="21" t="s">
        <v>1001</v>
      </c>
      <c r="P397" s="21"/>
      <c r="Q397" s="29">
        <f t="shared" si="18"/>
        <v>1</v>
      </c>
      <c r="R397" s="30" t="str">
        <f t="shared" si="19"/>
        <v>P37.047</v>
      </c>
    </row>
    <row r="398" spans="1:18">
      <c r="A398" s="17"/>
      <c r="B398" s="17"/>
      <c r="C398" s="17"/>
      <c r="D398" s="10">
        <f t="shared" si="20"/>
        <v>9520</v>
      </c>
      <c r="E398" s="18" t="s">
        <v>91</v>
      </c>
      <c r="F398" s="21" t="s">
        <v>1002</v>
      </c>
      <c r="G398" s="20" t="s">
        <v>23</v>
      </c>
      <c r="H398" s="20" t="s">
        <v>948</v>
      </c>
      <c r="I398" s="20" t="s">
        <v>949</v>
      </c>
      <c r="J398" s="10" t="s">
        <v>489</v>
      </c>
      <c r="K398" s="10" t="s">
        <v>62</v>
      </c>
      <c r="L398" s="10" t="s">
        <v>27</v>
      </c>
      <c r="M398" s="18" t="s">
        <v>28</v>
      </c>
      <c r="N398" s="21"/>
      <c r="O398" s="21" t="s">
        <v>1003</v>
      </c>
      <c r="P398" s="21"/>
      <c r="Q398" s="29">
        <f t="shared" si="18"/>
        <v>1</v>
      </c>
      <c r="R398" s="30" t="str">
        <f t="shared" si="19"/>
        <v>P37.048</v>
      </c>
    </row>
    <row r="399" spans="1:18">
      <c r="A399" s="17"/>
      <c r="B399" s="17"/>
      <c r="C399" s="17"/>
      <c r="D399" s="10">
        <f t="shared" si="20"/>
        <v>9521</v>
      </c>
      <c r="E399" s="18" t="s">
        <v>91</v>
      </c>
      <c r="F399" s="21" t="s">
        <v>1004</v>
      </c>
      <c r="G399" s="20" t="s">
        <v>23</v>
      </c>
      <c r="H399" s="20" t="s">
        <v>948</v>
      </c>
      <c r="I399" s="20" t="s">
        <v>949</v>
      </c>
      <c r="J399" s="10" t="s">
        <v>489</v>
      </c>
      <c r="K399" s="10" t="s">
        <v>62</v>
      </c>
      <c r="L399" s="10" t="s">
        <v>27</v>
      </c>
      <c r="M399" s="18" t="s">
        <v>28</v>
      </c>
      <c r="N399" s="21"/>
      <c r="O399" s="21" t="s">
        <v>1005</v>
      </c>
      <c r="P399" s="21"/>
      <c r="Q399" s="29">
        <f t="shared" si="18"/>
        <v>1</v>
      </c>
      <c r="R399" s="30" t="str">
        <f t="shared" si="19"/>
        <v>P37.049</v>
      </c>
    </row>
    <row r="400" spans="1:18">
      <c r="A400" s="17"/>
      <c r="B400" s="17"/>
      <c r="C400" s="17"/>
      <c r="D400" s="10">
        <f t="shared" si="20"/>
        <v>9522</v>
      </c>
      <c r="E400" s="18" t="s">
        <v>91</v>
      </c>
      <c r="F400" s="21" t="s">
        <v>1006</v>
      </c>
      <c r="G400" s="20" t="s">
        <v>23</v>
      </c>
      <c r="H400" s="20" t="s">
        <v>948</v>
      </c>
      <c r="I400" s="20" t="s">
        <v>949</v>
      </c>
      <c r="J400" s="10" t="s">
        <v>489</v>
      </c>
      <c r="K400" s="10" t="s">
        <v>62</v>
      </c>
      <c r="L400" s="10" t="s">
        <v>27</v>
      </c>
      <c r="M400" s="18" t="s">
        <v>28</v>
      </c>
      <c r="N400" s="21"/>
      <c r="O400" s="21" t="s">
        <v>1007</v>
      </c>
      <c r="P400" s="21"/>
      <c r="Q400" s="29">
        <f t="shared" si="18"/>
        <v>1</v>
      </c>
      <c r="R400" s="30" t="str">
        <f t="shared" si="19"/>
        <v>P37.050</v>
      </c>
    </row>
    <row r="401" spans="1:18">
      <c r="A401" s="17"/>
      <c r="B401" s="17"/>
      <c r="C401" s="17"/>
      <c r="D401" s="10">
        <f t="shared" si="20"/>
        <v>9523</v>
      </c>
      <c r="E401" s="18" t="s">
        <v>91</v>
      </c>
      <c r="F401" s="21" t="s">
        <v>1008</v>
      </c>
      <c r="G401" s="20" t="s">
        <v>23</v>
      </c>
      <c r="H401" s="20" t="s">
        <v>948</v>
      </c>
      <c r="I401" s="20" t="s">
        <v>949</v>
      </c>
      <c r="J401" s="10" t="s">
        <v>489</v>
      </c>
      <c r="K401" s="10" t="s">
        <v>62</v>
      </c>
      <c r="L401" s="10" t="s">
        <v>27</v>
      </c>
      <c r="M401" s="18" t="s">
        <v>28</v>
      </c>
      <c r="N401" s="21"/>
      <c r="O401" s="21" t="s">
        <v>1009</v>
      </c>
      <c r="P401" s="21"/>
      <c r="Q401" s="29">
        <f t="shared" si="18"/>
        <v>1</v>
      </c>
      <c r="R401" s="30" t="str">
        <f t="shared" si="19"/>
        <v>P37.051</v>
      </c>
    </row>
    <row r="402" spans="1:18">
      <c r="A402" s="17"/>
      <c r="B402" s="17"/>
      <c r="C402" s="17"/>
      <c r="D402" s="10">
        <f t="shared" si="20"/>
        <v>9524</v>
      </c>
      <c r="E402" s="18" t="s">
        <v>91</v>
      </c>
      <c r="F402" s="21" t="s">
        <v>1010</v>
      </c>
      <c r="G402" s="20" t="s">
        <v>23</v>
      </c>
      <c r="H402" s="20" t="s">
        <v>948</v>
      </c>
      <c r="I402" s="20" t="s">
        <v>949</v>
      </c>
      <c r="J402" s="10" t="s">
        <v>489</v>
      </c>
      <c r="K402" s="10" t="s">
        <v>62</v>
      </c>
      <c r="L402" s="10" t="s">
        <v>27</v>
      </c>
      <c r="M402" s="18" t="s">
        <v>28</v>
      </c>
      <c r="N402" s="21"/>
      <c r="O402" s="21" t="s">
        <v>1011</v>
      </c>
      <c r="P402" s="21"/>
      <c r="Q402" s="29">
        <f t="shared" si="18"/>
        <v>1</v>
      </c>
      <c r="R402" s="30" t="str">
        <f t="shared" si="19"/>
        <v>P37.052</v>
      </c>
    </row>
    <row r="403" spans="1:18">
      <c r="A403" s="17"/>
      <c r="B403" s="17"/>
      <c r="C403" s="17"/>
      <c r="D403" s="10">
        <f t="shared" si="20"/>
        <v>9525</v>
      </c>
      <c r="E403" s="18" t="s">
        <v>91</v>
      </c>
      <c r="F403" s="21" t="s">
        <v>1012</v>
      </c>
      <c r="G403" s="20" t="s">
        <v>23</v>
      </c>
      <c r="H403" s="20" t="s">
        <v>948</v>
      </c>
      <c r="I403" s="20" t="s">
        <v>949</v>
      </c>
      <c r="J403" s="10" t="s">
        <v>489</v>
      </c>
      <c r="K403" s="10" t="s">
        <v>62</v>
      </c>
      <c r="L403" s="10" t="s">
        <v>27</v>
      </c>
      <c r="M403" s="18" t="s">
        <v>28</v>
      </c>
      <c r="N403" s="21"/>
      <c r="O403" s="21" t="s">
        <v>1013</v>
      </c>
      <c r="P403" s="21"/>
      <c r="Q403" s="29">
        <f t="shared" si="18"/>
        <v>1</v>
      </c>
      <c r="R403" s="30" t="str">
        <f t="shared" si="19"/>
        <v>P37.053</v>
      </c>
    </row>
    <row r="404" spans="1:18">
      <c r="A404" s="17"/>
      <c r="B404" s="17"/>
      <c r="C404" s="17"/>
      <c r="D404" s="10">
        <f t="shared" si="20"/>
        <v>9526</v>
      </c>
      <c r="E404" s="18" t="s">
        <v>34</v>
      </c>
      <c r="F404" s="19"/>
      <c r="G404" s="20" t="s">
        <v>23</v>
      </c>
      <c r="H404" s="20" t="s">
        <v>23</v>
      </c>
      <c r="I404" s="20" t="s">
        <v>35</v>
      </c>
      <c r="J404" s="10" t="s">
        <v>25</v>
      </c>
      <c r="K404" s="10" t="s">
        <v>26</v>
      </c>
      <c r="L404" s="10" t="s">
        <v>30</v>
      </c>
      <c r="M404" s="18" t="s">
        <v>28</v>
      </c>
      <c r="N404" s="21"/>
      <c r="O404" s="21"/>
      <c r="P404" s="21"/>
      <c r="Q404" s="29">
        <f t="shared" si="18"/>
        <v>1</v>
      </c>
      <c r="R404" s="30" t="str">
        <f t="shared" si="19"/>
        <v>P37.054</v>
      </c>
    </row>
    <row r="405" spans="1:18">
      <c r="A405" s="17"/>
      <c r="B405" s="17"/>
      <c r="C405" s="17"/>
      <c r="D405" s="10">
        <f t="shared" si="20"/>
        <v>9527</v>
      </c>
      <c r="E405" s="18" t="s">
        <v>34</v>
      </c>
      <c r="F405" s="19"/>
      <c r="G405" s="20" t="s">
        <v>23</v>
      </c>
      <c r="H405" s="20" t="s">
        <v>23</v>
      </c>
      <c r="I405" s="20" t="s">
        <v>35</v>
      </c>
      <c r="J405" s="10" t="s">
        <v>25</v>
      </c>
      <c r="K405" s="10" t="s">
        <v>26</v>
      </c>
      <c r="L405" s="10" t="s">
        <v>30</v>
      </c>
      <c r="M405" s="18" t="s">
        <v>28</v>
      </c>
      <c r="N405" s="21"/>
      <c r="O405" s="21"/>
      <c r="P405" s="21"/>
      <c r="Q405" s="29">
        <f t="shared" si="18"/>
        <v>1</v>
      </c>
      <c r="R405" s="30" t="str">
        <f t="shared" si="19"/>
        <v>P37.055</v>
      </c>
    </row>
    <row r="406" spans="1:18">
      <c r="A406" s="17"/>
      <c r="B406" s="17"/>
      <c r="C406" s="17"/>
      <c r="D406" s="10">
        <f t="shared" si="20"/>
        <v>9528</v>
      </c>
      <c r="E406" s="18" t="s">
        <v>34</v>
      </c>
      <c r="F406" s="19"/>
      <c r="G406" s="20" t="s">
        <v>23</v>
      </c>
      <c r="H406" s="20" t="s">
        <v>23</v>
      </c>
      <c r="I406" s="20" t="s">
        <v>35</v>
      </c>
      <c r="J406" s="10" t="s">
        <v>25</v>
      </c>
      <c r="K406" s="10" t="s">
        <v>26</v>
      </c>
      <c r="L406" s="10" t="s">
        <v>30</v>
      </c>
      <c r="M406" s="18" t="s">
        <v>28</v>
      </c>
      <c r="N406" s="21"/>
      <c r="O406" s="21"/>
      <c r="P406" s="21"/>
      <c r="Q406" s="29">
        <f t="shared" si="18"/>
        <v>1</v>
      </c>
      <c r="R406" s="30" t="str">
        <f t="shared" si="19"/>
        <v>P37.056</v>
      </c>
    </row>
    <row r="407" spans="1:18">
      <c r="A407" s="17"/>
      <c r="B407" s="17"/>
      <c r="C407" s="17"/>
      <c r="D407" s="10">
        <f t="shared" si="20"/>
        <v>9529</v>
      </c>
      <c r="E407" s="18" t="s">
        <v>34</v>
      </c>
      <c r="F407" s="19" t="s">
        <v>1014</v>
      </c>
      <c r="G407" s="20" t="s">
        <v>451</v>
      </c>
      <c r="H407" s="20" t="s">
        <v>23</v>
      </c>
      <c r="I407" s="20" t="s">
        <v>88</v>
      </c>
      <c r="J407" s="10" t="s">
        <v>489</v>
      </c>
      <c r="K407" s="10" t="s">
        <v>62</v>
      </c>
      <c r="L407" s="10" t="s">
        <v>27</v>
      </c>
      <c r="M407" s="18" t="s">
        <v>28</v>
      </c>
      <c r="N407" s="10"/>
      <c r="O407" s="21" t="s">
        <v>1015</v>
      </c>
      <c r="P407" s="21"/>
      <c r="Q407" s="29">
        <f t="shared" si="18"/>
        <v>1</v>
      </c>
      <c r="R407" s="30" t="str">
        <f t="shared" si="19"/>
        <v>P37.057</v>
      </c>
    </row>
    <row r="408" spans="1:18">
      <c r="A408" s="17"/>
      <c r="B408" s="17"/>
      <c r="C408" s="17"/>
      <c r="D408" s="10">
        <f t="shared" si="20"/>
        <v>9530</v>
      </c>
      <c r="E408" s="18" t="s">
        <v>34</v>
      </c>
      <c r="F408" s="19"/>
      <c r="G408" s="20" t="s">
        <v>23</v>
      </c>
      <c r="H408" s="20" t="s">
        <v>23</v>
      </c>
      <c r="I408" s="20" t="s">
        <v>35</v>
      </c>
      <c r="J408" s="10" t="s">
        <v>25</v>
      </c>
      <c r="K408" s="10" t="s">
        <v>26</v>
      </c>
      <c r="L408" s="10" t="s">
        <v>30</v>
      </c>
      <c r="M408" s="18" t="s">
        <v>28</v>
      </c>
      <c r="N408" s="21"/>
      <c r="O408" s="21"/>
      <c r="P408" s="21"/>
      <c r="Q408" s="29">
        <f t="shared" si="18"/>
        <v>1</v>
      </c>
      <c r="R408" s="30" t="str">
        <f t="shared" si="19"/>
        <v>P37.058</v>
      </c>
    </row>
    <row r="409" spans="1:18">
      <c r="A409" s="17"/>
      <c r="B409" s="17"/>
      <c r="C409" s="17"/>
      <c r="D409" s="10">
        <f t="shared" si="20"/>
        <v>9531</v>
      </c>
      <c r="E409" s="18" t="s">
        <v>34</v>
      </c>
      <c r="F409" s="19"/>
      <c r="G409" s="20" t="s">
        <v>23</v>
      </c>
      <c r="H409" s="20" t="s">
        <v>23</v>
      </c>
      <c r="I409" s="20" t="s">
        <v>35</v>
      </c>
      <c r="J409" s="10" t="s">
        <v>25</v>
      </c>
      <c r="K409" s="10" t="s">
        <v>26</v>
      </c>
      <c r="L409" s="10" t="s">
        <v>30</v>
      </c>
      <c r="M409" s="18" t="s">
        <v>28</v>
      </c>
      <c r="N409" s="21"/>
      <c r="O409" s="21"/>
      <c r="P409" s="21"/>
      <c r="Q409" s="29">
        <f t="shared" si="18"/>
        <v>1</v>
      </c>
      <c r="R409" s="30" t="str">
        <f t="shared" si="19"/>
        <v>P37.059</v>
      </c>
    </row>
    <row r="410" spans="1:18">
      <c r="A410" s="17"/>
      <c r="B410" s="17"/>
      <c r="C410" s="17"/>
      <c r="D410" s="10">
        <f t="shared" si="20"/>
        <v>9532</v>
      </c>
      <c r="E410" s="18" t="s">
        <v>34</v>
      </c>
      <c r="F410" s="19"/>
      <c r="G410" s="20" t="s">
        <v>23</v>
      </c>
      <c r="H410" s="20" t="s">
        <v>23</v>
      </c>
      <c r="I410" s="20" t="s">
        <v>35</v>
      </c>
      <c r="J410" s="10" t="s">
        <v>25</v>
      </c>
      <c r="K410" s="10" t="s">
        <v>26</v>
      </c>
      <c r="L410" s="10" t="s">
        <v>30</v>
      </c>
      <c r="M410" s="18" t="s">
        <v>28</v>
      </c>
      <c r="N410" s="21"/>
      <c r="O410" s="21"/>
      <c r="P410" s="21"/>
      <c r="Q410" s="29">
        <f t="shared" si="18"/>
        <v>1</v>
      </c>
      <c r="R410" s="30" t="str">
        <f t="shared" si="19"/>
        <v>P37.060</v>
      </c>
    </row>
    <row r="411" spans="1:18">
      <c r="A411" s="17"/>
      <c r="B411" s="17"/>
      <c r="C411" s="17"/>
      <c r="D411" s="10">
        <f t="shared" si="20"/>
        <v>9533</v>
      </c>
      <c r="E411" s="18" t="s">
        <v>34</v>
      </c>
      <c r="F411" s="19"/>
      <c r="G411" s="20" t="s">
        <v>23</v>
      </c>
      <c r="H411" s="20" t="s">
        <v>23</v>
      </c>
      <c r="I411" s="20" t="s">
        <v>35</v>
      </c>
      <c r="J411" s="10" t="s">
        <v>25</v>
      </c>
      <c r="K411" s="10" t="s">
        <v>26</v>
      </c>
      <c r="L411" s="10" t="s">
        <v>30</v>
      </c>
      <c r="M411" s="18" t="s">
        <v>28</v>
      </c>
      <c r="N411" s="21"/>
      <c r="O411" s="21"/>
      <c r="P411" s="21"/>
      <c r="Q411" s="29">
        <f t="shared" si="18"/>
        <v>1</v>
      </c>
      <c r="R411" s="30" t="str">
        <f t="shared" si="19"/>
        <v>P37.061</v>
      </c>
    </row>
    <row r="412" spans="1:18">
      <c r="A412" s="17"/>
      <c r="B412" s="17"/>
      <c r="C412" s="17"/>
      <c r="D412" s="10">
        <f t="shared" si="20"/>
        <v>9534</v>
      </c>
      <c r="E412" s="18" t="s">
        <v>34</v>
      </c>
      <c r="F412" s="19"/>
      <c r="G412" s="20" t="s">
        <v>23</v>
      </c>
      <c r="H412" s="20" t="s">
        <v>23</v>
      </c>
      <c r="I412" s="20" t="s">
        <v>35</v>
      </c>
      <c r="J412" s="10" t="s">
        <v>25</v>
      </c>
      <c r="K412" s="10" t="s">
        <v>26</v>
      </c>
      <c r="L412" s="10" t="s">
        <v>30</v>
      </c>
      <c r="M412" s="18" t="s">
        <v>28</v>
      </c>
      <c r="N412" s="21"/>
      <c r="O412" s="21"/>
      <c r="P412" s="21"/>
      <c r="Q412" s="29">
        <f t="shared" si="18"/>
        <v>1</v>
      </c>
      <c r="R412" s="30" t="str">
        <f t="shared" si="19"/>
        <v>P37.062</v>
      </c>
    </row>
    <row r="413" spans="1:18">
      <c r="A413" s="17"/>
      <c r="B413" s="17"/>
      <c r="C413" s="17"/>
      <c r="D413" s="10">
        <f t="shared" si="20"/>
        <v>9535</v>
      </c>
      <c r="E413" s="18" t="s">
        <v>34</v>
      </c>
      <c r="F413" s="19"/>
      <c r="G413" s="20" t="s">
        <v>23</v>
      </c>
      <c r="H413" s="20" t="s">
        <v>23</v>
      </c>
      <c r="I413" s="20" t="s">
        <v>35</v>
      </c>
      <c r="J413" s="10" t="s">
        <v>25</v>
      </c>
      <c r="K413" s="10" t="s">
        <v>26</v>
      </c>
      <c r="L413" s="10" t="s">
        <v>30</v>
      </c>
      <c r="M413" s="18" t="s">
        <v>28</v>
      </c>
      <c r="N413" s="21"/>
      <c r="O413" s="21"/>
      <c r="P413" s="21"/>
      <c r="Q413" s="29">
        <f t="shared" si="18"/>
        <v>1</v>
      </c>
      <c r="R413" s="30" t="str">
        <f t="shared" si="19"/>
        <v>P37.063</v>
      </c>
    </row>
    <row r="414" spans="1:18">
      <c r="A414" s="17"/>
      <c r="B414" s="17"/>
      <c r="C414" s="17"/>
      <c r="D414" s="10">
        <f t="shared" si="20"/>
        <v>9536</v>
      </c>
      <c r="E414" s="18" t="s">
        <v>34</v>
      </c>
      <c r="F414" s="19"/>
      <c r="G414" s="20" t="s">
        <v>23</v>
      </c>
      <c r="H414" s="20" t="s">
        <v>23</v>
      </c>
      <c r="I414" s="20" t="s">
        <v>35</v>
      </c>
      <c r="J414" s="10" t="s">
        <v>25</v>
      </c>
      <c r="K414" s="10" t="s">
        <v>26</v>
      </c>
      <c r="L414" s="10" t="s">
        <v>30</v>
      </c>
      <c r="M414" s="18" t="s">
        <v>28</v>
      </c>
      <c r="N414" s="21"/>
      <c r="O414" s="21"/>
      <c r="P414" s="21"/>
      <c r="Q414" s="29">
        <f t="shared" si="18"/>
        <v>1</v>
      </c>
      <c r="R414" s="30" t="str">
        <f t="shared" si="19"/>
        <v>P37.064</v>
      </c>
    </row>
    <row r="415" spans="1:18">
      <c r="A415" s="17"/>
      <c r="B415" s="17"/>
      <c r="C415" s="17"/>
      <c r="D415" s="10">
        <f t="shared" si="20"/>
        <v>9537</v>
      </c>
      <c r="E415" s="18" t="s">
        <v>34</v>
      </c>
      <c r="F415" s="19"/>
      <c r="G415" s="20" t="s">
        <v>23</v>
      </c>
      <c r="H415" s="20" t="s">
        <v>23</v>
      </c>
      <c r="I415" s="20" t="s">
        <v>35</v>
      </c>
      <c r="J415" s="10" t="s">
        <v>25</v>
      </c>
      <c r="K415" s="10" t="s">
        <v>26</v>
      </c>
      <c r="L415" s="10" t="s">
        <v>30</v>
      </c>
      <c r="M415" s="18" t="s">
        <v>28</v>
      </c>
      <c r="N415" s="21"/>
      <c r="O415" s="21"/>
      <c r="P415" s="21"/>
      <c r="Q415" s="29">
        <f t="shared" si="18"/>
        <v>1</v>
      </c>
      <c r="R415" s="30" t="str">
        <f t="shared" si="19"/>
        <v>P37.065</v>
      </c>
    </row>
    <row r="416" spans="1:18">
      <c r="A416" s="17"/>
      <c r="B416" s="17"/>
      <c r="C416" s="17"/>
      <c r="D416" s="10">
        <f t="shared" si="20"/>
        <v>9538</v>
      </c>
      <c r="E416" s="18" t="s">
        <v>34</v>
      </c>
      <c r="F416" s="19"/>
      <c r="G416" s="20" t="s">
        <v>23</v>
      </c>
      <c r="H416" s="20" t="s">
        <v>23</v>
      </c>
      <c r="I416" s="20" t="s">
        <v>35</v>
      </c>
      <c r="J416" s="10" t="s">
        <v>25</v>
      </c>
      <c r="K416" s="10" t="s">
        <v>26</v>
      </c>
      <c r="L416" s="10" t="s">
        <v>30</v>
      </c>
      <c r="M416" s="18" t="s">
        <v>28</v>
      </c>
      <c r="N416" s="21"/>
      <c r="O416" s="21"/>
      <c r="P416" s="21"/>
      <c r="Q416" s="29">
        <f t="shared" si="18"/>
        <v>1</v>
      </c>
      <c r="R416" s="30" t="str">
        <f t="shared" si="19"/>
        <v>P37.066</v>
      </c>
    </row>
    <row r="417" spans="1:18">
      <c r="A417" s="17"/>
      <c r="B417" s="17"/>
      <c r="C417" s="17"/>
      <c r="D417" s="10">
        <f t="shared" si="20"/>
        <v>9539</v>
      </c>
      <c r="E417" s="18" t="s">
        <v>34</v>
      </c>
      <c r="F417" s="19"/>
      <c r="G417" s="20" t="s">
        <v>23</v>
      </c>
      <c r="H417" s="20" t="s">
        <v>23</v>
      </c>
      <c r="I417" s="20" t="s">
        <v>35</v>
      </c>
      <c r="J417" s="10" t="s">
        <v>25</v>
      </c>
      <c r="K417" s="10" t="s">
        <v>26</v>
      </c>
      <c r="L417" s="10" t="s">
        <v>30</v>
      </c>
      <c r="M417" s="18" t="s">
        <v>28</v>
      </c>
      <c r="N417" s="21"/>
      <c r="O417" s="21"/>
      <c r="P417" s="21"/>
      <c r="Q417" s="29">
        <f t="shared" si="18"/>
        <v>1</v>
      </c>
      <c r="R417" s="30" t="str">
        <f t="shared" si="19"/>
        <v>P37.067</v>
      </c>
    </row>
    <row r="418" spans="1:18">
      <c r="A418" s="17"/>
      <c r="B418" s="17"/>
      <c r="C418" s="17"/>
      <c r="D418" s="10">
        <f t="shared" si="20"/>
        <v>9540</v>
      </c>
      <c r="E418" s="18" t="s">
        <v>34</v>
      </c>
      <c r="F418" s="19"/>
      <c r="G418" s="20" t="s">
        <v>23</v>
      </c>
      <c r="H418" s="20" t="s">
        <v>23</v>
      </c>
      <c r="I418" s="20" t="s">
        <v>35</v>
      </c>
      <c r="J418" s="10" t="s">
        <v>25</v>
      </c>
      <c r="K418" s="10" t="s">
        <v>26</v>
      </c>
      <c r="L418" s="10" t="s">
        <v>30</v>
      </c>
      <c r="M418" s="18" t="s">
        <v>28</v>
      </c>
      <c r="N418" s="21"/>
      <c r="O418" s="21"/>
      <c r="P418" s="21"/>
      <c r="Q418" s="29">
        <f t="shared" si="18"/>
        <v>1</v>
      </c>
      <c r="R418" s="30" t="str">
        <f t="shared" si="19"/>
        <v>P37.068</v>
      </c>
    </row>
    <row r="419" spans="1:18">
      <c r="A419" s="17"/>
      <c r="B419" s="17"/>
      <c r="C419" s="17"/>
      <c r="D419" s="10">
        <f t="shared" si="20"/>
        <v>9541</v>
      </c>
      <c r="E419" s="18" t="s">
        <v>34</v>
      </c>
      <c r="F419" s="19"/>
      <c r="G419" s="20" t="s">
        <v>23</v>
      </c>
      <c r="H419" s="20" t="s">
        <v>23</v>
      </c>
      <c r="I419" s="20" t="s">
        <v>35</v>
      </c>
      <c r="J419" s="10" t="s">
        <v>25</v>
      </c>
      <c r="K419" s="10" t="s">
        <v>26</v>
      </c>
      <c r="L419" s="10" t="s">
        <v>30</v>
      </c>
      <c r="M419" s="18" t="s">
        <v>28</v>
      </c>
      <c r="N419" s="21"/>
      <c r="O419" s="21"/>
      <c r="P419" s="21"/>
      <c r="Q419" s="29">
        <f t="shared" si="18"/>
        <v>1</v>
      </c>
      <c r="R419" s="30" t="str">
        <f t="shared" si="19"/>
        <v>P37.069</v>
      </c>
    </row>
    <row r="420" spans="1:18">
      <c r="A420" s="17"/>
      <c r="B420" s="17"/>
      <c r="C420" s="17"/>
      <c r="D420" s="10">
        <f t="shared" si="20"/>
        <v>9542</v>
      </c>
      <c r="E420" s="18" t="s">
        <v>34</v>
      </c>
      <c r="F420" s="19"/>
      <c r="G420" s="20" t="s">
        <v>23</v>
      </c>
      <c r="H420" s="20" t="s">
        <v>23</v>
      </c>
      <c r="I420" s="20" t="s">
        <v>35</v>
      </c>
      <c r="J420" s="10" t="s">
        <v>25</v>
      </c>
      <c r="K420" s="10" t="s">
        <v>26</v>
      </c>
      <c r="L420" s="10" t="s">
        <v>30</v>
      </c>
      <c r="M420" s="18" t="s">
        <v>28</v>
      </c>
      <c r="N420" s="21"/>
      <c r="O420" s="21"/>
      <c r="P420" s="21"/>
      <c r="Q420" s="29">
        <f t="shared" si="18"/>
        <v>1</v>
      </c>
      <c r="R420" s="30" t="str">
        <f t="shared" si="19"/>
        <v>P37.070</v>
      </c>
    </row>
    <row r="421" spans="1:18">
      <c r="A421" s="17"/>
      <c r="B421" s="17"/>
      <c r="C421" s="17"/>
      <c r="D421" s="10">
        <f t="shared" si="20"/>
        <v>9543</v>
      </c>
      <c r="E421" s="18" t="s">
        <v>34</v>
      </c>
      <c r="F421" s="19"/>
      <c r="G421" s="20" t="s">
        <v>23</v>
      </c>
      <c r="H421" s="20" t="s">
        <v>23</v>
      </c>
      <c r="I421" s="20" t="s">
        <v>35</v>
      </c>
      <c r="J421" s="10" t="s">
        <v>25</v>
      </c>
      <c r="K421" s="10" t="s">
        <v>26</v>
      </c>
      <c r="L421" s="10" t="s">
        <v>30</v>
      </c>
      <c r="M421" s="18" t="s">
        <v>28</v>
      </c>
      <c r="N421" s="21"/>
      <c r="O421" s="21"/>
      <c r="P421" s="21"/>
      <c r="Q421" s="29">
        <f t="shared" si="18"/>
        <v>1</v>
      </c>
      <c r="R421" s="30" t="str">
        <f t="shared" si="19"/>
        <v>P37.071</v>
      </c>
    </row>
    <row r="422" spans="1:18">
      <c r="A422" s="17"/>
      <c r="B422" s="17"/>
      <c r="C422" s="17"/>
      <c r="D422" s="10">
        <f t="shared" si="20"/>
        <v>9544</v>
      </c>
      <c r="E422" s="18" t="s">
        <v>34</v>
      </c>
      <c r="F422" s="19"/>
      <c r="G422" s="20" t="s">
        <v>23</v>
      </c>
      <c r="H422" s="20" t="s">
        <v>23</v>
      </c>
      <c r="I422" s="20" t="s">
        <v>35</v>
      </c>
      <c r="J422" s="10" t="s">
        <v>25</v>
      </c>
      <c r="K422" s="10" t="s">
        <v>26</v>
      </c>
      <c r="L422" s="10" t="s">
        <v>30</v>
      </c>
      <c r="M422" s="18" t="s">
        <v>28</v>
      </c>
      <c r="N422" s="21"/>
      <c r="O422" s="21"/>
      <c r="P422" s="21"/>
      <c r="Q422" s="29">
        <f t="shared" si="18"/>
        <v>1</v>
      </c>
      <c r="R422" s="30" t="str">
        <f t="shared" si="19"/>
        <v>P37.072</v>
      </c>
    </row>
    <row r="423" spans="1:18">
      <c r="A423" s="17"/>
      <c r="B423" s="17"/>
      <c r="C423" s="17"/>
      <c r="D423" s="10">
        <f t="shared" si="20"/>
        <v>9545</v>
      </c>
      <c r="E423" s="18" t="s">
        <v>34</v>
      </c>
      <c r="F423" s="19"/>
      <c r="G423" s="20" t="s">
        <v>23</v>
      </c>
      <c r="H423" s="20" t="s">
        <v>23</v>
      </c>
      <c r="I423" s="20" t="s">
        <v>35</v>
      </c>
      <c r="J423" s="10" t="s">
        <v>25</v>
      </c>
      <c r="K423" s="10" t="s">
        <v>26</v>
      </c>
      <c r="L423" s="10" t="s">
        <v>30</v>
      </c>
      <c r="M423" s="18" t="s">
        <v>28</v>
      </c>
      <c r="N423" s="21"/>
      <c r="O423" s="21"/>
      <c r="P423" s="21"/>
      <c r="Q423" s="29">
        <f t="shared" si="18"/>
        <v>1</v>
      </c>
      <c r="R423" s="30" t="str">
        <f t="shared" si="19"/>
        <v>P37.073</v>
      </c>
    </row>
    <row r="424" spans="1:18">
      <c r="A424" s="17"/>
      <c r="B424" s="17"/>
      <c r="C424" s="17"/>
      <c r="D424" s="10">
        <f t="shared" si="20"/>
        <v>9546</v>
      </c>
      <c r="E424" s="18" t="s">
        <v>34</v>
      </c>
      <c r="F424" s="19"/>
      <c r="G424" s="20" t="s">
        <v>23</v>
      </c>
      <c r="H424" s="20" t="s">
        <v>23</v>
      </c>
      <c r="I424" s="20" t="s">
        <v>35</v>
      </c>
      <c r="J424" s="10" t="s">
        <v>25</v>
      </c>
      <c r="K424" s="10" t="s">
        <v>26</v>
      </c>
      <c r="L424" s="10" t="s">
        <v>30</v>
      </c>
      <c r="M424" s="18" t="s">
        <v>28</v>
      </c>
      <c r="N424" s="21"/>
      <c r="O424" s="21"/>
      <c r="P424" s="21"/>
      <c r="Q424" s="29">
        <f t="shared" si="18"/>
        <v>1</v>
      </c>
      <c r="R424" s="30" t="str">
        <f t="shared" si="19"/>
        <v>P37.074</v>
      </c>
    </row>
    <row r="425" spans="1:18">
      <c r="A425" s="17"/>
      <c r="B425" s="17"/>
      <c r="C425" s="17"/>
      <c r="D425" s="10">
        <f t="shared" si="20"/>
        <v>9547</v>
      </c>
      <c r="E425" s="18" t="s">
        <v>34</v>
      </c>
      <c r="F425" s="19"/>
      <c r="G425" s="20" t="s">
        <v>23</v>
      </c>
      <c r="H425" s="20" t="s">
        <v>23</v>
      </c>
      <c r="I425" s="20" t="s">
        <v>35</v>
      </c>
      <c r="J425" s="10" t="s">
        <v>25</v>
      </c>
      <c r="K425" s="10" t="s">
        <v>26</v>
      </c>
      <c r="L425" s="10" t="s">
        <v>30</v>
      </c>
      <c r="M425" s="18" t="s">
        <v>28</v>
      </c>
      <c r="N425" s="21"/>
      <c r="O425" s="21"/>
      <c r="P425" s="21"/>
      <c r="Q425" s="29">
        <f t="shared" si="18"/>
        <v>1</v>
      </c>
      <c r="R425" s="30" t="str">
        <f t="shared" si="19"/>
        <v>P37.075</v>
      </c>
    </row>
    <row r="426" spans="1:18">
      <c r="A426" s="31"/>
      <c r="B426" s="31"/>
      <c r="C426" s="31"/>
      <c r="D426" s="10">
        <f t="shared" si="20"/>
        <v>9548</v>
      </c>
      <c r="E426" s="18" t="s">
        <v>34</v>
      </c>
      <c r="F426" s="19"/>
      <c r="G426" s="20" t="s">
        <v>23</v>
      </c>
      <c r="H426" s="20" t="s">
        <v>23</v>
      </c>
      <c r="I426" s="20" t="s">
        <v>35</v>
      </c>
      <c r="J426" s="10" t="s">
        <v>25</v>
      </c>
      <c r="K426" s="10" t="s">
        <v>26</v>
      </c>
      <c r="L426" s="10" t="s">
        <v>30</v>
      </c>
      <c r="M426" s="18" t="s">
        <v>28</v>
      </c>
      <c r="N426" s="21"/>
      <c r="O426" s="21"/>
      <c r="P426" s="21"/>
      <c r="Q426" s="29">
        <f t="shared" si="18"/>
        <v>1</v>
      </c>
      <c r="R426" s="30" t="str">
        <f t="shared" si="19"/>
        <v>P37.076</v>
      </c>
    </row>
    <row r="427" ht="52.8" spans="1:18">
      <c r="A427" s="32">
        <v>7</v>
      </c>
      <c r="B427" s="17" t="s">
        <v>1016</v>
      </c>
      <c r="C427" s="17" t="s">
        <v>1017</v>
      </c>
      <c r="D427" s="10">
        <f t="shared" si="20"/>
        <v>9549</v>
      </c>
      <c r="E427" s="18" t="s">
        <v>34</v>
      </c>
      <c r="F427" s="19" t="s">
        <v>1018</v>
      </c>
      <c r="G427" s="20" t="s">
        <v>23</v>
      </c>
      <c r="H427" s="20" t="s">
        <v>23</v>
      </c>
      <c r="I427" s="20" t="s">
        <v>45</v>
      </c>
      <c r="J427" s="10" t="s">
        <v>25</v>
      </c>
      <c r="K427" s="10" t="s">
        <v>68</v>
      </c>
      <c r="L427" s="10" t="s">
        <v>27</v>
      </c>
      <c r="M427" s="18" t="s">
        <v>28</v>
      </c>
      <c r="N427" s="21"/>
      <c r="O427" s="21" t="s">
        <v>1019</v>
      </c>
      <c r="P427" s="24" t="s">
        <v>1020</v>
      </c>
      <c r="Q427" s="29">
        <f t="shared" si="18"/>
        <v>0</v>
      </c>
      <c r="R427" s="30" t="str">
        <f t="shared" si="19"/>
        <v>P37.077</v>
      </c>
    </row>
    <row r="428" spans="1:18">
      <c r="A428" s="17"/>
      <c r="B428" s="17"/>
      <c r="C428" s="17"/>
      <c r="D428" s="10">
        <f t="shared" si="20"/>
        <v>9550</v>
      </c>
      <c r="E428" s="18" t="s">
        <v>91</v>
      </c>
      <c r="F428" s="19" t="s">
        <v>1021</v>
      </c>
      <c r="G428" s="20" t="s">
        <v>23</v>
      </c>
      <c r="H428" s="20" t="s">
        <v>630</v>
      </c>
      <c r="I428" s="20" t="s">
        <v>631</v>
      </c>
      <c r="J428" s="10" t="s">
        <v>89</v>
      </c>
      <c r="K428" s="10" t="s">
        <v>62</v>
      </c>
      <c r="L428" s="10" t="s">
        <v>27</v>
      </c>
      <c r="M428" s="18" t="s">
        <v>28</v>
      </c>
      <c r="N428" s="21"/>
      <c r="O428" s="21" t="s">
        <v>1022</v>
      </c>
      <c r="P428" s="21"/>
      <c r="Q428" s="29">
        <f t="shared" si="18"/>
        <v>1</v>
      </c>
      <c r="R428" s="30" t="str">
        <f t="shared" si="19"/>
        <v>P37.078</v>
      </c>
    </row>
    <row r="429" spans="1:18">
      <c r="A429" s="17"/>
      <c r="B429" s="17"/>
      <c r="C429" s="17"/>
      <c r="D429" s="10">
        <f t="shared" si="20"/>
        <v>9551</v>
      </c>
      <c r="E429" s="18" t="s">
        <v>91</v>
      </c>
      <c r="F429" s="19" t="s">
        <v>1023</v>
      </c>
      <c r="G429" s="20" t="s">
        <v>23</v>
      </c>
      <c r="H429" s="20" t="s">
        <v>630</v>
      </c>
      <c r="I429" s="20" t="s">
        <v>631</v>
      </c>
      <c r="J429" s="10" t="s">
        <v>89</v>
      </c>
      <c r="K429" s="10" t="s">
        <v>62</v>
      </c>
      <c r="L429" s="10" t="s">
        <v>27</v>
      </c>
      <c r="M429" s="18" t="s">
        <v>28</v>
      </c>
      <c r="N429" s="21"/>
      <c r="O429" s="21" t="s">
        <v>1024</v>
      </c>
      <c r="P429" s="21"/>
      <c r="Q429" s="29">
        <f t="shared" si="18"/>
        <v>1</v>
      </c>
      <c r="R429" s="30" t="str">
        <f t="shared" si="19"/>
        <v>P37.079</v>
      </c>
    </row>
    <row r="430" spans="1:18">
      <c r="A430" s="17"/>
      <c r="B430" s="17"/>
      <c r="C430" s="17"/>
      <c r="D430" s="10">
        <f t="shared" si="20"/>
        <v>9552</v>
      </c>
      <c r="E430" s="18" t="s">
        <v>34</v>
      </c>
      <c r="F430" s="19" t="s">
        <v>1025</v>
      </c>
      <c r="G430" s="20" t="s">
        <v>147</v>
      </c>
      <c r="H430" s="20" t="s">
        <v>171</v>
      </c>
      <c r="I430" s="20" t="s">
        <v>35</v>
      </c>
      <c r="J430" s="10" t="s">
        <v>25</v>
      </c>
      <c r="K430" s="10" t="s">
        <v>68</v>
      </c>
      <c r="L430" s="10" t="s">
        <v>27</v>
      </c>
      <c r="M430" s="18" t="s">
        <v>28</v>
      </c>
      <c r="N430" s="21"/>
      <c r="O430" s="21" t="s">
        <v>1026</v>
      </c>
      <c r="P430" s="21"/>
      <c r="Q430" s="29">
        <f t="shared" si="18"/>
        <v>1</v>
      </c>
      <c r="R430" s="30" t="str">
        <f t="shared" si="19"/>
        <v>P37.080</v>
      </c>
    </row>
    <row r="431" spans="1:18">
      <c r="A431" s="17"/>
      <c r="B431" s="17"/>
      <c r="C431" s="17"/>
      <c r="D431" s="10">
        <f t="shared" si="20"/>
        <v>9553</v>
      </c>
      <c r="E431" s="18" t="s">
        <v>34</v>
      </c>
      <c r="F431" s="19" t="s">
        <v>1027</v>
      </c>
      <c r="G431" s="20" t="s">
        <v>675</v>
      </c>
      <c r="H431" s="20" t="s">
        <v>23</v>
      </c>
      <c r="I431" s="20" t="s">
        <v>631</v>
      </c>
      <c r="J431" s="10" t="s">
        <v>89</v>
      </c>
      <c r="K431" s="10" t="s">
        <v>62</v>
      </c>
      <c r="L431" s="10" t="s">
        <v>27</v>
      </c>
      <c r="M431" s="18" t="s">
        <v>28</v>
      </c>
      <c r="N431" s="21"/>
      <c r="O431" s="21" t="s">
        <v>1028</v>
      </c>
      <c r="P431" s="21"/>
      <c r="Q431" s="29">
        <f t="shared" si="18"/>
        <v>1</v>
      </c>
      <c r="R431" s="30" t="str">
        <f t="shared" si="19"/>
        <v>P37.081</v>
      </c>
    </row>
    <row r="432" ht="52.8" spans="1:18">
      <c r="A432" s="17"/>
      <c r="B432" s="17"/>
      <c r="C432" s="17"/>
      <c r="D432" s="10">
        <f t="shared" si="20"/>
        <v>9554</v>
      </c>
      <c r="E432" s="18" t="s">
        <v>34</v>
      </c>
      <c r="F432" s="19" t="s">
        <v>1029</v>
      </c>
      <c r="G432" s="20" t="s">
        <v>23</v>
      </c>
      <c r="H432" s="20" t="s">
        <v>23</v>
      </c>
      <c r="I432" s="20" t="s">
        <v>45</v>
      </c>
      <c r="J432" s="10" t="s">
        <v>25</v>
      </c>
      <c r="K432" s="10" t="s">
        <v>62</v>
      </c>
      <c r="L432" s="10" t="s">
        <v>27</v>
      </c>
      <c r="M432" s="18" t="s">
        <v>28</v>
      </c>
      <c r="N432" s="21"/>
      <c r="O432" s="21" t="s">
        <v>1030</v>
      </c>
      <c r="P432" s="24" t="s">
        <v>1031</v>
      </c>
      <c r="Q432" s="29">
        <f t="shared" si="18"/>
        <v>0</v>
      </c>
      <c r="R432" s="30" t="str">
        <f t="shared" si="19"/>
        <v>P37.082</v>
      </c>
    </row>
    <row r="433" spans="1:18">
      <c r="A433" s="17"/>
      <c r="B433" s="17"/>
      <c r="C433" s="17"/>
      <c r="D433" s="10">
        <f t="shared" si="20"/>
        <v>9555</v>
      </c>
      <c r="E433" s="18" t="s">
        <v>34</v>
      </c>
      <c r="F433" s="19" t="s">
        <v>1032</v>
      </c>
      <c r="G433" s="20" t="s">
        <v>675</v>
      </c>
      <c r="H433" s="20" t="s">
        <v>23</v>
      </c>
      <c r="I433" s="20" t="s">
        <v>147</v>
      </c>
      <c r="J433" s="10" t="s">
        <v>89</v>
      </c>
      <c r="K433" s="10" t="s">
        <v>62</v>
      </c>
      <c r="L433" s="10" t="s">
        <v>27</v>
      </c>
      <c r="M433" s="18" t="s">
        <v>28</v>
      </c>
      <c r="N433" s="21"/>
      <c r="O433" s="21" t="s">
        <v>1033</v>
      </c>
      <c r="P433" s="21"/>
      <c r="Q433" s="29">
        <f t="shared" si="18"/>
        <v>1</v>
      </c>
      <c r="R433" s="30" t="str">
        <f t="shared" si="19"/>
        <v>P37.083</v>
      </c>
    </row>
    <row r="434" spans="1:18">
      <c r="A434" s="17"/>
      <c r="B434" s="17"/>
      <c r="C434" s="17"/>
      <c r="D434" s="10">
        <f t="shared" si="20"/>
        <v>9556</v>
      </c>
      <c r="E434" s="18" t="s">
        <v>34</v>
      </c>
      <c r="F434" s="19" t="s">
        <v>1034</v>
      </c>
      <c r="G434" s="20" t="s">
        <v>675</v>
      </c>
      <c r="H434" s="20" t="s">
        <v>23</v>
      </c>
      <c r="I434" s="20" t="s">
        <v>147</v>
      </c>
      <c r="J434" s="10" t="s">
        <v>89</v>
      </c>
      <c r="K434" s="10" t="s">
        <v>62</v>
      </c>
      <c r="L434" s="10" t="s">
        <v>27</v>
      </c>
      <c r="M434" s="18" t="s">
        <v>28</v>
      </c>
      <c r="N434" s="21"/>
      <c r="O434" s="21" t="s">
        <v>1035</v>
      </c>
      <c r="P434" s="21"/>
      <c r="Q434" s="29">
        <f t="shared" si="18"/>
        <v>1</v>
      </c>
      <c r="R434" s="30" t="str">
        <f t="shared" si="19"/>
        <v>P37.084</v>
      </c>
    </row>
    <row r="435" ht="39.6" spans="1:18">
      <c r="A435" s="17"/>
      <c r="B435" s="17"/>
      <c r="C435" s="17"/>
      <c r="D435" s="10">
        <f t="shared" si="20"/>
        <v>9557</v>
      </c>
      <c r="E435" s="18" t="s">
        <v>34</v>
      </c>
      <c r="F435" s="19" t="s">
        <v>1036</v>
      </c>
      <c r="G435" s="20" t="s">
        <v>23</v>
      </c>
      <c r="H435" s="20" t="s">
        <v>23</v>
      </c>
      <c r="I435" s="20" t="s">
        <v>42</v>
      </c>
      <c r="J435" s="10" t="s">
        <v>25</v>
      </c>
      <c r="K435" s="10" t="s">
        <v>26</v>
      </c>
      <c r="L435" s="10" t="s">
        <v>30</v>
      </c>
      <c r="M435" s="18" t="s">
        <v>28</v>
      </c>
      <c r="N435" s="21"/>
      <c r="O435" s="21" t="s">
        <v>1037</v>
      </c>
      <c r="P435" s="24" t="s">
        <v>1038</v>
      </c>
      <c r="Q435" s="29">
        <f t="shared" si="18"/>
        <v>0</v>
      </c>
      <c r="R435" s="30" t="str">
        <f t="shared" si="19"/>
        <v>P37.085</v>
      </c>
    </row>
    <row r="436" ht="26.4" spans="1:18">
      <c r="A436" s="17"/>
      <c r="B436" s="17"/>
      <c r="C436" s="17"/>
      <c r="D436" s="10">
        <f t="shared" si="20"/>
        <v>9558</v>
      </c>
      <c r="E436" s="18" t="s">
        <v>34</v>
      </c>
      <c r="F436" s="19" t="s">
        <v>1039</v>
      </c>
      <c r="G436" s="20" t="s">
        <v>23</v>
      </c>
      <c r="H436" s="20" t="s">
        <v>23</v>
      </c>
      <c r="I436" s="20" t="s">
        <v>39</v>
      </c>
      <c r="J436" s="10" t="s">
        <v>25</v>
      </c>
      <c r="K436" s="10" t="s">
        <v>26</v>
      </c>
      <c r="L436" s="10" t="s">
        <v>30</v>
      </c>
      <c r="M436" s="18" t="s">
        <v>28</v>
      </c>
      <c r="N436" s="21"/>
      <c r="O436" s="21" t="s">
        <v>1040</v>
      </c>
      <c r="P436" s="24" t="s">
        <v>1041</v>
      </c>
      <c r="Q436" s="29">
        <f t="shared" si="18"/>
        <v>0</v>
      </c>
      <c r="R436" s="30" t="str">
        <f t="shared" si="19"/>
        <v>P37.086</v>
      </c>
    </row>
    <row r="437" ht="26.4" spans="1:18">
      <c r="A437" s="17"/>
      <c r="B437" s="17"/>
      <c r="C437" s="17"/>
      <c r="D437" s="10">
        <f t="shared" si="20"/>
        <v>9559</v>
      </c>
      <c r="E437" s="18" t="s">
        <v>34</v>
      </c>
      <c r="F437" s="19" t="s">
        <v>1042</v>
      </c>
      <c r="G437" s="20" t="s">
        <v>23</v>
      </c>
      <c r="H437" s="20" t="s">
        <v>23</v>
      </c>
      <c r="I437" s="20" t="s">
        <v>39</v>
      </c>
      <c r="J437" s="10" t="s">
        <v>25</v>
      </c>
      <c r="K437" s="10" t="s">
        <v>26</v>
      </c>
      <c r="L437" s="10" t="s">
        <v>30</v>
      </c>
      <c r="M437" s="18" t="s">
        <v>28</v>
      </c>
      <c r="N437" s="21"/>
      <c r="O437" s="21" t="s">
        <v>1043</v>
      </c>
      <c r="P437" s="24" t="s">
        <v>1044</v>
      </c>
      <c r="Q437" s="29">
        <f t="shared" si="18"/>
        <v>0</v>
      </c>
      <c r="R437" s="30" t="str">
        <f t="shared" si="19"/>
        <v>P37.087</v>
      </c>
    </row>
    <row r="438" spans="1:18">
      <c r="A438" s="17"/>
      <c r="B438" s="17"/>
      <c r="C438" s="17"/>
      <c r="D438" s="10">
        <f t="shared" si="20"/>
        <v>9560</v>
      </c>
      <c r="E438" s="18" t="s">
        <v>34</v>
      </c>
      <c r="F438" s="19"/>
      <c r="G438" s="20" t="s">
        <v>23</v>
      </c>
      <c r="H438" s="20" t="s">
        <v>23</v>
      </c>
      <c r="I438" s="20" t="s">
        <v>35</v>
      </c>
      <c r="J438" s="10" t="s">
        <v>25</v>
      </c>
      <c r="K438" s="10" t="s">
        <v>26</v>
      </c>
      <c r="L438" s="10" t="s">
        <v>30</v>
      </c>
      <c r="M438" s="18" t="s">
        <v>28</v>
      </c>
      <c r="N438" s="21"/>
      <c r="O438" s="21"/>
      <c r="P438" s="21"/>
      <c r="Q438" s="29">
        <f t="shared" si="18"/>
        <v>1</v>
      </c>
      <c r="R438" s="30" t="str">
        <f t="shared" si="19"/>
        <v>P37.088</v>
      </c>
    </row>
    <row r="439" spans="1:18">
      <c r="A439" s="17"/>
      <c r="B439" s="17"/>
      <c r="C439" s="17"/>
      <c r="D439" s="10">
        <f t="shared" si="20"/>
        <v>9561</v>
      </c>
      <c r="E439" s="18" t="s">
        <v>34</v>
      </c>
      <c r="F439" s="19" t="s">
        <v>1045</v>
      </c>
      <c r="G439" s="20" t="s">
        <v>451</v>
      </c>
      <c r="H439" s="20" t="s">
        <v>23</v>
      </c>
      <c r="I439" s="20" t="s">
        <v>631</v>
      </c>
      <c r="J439" s="10" t="s">
        <v>89</v>
      </c>
      <c r="K439" s="10" t="s">
        <v>62</v>
      </c>
      <c r="L439" s="10" t="s">
        <v>27</v>
      </c>
      <c r="M439" s="18" t="s">
        <v>28</v>
      </c>
      <c r="N439" s="21"/>
      <c r="O439" s="21" t="s">
        <v>1046</v>
      </c>
      <c r="P439" s="21" t="s">
        <v>1047</v>
      </c>
      <c r="Q439" s="29">
        <f t="shared" si="18"/>
        <v>1</v>
      </c>
      <c r="R439" s="30" t="str">
        <f t="shared" si="19"/>
        <v>P37.089</v>
      </c>
    </row>
    <row r="440" spans="1:18">
      <c r="A440" s="17"/>
      <c r="B440" s="17"/>
      <c r="C440" s="17"/>
      <c r="D440" s="10">
        <f t="shared" si="20"/>
        <v>9562</v>
      </c>
      <c r="E440" s="18" t="s">
        <v>34</v>
      </c>
      <c r="F440" s="19"/>
      <c r="G440" s="20" t="s">
        <v>23</v>
      </c>
      <c r="H440" s="20" t="s">
        <v>23</v>
      </c>
      <c r="I440" s="20" t="s">
        <v>35</v>
      </c>
      <c r="J440" s="10" t="s">
        <v>25</v>
      </c>
      <c r="K440" s="10" t="s">
        <v>26</v>
      </c>
      <c r="L440" s="10" t="s">
        <v>30</v>
      </c>
      <c r="M440" s="18" t="s">
        <v>28</v>
      </c>
      <c r="N440" s="21"/>
      <c r="O440" s="21"/>
      <c r="P440" s="21"/>
      <c r="Q440" s="29">
        <f t="shared" si="18"/>
        <v>1</v>
      </c>
      <c r="R440" s="30" t="str">
        <f t="shared" si="19"/>
        <v>P37.090</v>
      </c>
    </row>
    <row r="441" spans="1:18">
      <c r="A441" s="17"/>
      <c r="B441" s="17"/>
      <c r="C441" s="17"/>
      <c r="D441" s="10">
        <f t="shared" si="20"/>
        <v>9563</v>
      </c>
      <c r="E441" s="18" t="s">
        <v>34</v>
      </c>
      <c r="F441" s="19"/>
      <c r="G441" s="20" t="s">
        <v>23</v>
      </c>
      <c r="H441" s="20" t="s">
        <v>23</v>
      </c>
      <c r="I441" s="20" t="s">
        <v>35</v>
      </c>
      <c r="J441" s="10" t="s">
        <v>25</v>
      </c>
      <c r="K441" s="10" t="s">
        <v>26</v>
      </c>
      <c r="L441" s="10" t="s">
        <v>30</v>
      </c>
      <c r="M441" s="18" t="s">
        <v>28</v>
      </c>
      <c r="N441" s="21"/>
      <c r="O441" s="21"/>
      <c r="P441" s="21"/>
      <c r="Q441" s="29">
        <f t="shared" si="18"/>
        <v>1</v>
      </c>
      <c r="R441" s="30" t="str">
        <f t="shared" si="19"/>
        <v>P37.091</v>
      </c>
    </row>
    <row r="442" spans="1:18">
      <c r="A442" s="17"/>
      <c r="B442" s="17"/>
      <c r="C442" s="17"/>
      <c r="D442" s="10">
        <f t="shared" si="20"/>
        <v>9564</v>
      </c>
      <c r="E442" s="18" t="s">
        <v>34</v>
      </c>
      <c r="F442" s="19"/>
      <c r="G442" s="20" t="s">
        <v>23</v>
      </c>
      <c r="H442" s="20" t="s">
        <v>23</v>
      </c>
      <c r="I442" s="20" t="s">
        <v>35</v>
      </c>
      <c r="J442" s="10" t="s">
        <v>25</v>
      </c>
      <c r="K442" s="10" t="s">
        <v>26</v>
      </c>
      <c r="L442" s="10" t="s">
        <v>30</v>
      </c>
      <c r="M442" s="18" t="s">
        <v>28</v>
      </c>
      <c r="N442" s="21"/>
      <c r="O442" s="21"/>
      <c r="P442" s="21"/>
      <c r="Q442" s="29">
        <f t="shared" si="18"/>
        <v>1</v>
      </c>
      <c r="R442" s="30" t="str">
        <f t="shared" si="19"/>
        <v>P37.092</v>
      </c>
    </row>
    <row r="443" spans="1:18">
      <c r="A443" s="17"/>
      <c r="B443" s="17"/>
      <c r="C443" s="17"/>
      <c r="D443" s="10">
        <f t="shared" si="20"/>
        <v>9565</v>
      </c>
      <c r="E443" s="18" t="s">
        <v>34</v>
      </c>
      <c r="F443" s="19" t="s">
        <v>1048</v>
      </c>
      <c r="G443" s="20" t="s">
        <v>182</v>
      </c>
      <c r="H443" s="20" t="s">
        <v>171</v>
      </c>
      <c r="I443" s="20" t="s">
        <v>35</v>
      </c>
      <c r="J443" s="10" t="s">
        <v>25</v>
      </c>
      <c r="K443" s="10" t="s">
        <v>62</v>
      </c>
      <c r="L443" s="10" t="s">
        <v>27</v>
      </c>
      <c r="M443" s="18" t="s">
        <v>28</v>
      </c>
      <c r="N443" s="21"/>
      <c r="O443" s="21" t="s">
        <v>1049</v>
      </c>
      <c r="P443" s="21"/>
      <c r="Q443" s="29">
        <f t="shared" si="18"/>
        <v>1</v>
      </c>
      <c r="R443" s="30" t="str">
        <f t="shared" si="19"/>
        <v>P37.093</v>
      </c>
    </row>
    <row r="444" spans="1:18">
      <c r="A444" s="17"/>
      <c r="B444" s="17"/>
      <c r="C444" s="17"/>
      <c r="D444" s="10">
        <f t="shared" si="20"/>
        <v>9566</v>
      </c>
      <c r="E444" s="18" t="s">
        <v>34</v>
      </c>
      <c r="F444" s="19" t="s">
        <v>1050</v>
      </c>
      <c r="G444" s="20" t="s">
        <v>182</v>
      </c>
      <c r="H444" s="20" t="s">
        <v>171</v>
      </c>
      <c r="I444" s="20" t="s">
        <v>35</v>
      </c>
      <c r="J444" s="10" t="s">
        <v>25</v>
      </c>
      <c r="K444" s="10" t="s">
        <v>62</v>
      </c>
      <c r="L444" s="10" t="s">
        <v>27</v>
      </c>
      <c r="M444" s="18" t="s">
        <v>28</v>
      </c>
      <c r="N444" s="21"/>
      <c r="O444" s="21" t="s">
        <v>1051</v>
      </c>
      <c r="P444" s="21"/>
      <c r="Q444" s="29">
        <f t="shared" si="18"/>
        <v>1</v>
      </c>
      <c r="R444" s="30" t="str">
        <f t="shared" si="19"/>
        <v>P37.094</v>
      </c>
    </row>
    <row r="445" spans="1:18">
      <c r="A445" s="17"/>
      <c r="B445" s="17"/>
      <c r="C445" s="17"/>
      <c r="D445" s="10">
        <f t="shared" si="20"/>
        <v>9567</v>
      </c>
      <c r="E445" s="18" t="s">
        <v>34</v>
      </c>
      <c r="F445" s="19"/>
      <c r="G445" s="20" t="s">
        <v>23</v>
      </c>
      <c r="H445" s="20" t="s">
        <v>23</v>
      </c>
      <c r="I445" s="20" t="s">
        <v>35</v>
      </c>
      <c r="J445" s="10" t="s">
        <v>25</v>
      </c>
      <c r="K445" s="10" t="s">
        <v>26</v>
      </c>
      <c r="L445" s="10" t="s">
        <v>30</v>
      </c>
      <c r="M445" s="18" t="s">
        <v>28</v>
      </c>
      <c r="N445" s="21"/>
      <c r="O445" s="21"/>
      <c r="P445" s="21"/>
      <c r="Q445" s="29">
        <f t="shared" si="18"/>
        <v>1</v>
      </c>
      <c r="R445" s="30" t="str">
        <f t="shared" si="19"/>
        <v>P37.095</v>
      </c>
    </row>
    <row r="446" spans="1:18">
      <c r="A446" s="17"/>
      <c r="B446" s="17"/>
      <c r="C446" s="17"/>
      <c r="D446" s="10">
        <f t="shared" si="20"/>
        <v>9568</v>
      </c>
      <c r="E446" s="18" t="s">
        <v>34</v>
      </c>
      <c r="F446" s="19" t="s">
        <v>1052</v>
      </c>
      <c r="G446" s="20" t="s">
        <v>23</v>
      </c>
      <c r="H446" s="20" t="s">
        <v>23</v>
      </c>
      <c r="I446" s="20" t="s">
        <v>892</v>
      </c>
      <c r="J446" s="10" t="s">
        <v>25</v>
      </c>
      <c r="K446" s="10" t="s">
        <v>62</v>
      </c>
      <c r="L446" s="10" t="s">
        <v>27</v>
      </c>
      <c r="M446" s="18" t="s">
        <v>28</v>
      </c>
      <c r="N446" s="21"/>
      <c r="O446" s="21" t="s">
        <v>1053</v>
      </c>
      <c r="P446" s="21"/>
      <c r="Q446" s="29">
        <f t="shared" si="18"/>
        <v>1</v>
      </c>
      <c r="R446" s="30" t="str">
        <f t="shared" si="19"/>
        <v>P37.096</v>
      </c>
    </row>
    <row r="447" spans="1:18">
      <c r="A447" s="17"/>
      <c r="B447" s="17"/>
      <c r="C447" s="17"/>
      <c r="D447" s="10">
        <f t="shared" si="20"/>
        <v>9569</v>
      </c>
      <c r="E447" s="18" t="s">
        <v>91</v>
      </c>
      <c r="F447" s="21" t="s">
        <v>1054</v>
      </c>
      <c r="G447" s="20" t="s">
        <v>23</v>
      </c>
      <c r="H447" s="20" t="s">
        <v>93</v>
      </c>
      <c r="I447" s="20" t="s">
        <v>94</v>
      </c>
      <c r="J447" s="10" t="s">
        <v>25</v>
      </c>
      <c r="K447" s="10" t="s">
        <v>62</v>
      </c>
      <c r="L447" s="10" t="s">
        <v>27</v>
      </c>
      <c r="M447" s="18" t="s">
        <v>28</v>
      </c>
      <c r="N447" s="21"/>
      <c r="O447" s="21" t="s">
        <v>1055</v>
      </c>
      <c r="P447" s="21"/>
      <c r="Q447" s="29">
        <f t="shared" si="18"/>
        <v>1</v>
      </c>
      <c r="R447" s="30" t="str">
        <f t="shared" si="19"/>
        <v>P37.097</v>
      </c>
    </row>
    <row r="448" spans="1:18">
      <c r="A448" s="17"/>
      <c r="B448" s="17"/>
      <c r="C448" s="17"/>
      <c r="D448" s="10">
        <f t="shared" si="20"/>
        <v>9570</v>
      </c>
      <c r="E448" s="18" t="s">
        <v>91</v>
      </c>
      <c r="F448" s="21" t="s">
        <v>1056</v>
      </c>
      <c r="G448" s="20" t="s">
        <v>23</v>
      </c>
      <c r="H448" s="20" t="s">
        <v>93</v>
      </c>
      <c r="I448" s="20" t="s">
        <v>94</v>
      </c>
      <c r="J448" s="10" t="s">
        <v>25</v>
      </c>
      <c r="K448" s="10" t="s">
        <v>62</v>
      </c>
      <c r="L448" s="10" t="s">
        <v>27</v>
      </c>
      <c r="M448" s="18" t="s">
        <v>28</v>
      </c>
      <c r="N448" s="21"/>
      <c r="O448" s="21" t="s">
        <v>1057</v>
      </c>
      <c r="P448" s="21"/>
      <c r="Q448" s="29">
        <f t="shared" si="18"/>
        <v>1</v>
      </c>
      <c r="R448" s="30" t="str">
        <f t="shared" si="19"/>
        <v>P37.098</v>
      </c>
    </row>
    <row r="449" spans="1:18">
      <c r="A449" s="17"/>
      <c r="B449" s="17"/>
      <c r="C449" s="17"/>
      <c r="D449" s="10">
        <f t="shared" si="20"/>
        <v>9571</v>
      </c>
      <c r="E449" s="18" t="s">
        <v>91</v>
      </c>
      <c r="F449" s="21" t="s">
        <v>1058</v>
      </c>
      <c r="G449" s="20" t="s">
        <v>23</v>
      </c>
      <c r="H449" s="20" t="s">
        <v>93</v>
      </c>
      <c r="I449" s="20" t="s">
        <v>94</v>
      </c>
      <c r="J449" s="10" t="s">
        <v>25</v>
      </c>
      <c r="K449" s="10" t="s">
        <v>62</v>
      </c>
      <c r="L449" s="10" t="s">
        <v>27</v>
      </c>
      <c r="M449" s="18" t="s">
        <v>28</v>
      </c>
      <c r="N449" s="21"/>
      <c r="O449" s="21" t="s">
        <v>1059</v>
      </c>
      <c r="P449" s="21"/>
      <c r="Q449" s="29">
        <f t="shared" si="18"/>
        <v>1</v>
      </c>
      <c r="R449" s="30" t="str">
        <f t="shared" si="19"/>
        <v>P37.099</v>
      </c>
    </row>
    <row r="450" spans="1:18">
      <c r="A450" s="17"/>
      <c r="B450" s="17"/>
      <c r="C450" s="17"/>
      <c r="D450" s="10">
        <f t="shared" si="20"/>
        <v>9572</v>
      </c>
      <c r="E450" s="18" t="s">
        <v>91</v>
      </c>
      <c r="F450" s="21" t="s">
        <v>1060</v>
      </c>
      <c r="G450" s="20" t="s">
        <v>23</v>
      </c>
      <c r="H450" s="20" t="s">
        <v>93</v>
      </c>
      <c r="I450" s="20" t="s">
        <v>94</v>
      </c>
      <c r="J450" s="10" t="s">
        <v>25</v>
      </c>
      <c r="K450" s="10" t="s">
        <v>62</v>
      </c>
      <c r="L450" s="10" t="s">
        <v>27</v>
      </c>
      <c r="M450" s="18" t="s">
        <v>28</v>
      </c>
      <c r="N450" s="21"/>
      <c r="O450" s="21" t="s">
        <v>1061</v>
      </c>
      <c r="P450" s="21"/>
      <c r="Q450" s="29">
        <f t="shared" si="18"/>
        <v>1</v>
      </c>
      <c r="R450" s="30" t="str">
        <f t="shared" si="19"/>
        <v>P37.100</v>
      </c>
    </row>
    <row r="451" spans="1:18">
      <c r="A451" s="17"/>
      <c r="B451" s="17"/>
      <c r="C451" s="17"/>
      <c r="D451" s="10">
        <f t="shared" si="20"/>
        <v>9573</v>
      </c>
      <c r="E451" s="18" t="s">
        <v>91</v>
      </c>
      <c r="F451" s="21" t="s">
        <v>1062</v>
      </c>
      <c r="G451" s="20" t="s">
        <v>23</v>
      </c>
      <c r="H451" s="20" t="s">
        <v>93</v>
      </c>
      <c r="I451" s="20" t="s">
        <v>94</v>
      </c>
      <c r="J451" s="10" t="s">
        <v>25</v>
      </c>
      <c r="K451" s="10" t="s">
        <v>62</v>
      </c>
      <c r="L451" s="10" t="s">
        <v>27</v>
      </c>
      <c r="M451" s="18" t="s">
        <v>28</v>
      </c>
      <c r="N451" s="21"/>
      <c r="O451" s="21" t="s">
        <v>1063</v>
      </c>
      <c r="P451" s="21"/>
      <c r="Q451" s="29">
        <f t="shared" si="18"/>
        <v>1</v>
      </c>
      <c r="R451" s="30" t="str">
        <f t="shared" si="19"/>
        <v>P37.101</v>
      </c>
    </row>
    <row r="452" spans="1:18">
      <c r="A452" s="17"/>
      <c r="B452" s="17"/>
      <c r="C452" s="17"/>
      <c r="D452" s="10">
        <f t="shared" si="20"/>
        <v>9574</v>
      </c>
      <c r="E452" s="18" t="s">
        <v>91</v>
      </c>
      <c r="F452" s="21" t="s">
        <v>1064</v>
      </c>
      <c r="G452" s="20" t="s">
        <v>23</v>
      </c>
      <c r="H452" s="20" t="s">
        <v>93</v>
      </c>
      <c r="I452" s="20" t="s">
        <v>94</v>
      </c>
      <c r="J452" s="10" t="s">
        <v>25</v>
      </c>
      <c r="K452" s="10" t="s">
        <v>62</v>
      </c>
      <c r="L452" s="10" t="s">
        <v>27</v>
      </c>
      <c r="M452" s="18" t="s">
        <v>28</v>
      </c>
      <c r="N452" s="21"/>
      <c r="O452" s="21" t="s">
        <v>1065</v>
      </c>
      <c r="P452" s="21"/>
      <c r="Q452" s="29">
        <f t="shared" si="18"/>
        <v>1</v>
      </c>
      <c r="R452" s="30" t="str">
        <f t="shared" si="19"/>
        <v>P37.102</v>
      </c>
    </row>
    <row r="453" spans="1:18">
      <c r="A453" s="17"/>
      <c r="B453" s="17"/>
      <c r="C453" s="17"/>
      <c r="D453" s="10">
        <f t="shared" si="20"/>
        <v>9575</v>
      </c>
      <c r="E453" s="18" t="s">
        <v>91</v>
      </c>
      <c r="F453" s="21" t="s">
        <v>1066</v>
      </c>
      <c r="G453" s="20" t="s">
        <v>23</v>
      </c>
      <c r="H453" s="20" t="s">
        <v>93</v>
      </c>
      <c r="I453" s="20" t="s">
        <v>94</v>
      </c>
      <c r="J453" s="10" t="s">
        <v>25</v>
      </c>
      <c r="K453" s="10" t="s">
        <v>62</v>
      </c>
      <c r="L453" s="10" t="s">
        <v>27</v>
      </c>
      <c r="M453" s="18" t="s">
        <v>28</v>
      </c>
      <c r="N453" s="21"/>
      <c r="O453" s="21" t="s">
        <v>1067</v>
      </c>
      <c r="P453" s="21"/>
      <c r="Q453" s="29">
        <f t="shared" si="18"/>
        <v>1</v>
      </c>
      <c r="R453" s="30" t="str">
        <f t="shared" si="19"/>
        <v>P37.103</v>
      </c>
    </row>
    <row r="454" spans="1:18">
      <c r="A454" s="17"/>
      <c r="B454" s="17"/>
      <c r="C454" s="17"/>
      <c r="D454" s="10">
        <f t="shared" si="20"/>
        <v>9576</v>
      </c>
      <c r="E454" s="18" t="s">
        <v>91</v>
      </c>
      <c r="F454" s="21" t="s">
        <v>1068</v>
      </c>
      <c r="G454" s="20" t="s">
        <v>23</v>
      </c>
      <c r="H454" s="20" t="s">
        <v>93</v>
      </c>
      <c r="I454" s="20" t="s">
        <v>94</v>
      </c>
      <c r="J454" s="10" t="s">
        <v>25</v>
      </c>
      <c r="K454" s="10" t="s">
        <v>62</v>
      </c>
      <c r="L454" s="10" t="s">
        <v>27</v>
      </c>
      <c r="M454" s="18" t="s">
        <v>28</v>
      </c>
      <c r="N454" s="21"/>
      <c r="O454" s="21" t="s">
        <v>1069</v>
      </c>
      <c r="P454" s="21"/>
      <c r="Q454" s="29">
        <f t="shared" si="18"/>
        <v>1</v>
      </c>
      <c r="R454" s="30" t="str">
        <f t="shared" si="19"/>
        <v>P37.104</v>
      </c>
    </row>
    <row r="455" spans="1:18">
      <c r="A455" s="17"/>
      <c r="B455" s="17"/>
      <c r="C455" s="17"/>
      <c r="D455" s="10">
        <f t="shared" si="20"/>
        <v>9577</v>
      </c>
      <c r="E455" s="18" t="s">
        <v>91</v>
      </c>
      <c r="F455" s="21" t="s">
        <v>1070</v>
      </c>
      <c r="G455" s="20" t="s">
        <v>23</v>
      </c>
      <c r="H455" s="20" t="s">
        <v>93</v>
      </c>
      <c r="I455" s="20" t="s">
        <v>94</v>
      </c>
      <c r="J455" s="10" t="s">
        <v>25</v>
      </c>
      <c r="K455" s="10" t="s">
        <v>62</v>
      </c>
      <c r="L455" s="10" t="s">
        <v>27</v>
      </c>
      <c r="M455" s="18" t="s">
        <v>28</v>
      </c>
      <c r="N455" s="21"/>
      <c r="O455" s="21" t="s">
        <v>1071</v>
      </c>
      <c r="P455" s="21"/>
      <c r="Q455" s="29">
        <f t="shared" si="18"/>
        <v>1</v>
      </c>
      <c r="R455" s="30" t="str">
        <f t="shared" si="19"/>
        <v>P37.105</v>
      </c>
    </row>
    <row r="456" spans="1:18">
      <c r="A456" s="17"/>
      <c r="B456" s="17"/>
      <c r="C456" s="17"/>
      <c r="D456" s="10">
        <f t="shared" si="20"/>
        <v>9578</v>
      </c>
      <c r="E456" s="18" t="s">
        <v>91</v>
      </c>
      <c r="F456" s="21" t="s">
        <v>1072</v>
      </c>
      <c r="G456" s="20" t="s">
        <v>23</v>
      </c>
      <c r="H456" s="20" t="s">
        <v>93</v>
      </c>
      <c r="I456" s="20" t="s">
        <v>94</v>
      </c>
      <c r="J456" s="10" t="s">
        <v>25</v>
      </c>
      <c r="K456" s="10" t="s">
        <v>62</v>
      </c>
      <c r="L456" s="10" t="s">
        <v>27</v>
      </c>
      <c r="M456" s="18" t="s">
        <v>28</v>
      </c>
      <c r="N456" s="21"/>
      <c r="O456" s="21" t="s">
        <v>1073</v>
      </c>
      <c r="P456" s="21"/>
      <c r="Q456" s="29">
        <f t="shared" ref="Q456:Q519" si="21">IF(OR(F456="",LEFT(TRIM(F456),3)=E456),1,0)</f>
        <v>1</v>
      </c>
      <c r="R456" s="30" t="str">
        <f t="shared" ref="R456:R519" si="22">"P"&amp;TEXT(ROUND(D456/256,0),"00")&amp;"."&amp;TEXT(MOD(D456,256),"000")</f>
        <v>P37.106</v>
      </c>
    </row>
    <row r="457" spans="1:18">
      <c r="A457" s="17"/>
      <c r="B457" s="17"/>
      <c r="C457" s="17"/>
      <c r="D457" s="10">
        <f t="shared" ref="D457:D520" si="23">INDEX(D:D,ROW()-1)+_xlfn.IFS(INDEX(E:E,ROW()-1)="u16",1,INDEX(E:E,ROW()-1)="s16",1,INDEX(E:E,ROW()-1)="s32",2,INDEX(E:E,ROW()-1)="s64",4,INDEX(E:E,ROW()-1)="u16",1,INDEX(E:E,ROW()-1)="u32",2,INDEX(E:E,ROW()-1)="u64",4,INDEX(E:E,ROW()-1)="f32",2,INDEX(E:E,ROW()-1)="f64",4)</f>
        <v>9579</v>
      </c>
      <c r="E457" s="18" t="s">
        <v>91</v>
      </c>
      <c r="F457" s="21" t="s">
        <v>1074</v>
      </c>
      <c r="G457" s="20" t="s">
        <v>23</v>
      </c>
      <c r="H457" s="20" t="s">
        <v>93</v>
      </c>
      <c r="I457" s="20" t="s">
        <v>94</v>
      </c>
      <c r="J457" s="10" t="s">
        <v>25</v>
      </c>
      <c r="K457" s="10" t="s">
        <v>62</v>
      </c>
      <c r="L457" s="10" t="s">
        <v>27</v>
      </c>
      <c r="M457" s="18" t="s">
        <v>28</v>
      </c>
      <c r="N457" s="21"/>
      <c r="O457" s="21" t="s">
        <v>1075</v>
      </c>
      <c r="P457" s="21"/>
      <c r="Q457" s="29">
        <f t="shared" si="21"/>
        <v>1</v>
      </c>
      <c r="R457" s="30" t="str">
        <f t="shared" si="22"/>
        <v>P37.107</v>
      </c>
    </row>
    <row r="458" spans="1:18">
      <c r="A458" s="17"/>
      <c r="B458" s="17"/>
      <c r="C458" s="17"/>
      <c r="D458" s="10">
        <f t="shared" si="23"/>
        <v>9580</v>
      </c>
      <c r="E458" s="18" t="s">
        <v>91</v>
      </c>
      <c r="F458" s="21" t="s">
        <v>1076</v>
      </c>
      <c r="G458" s="20" t="s">
        <v>23</v>
      </c>
      <c r="H458" s="20" t="s">
        <v>93</v>
      </c>
      <c r="I458" s="20" t="s">
        <v>94</v>
      </c>
      <c r="J458" s="10" t="s">
        <v>25</v>
      </c>
      <c r="K458" s="10" t="s">
        <v>62</v>
      </c>
      <c r="L458" s="10" t="s">
        <v>27</v>
      </c>
      <c r="M458" s="18" t="s">
        <v>28</v>
      </c>
      <c r="N458" s="21"/>
      <c r="O458" s="21" t="s">
        <v>1077</v>
      </c>
      <c r="P458" s="21"/>
      <c r="Q458" s="29">
        <f t="shared" si="21"/>
        <v>1</v>
      </c>
      <c r="R458" s="30" t="str">
        <f t="shared" si="22"/>
        <v>P37.108</v>
      </c>
    </row>
    <row r="459" spans="1:18">
      <c r="A459" s="17"/>
      <c r="B459" s="17"/>
      <c r="C459" s="17"/>
      <c r="D459" s="10">
        <f t="shared" si="23"/>
        <v>9581</v>
      </c>
      <c r="E459" s="18" t="s">
        <v>91</v>
      </c>
      <c r="F459" s="21" t="s">
        <v>1078</v>
      </c>
      <c r="G459" s="20" t="s">
        <v>23</v>
      </c>
      <c r="H459" s="20" t="s">
        <v>93</v>
      </c>
      <c r="I459" s="20" t="s">
        <v>94</v>
      </c>
      <c r="J459" s="10" t="s">
        <v>25</v>
      </c>
      <c r="K459" s="10" t="s">
        <v>62</v>
      </c>
      <c r="L459" s="10" t="s">
        <v>27</v>
      </c>
      <c r="M459" s="18" t="s">
        <v>28</v>
      </c>
      <c r="N459" s="21"/>
      <c r="O459" s="21" t="s">
        <v>1079</v>
      </c>
      <c r="P459" s="21"/>
      <c r="Q459" s="29">
        <f t="shared" si="21"/>
        <v>1</v>
      </c>
      <c r="R459" s="30" t="str">
        <f t="shared" si="22"/>
        <v>P37.109</v>
      </c>
    </row>
    <row r="460" spans="1:18">
      <c r="A460" s="17"/>
      <c r="B460" s="17"/>
      <c r="C460" s="17"/>
      <c r="D460" s="10">
        <f t="shared" si="23"/>
        <v>9582</v>
      </c>
      <c r="E460" s="18" t="s">
        <v>91</v>
      </c>
      <c r="F460" s="21" t="s">
        <v>1080</v>
      </c>
      <c r="G460" s="20" t="s">
        <v>23</v>
      </c>
      <c r="H460" s="20" t="s">
        <v>93</v>
      </c>
      <c r="I460" s="20" t="s">
        <v>94</v>
      </c>
      <c r="J460" s="10" t="s">
        <v>25</v>
      </c>
      <c r="K460" s="10" t="s">
        <v>62</v>
      </c>
      <c r="L460" s="10" t="s">
        <v>27</v>
      </c>
      <c r="M460" s="18" t="s">
        <v>28</v>
      </c>
      <c r="N460" s="21"/>
      <c r="O460" s="21" t="s">
        <v>1081</v>
      </c>
      <c r="P460" s="21"/>
      <c r="Q460" s="29">
        <f t="shared" si="21"/>
        <v>1</v>
      </c>
      <c r="R460" s="30" t="str">
        <f t="shared" si="22"/>
        <v>P37.110</v>
      </c>
    </row>
    <row r="461" spans="1:18">
      <c r="A461" s="17"/>
      <c r="B461" s="17"/>
      <c r="C461" s="17"/>
      <c r="D461" s="10">
        <f t="shared" si="23"/>
        <v>9583</v>
      </c>
      <c r="E461" s="18" t="s">
        <v>91</v>
      </c>
      <c r="F461" s="21" t="s">
        <v>1082</v>
      </c>
      <c r="G461" s="20" t="s">
        <v>23</v>
      </c>
      <c r="H461" s="20" t="s">
        <v>93</v>
      </c>
      <c r="I461" s="20" t="s">
        <v>94</v>
      </c>
      <c r="J461" s="10" t="s">
        <v>25</v>
      </c>
      <c r="K461" s="10" t="s">
        <v>62</v>
      </c>
      <c r="L461" s="10" t="s">
        <v>27</v>
      </c>
      <c r="M461" s="18" t="s">
        <v>28</v>
      </c>
      <c r="N461" s="21"/>
      <c r="O461" s="21" t="s">
        <v>1083</v>
      </c>
      <c r="P461" s="21"/>
      <c r="Q461" s="29">
        <f t="shared" si="21"/>
        <v>1</v>
      </c>
      <c r="R461" s="30" t="str">
        <f t="shared" si="22"/>
        <v>P37.111</v>
      </c>
    </row>
    <row r="462" spans="1:18">
      <c r="A462" s="17"/>
      <c r="B462" s="17"/>
      <c r="C462" s="17"/>
      <c r="D462" s="10">
        <f t="shared" si="23"/>
        <v>9584</v>
      </c>
      <c r="E462" s="18" t="s">
        <v>91</v>
      </c>
      <c r="F462" s="21" t="s">
        <v>1084</v>
      </c>
      <c r="G462" s="20" t="s">
        <v>23</v>
      </c>
      <c r="H462" s="20" t="s">
        <v>93</v>
      </c>
      <c r="I462" s="20" t="s">
        <v>94</v>
      </c>
      <c r="J462" s="10" t="s">
        <v>25</v>
      </c>
      <c r="K462" s="10" t="s">
        <v>62</v>
      </c>
      <c r="L462" s="10" t="s">
        <v>27</v>
      </c>
      <c r="M462" s="18" t="s">
        <v>28</v>
      </c>
      <c r="N462" s="21"/>
      <c r="O462" s="21" t="s">
        <v>1085</v>
      </c>
      <c r="P462" s="21"/>
      <c r="Q462" s="29">
        <f t="shared" si="21"/>
        <v>1</v>
      </c>
      <c r="R462" s="30" t="str">
        <f t="shared" si="22"/>
        <v>P37.112</v>
      </c>
    </row>
    <row r="463" spans="1:18">
      <c r="A463" s="17"/>
      <c r="B463" s="17"/>
      <c r="C463" s="17"/>
      <c r="D463" s="10">
        <f t="shared" si="23"/>
        <v>9585</v>
      </c>
      <c r="E463" s="18" t="s">
        <v>34</v>
      </c>
      <c r="F463" s="19"/>
      <c r="G463" s="20" t="s">
        <v>23</v>
      </c>
      <c r="H463" s="20" t="s">
        <v>23</v>
      </c>
      <c r="I463" s="20" t="s">
        <v>35</v>
      </c>
      <c r="J463" s="10" t="s">
        <v>25</v>
      </c>
      <c r="K463" s="10" t="s">
        <v>26</v>
      </c>
      <c r="L463" s="10" t="s">
        <v>30</v>
      </c>
      <c r="M463" s="18" t="s">
        <v>28</v>
      </c>
      <c r="N463" s="21"/>
      <c r="O463" s="21"/>
      <c r="P463" s="21"/>
      <c r="Q463" s="29">
        <f t="shared" si="21"/>
        <v>1</v>
      </c>
      <c r="R463" s="30" t="str">
        <f t="shared" si="22"/>
        <v>P37.113</v>
      </c>
    </row>
    <row r="464" spans="1:18">
      <c r="A464" s="31"/>
      <c r="B464" s="31"/>
      <c r="C464" s="17"/>
      <c r="D464" s="10">
        <f t="shared" si="23"/>
        <v>9586</v>
      </c>
      <c r="E464" s="18" t="s">
        <v>34</v>
      </c>
      <c r="F464" s="19"/>
      <c r="G464" s="20" t="s">
        <v>23</v>
      </c>
      <c r="H464" s="20" t="s">
        <v>23</v>
      </c>
      <c r="I464" s="20" t="s">
        <v>35</v>
      </c>
      <c r="J464" s="10" t="s">
        <v>25</v>
      </c>
      <c r="K464" s="10" t="s">
        <v>26</v>
      </c>
      <c r="L464" s="10" t="s">
        <v>30</v>
      </c>
      <c r="M464" s="18" t="s">
        <v>28</v>
      </c>
      <c r="N464" s="21"/>
      <c r="O464" s="21"/>
      <c r="P464" s="21"/>
      <c r="Q464" s="29">
        <f t="shared" si="21"/>
        <v>1</v>
      </c>
      <c r="R464" s="30" t="str">
        <f t="shared" si="22"/>
        <v>P37.114</v>
      </c>
    </row>
    <row r="465" spans="1:18">
      <c r="A465" s="32">
        <v>8</v>
      </c>
      <c r="B465" s="32" t="s">
        <v>1086</v>
      </c>
      <c r="C465" s="32"/>
      <c r="D465" s="10">
        <f t="shared" si="23"/>
        <v>9587</v>
      </c>
      <c r="E465" s="10" t="s">
        <v>34</v>
      </c>
      <c r="F465" s="21" t="s">
        <v>1087</v>
      </c>
      <c r="G465" s="29">
        <v>0</v>
      </c>
      <c r="H465" s="29">
        <v>0</v>
      </c>
      <c r="I465" s="20" t="s">
        <v>35</v>
      </c>
      <c r="J465" s="10" t="s">
        <v>25</v>
      </c>
      <c r="K465" s="10" t="s">
        <v>26</v>
      </c>
      <c r="L465" s="10" t="s">
        <v>30</v>
      </c>
      <c r="M465" s="18" t="s">
        <v>28</v>
      </c>
      <c r="N465" s="10"/>
      <c r="O465" s="21"/>
      <c r="P465" s="21" t="s">
        <v>1088</v>
      </c>
      <c r="Q465" s="29">
        <f t="shared" si="21"/>
        <v>0</v>
      </c>
      <c r="R465" s="30" t="str">
        <f t="shared" si="22"/>
        <v>P37.115</v>
      </c>
    </row>
    <row r="466" spans="1:18">
      <c r="A466" s="17"/>
      <c r="B466" s="17"/>
      <c r="C466" s="17"/>
      <c r="D466" s="10">
        <f t="shared" si="23"/>
        <v>9588</v>
      </c>
      <c r="E466" s="10" t="s">
        <v>34</v>
      </c>
      <c r="F466" s="21" t="s">
        <v>1089</v>
      </c>
      <c r="G466" s="29">
        <v>0</v>
      </c>
      <c r="H466" s="29">
        <v>0</v>
      </c>
      <c r="I466" s="20" t="s">
        <v>35</v>
      </c>
      <c r="J466" s="10" t="s">
        <v>25</v>
      </c>
      <c r="K466" s="10" t="s">
        <v>26</v>
      </c>
      <c r="L466" s="10" t="s">
        <v>30</v>
      </c>
      <c r="M466" s="18" t="s">
        <v>28</v>
      </c>
      <c r="N466" s="10"/>
      <c r="O466" s="21"/>
      <c r="P466" s="21" t="s">
        <v>1090</v>
      </c>
      <c r="Q466" s="29">
        <f t="shared" si="21"/>
        <v>0</v>
      </c>
      <c r="R466" s="30" t="str">
        <f t="shared" si="22"/>
        <v>P37.116</v>
      </c>
    </row>
    <row r="467" spans="1:18">
      <c r="A467" s="17"/>
      <c r="B467" s="17"/>
      <c r="C467" s="17"/>
      <c r="D467" s="10">
        <f t="shared" si="23"/>
        <v>9589</v>
      </c>
      <c r="E467" s="10" t="s">
        <v>34</v>
      </c>
      <c r="F467" s="21" t="s">
        <v>1091</v>
      </c>
      <c r="G467" s="29">
        <v>0</v>
      </c>
      <c r="H467" s="29">
        <v>0</v>
      </c>
      <c r="I467" s="20" t="s">
        <v>35</v>
      </c>
      <c r="J467" s="10" t="s">
        <v>25</v>
      </c>
      <c r="K467" s="10" t="s">
        <v>26</v>
      </c>
      <c r="L467" s="10" t="s">
        <v>30</v>
      </c>
      <c r="M467" s="18" t="s">
        <v>28</v>
      </c>
      <c r="N467" s="10"/>
      <c r="O467" s="21"/>
      <c r="P467" s="21" t="s">
        <v>1092</v>
      </c>
      <c r="Q467" s="29">
        <f t="shared" si="21"/>
        <v>0</v>
      </c>
      <c r="R467" s="30" t="str">
        <f t="shared" si="22"/>
        <v>P37.117</v>
      </c>
    </row>
    <row r="468" spans="1:18">
      <c r="A468" s="17"/>
      <c r="B468" s="17"/>
      <c r="C468" s="17"/>
      <c r="D468" s="10">
        <f t="shared" si="23"/>
        <v>9590</v>
      </c>
      <c r="E468" s="10" t="s">
        <v>91</v>
      </c>
      <c r="F468" s="21" t="s">
        <v>1093</v>
      </c>
      <c r="G468" s="29">
        <v>0</v>
      </c>
      <c r="H468" s="20" t="s">
        <v>93</v>
      </c>
      <c r="I468" s="20" t="s">
        <v>94</v>
      </c>
      <c r="J468" s="10" t="s">
        <v>25</v>
      </c>
      <c r="K468" s="10" t="s">
        <v>26</v>
      </c>
      <c r="L468" s="10" t="s">
        <v>30</v>
      </c>
      <c r="M468" s="18" t="s">
        <v>28</v>
      </c>
      <c r="N468" s="10"/>
      <c r="O468" s="21"/>
      <c r="P468" s="21" t="s">
        <v>1094</v>
      </c>
      <c r="Q468" s="29">
        <f t="shared" si="21"/>
        <v>0</v>
      </c>
      <c r="R468" s="30" t="str">
        <f t="shared" si="22"/>
        <v>P37.118</v>
      </c>
    </row>
    <row r="469" spans="1:18">
      <c r="A469" s="17"/>
      <c r="B469" s="17"/>
      <c r="C469" s="17"/>
      <c r="D469" s="10">
        <f t="shared" si="23"/>
        <v>9591</v>
      </c>
      <c r="E469" s="10" t="s">
        <v>91</v>
      </c>
      <c r="F469" s="21" t="s">
        <v>1095</v>
      </c>
      <c r="G469" s="29">
        <v>0</v>
      </c>
      <c r="H469" s="20" t="s">
        <v>93</v>
      </c>
      <c r="I469" s="20" t="s">
        <v>94</v>
      </c>
      <c r="J469" s="10" t="s">
        <v>25</v>
      </c>
      <c r="K469" s="10" t="s">
        <v>26</v>
      </c>
      <c r="L469" s="10" t="s">
        <v>30</v>
      </c>
      <c r="M469" s="18" t="s">
        <v>28</v>
      </c>
      <c r="N469" s="10"/>
      <c r="O469" s="21"/>
      <c r="P469" s="21" t="s">
        <v>1096</v>
      </c>
      <c r="Q469" s="29">
        <f t="shared" si="21"/>
        <v>0</v>
      </c>
      <c r="R469" s="30" t="str">
        <f t="shared" si="22"/>
        <v>P37.119</v>
      </c>
    </row>
    <row r="470" spans="1:18">
      <c r="A470" s="17"/>
      <c r="B470" s="17"/>
      <c r="C470" s="17"/>
      <c r="D470" s="10">
        <f t="shared" si="23"/>
        <v>9592</v>
      </c>
      <c r="E470" s="10" t="s">
        <v>91</v>
      </c>
      <c r="F470" s="21" t="s">
        <v>1097</v>
      </c>
      <c r="G470" s="29">
        <v>0</v>
      </c>
      <c r="H470" s="20" t="s">
        <v>93</v>
      </c>
      <c r="I470" s="20" t="s">
        <v>94</v>
      </c>
      <c r="J470" s="10" t="s">
        <v>25</v>
      </c>
      <c r="K470" s="10" t="s">
        <v>26</v>
      </c>
      <c r="L470" s="10" t="s">
        <v>30</v>
      </c>
      <c r="M470" s="18" t="s">
        <v>28</v>
      </c>
      <c r="N470" s="10"/>
      <c r="O470" s="21"/>
      <c r="P470" s="21" t="s">
        <v>1098</v>
      </c>
      <c r="Q470" s="29">
        <f t="shared" si="21"/>
        <v>0</v>
      </c>
      <c r="R470" s="30" t="str">
        <f t="shared" si="22"/>
        <v>P37.120</v>
      </c>
    </row>
    <row r="471" spans="1:18">
      <c r="A471" s="17"/>
      <c r="B471" s="17"/>
      <c r="C471" s="17"/>
      <c r="D471" s="10">
        <f t="shared" si="23"/>
        <v>9593</v>
      </c>
      <c r="E471" s="10" t="s">
        <v>91</v>
      </c>
      <c r="F471" s="21" t="s">
        <v>1099</v>
      </c>
      <c r="G471" s="29">
        <v>0</v>
      </c>
      <c r="H471" s="20" t="s">
        <v>93</v>
      </c>
      <c r="I471" s="20" t="s">
        <v>94</v>
      </c>
      <c r="J471" s="10" t="s">
        <v>25</v>
      </c>
      <c r="K471" s="10" t="s">
        <v>26</v>
      </c>
      <c r="L471" s="10" t="s">
        <v>30</v>
      </c>
      <c r="M471" s="18" t="s">
        <v>28</v>
      </c>
      <c r="N471" s="10"/>
      <c r="O471" s="21"/>
      <c r="P471" s="21" t="s">
        <v>1100</v>
      </c>
      <c r="Q471" s="29">
        <f t="shared" si="21"/>
        <v>0</v>
      </c>
      <c r="R471" s="30" t="str">
        <f t="shared" si="22"/>
        <v>P37.121</v>
      </c>
    </row>
    <row r="472" spans="1:18">
      <c r="A472" s="17"/>
      <c r="B472" s="17"/>
      <c r="C472" s="17"/>
      <c r="D472" s="10">
        <f t="shared" si="23"/>
        <v>9594</v>
      </c>
      <c r="E472" s="10" t="s">
        <v>91</v>
      </c>
      <c r="F472" s="21" t="s">
        <v>1101</v>
      </c>
      <c r="G472" s="29">
        <v>0</v>
      </c>
      <c r="H472" s="20" t="s">
        <v>93</v>
      </c>
      <c r="I472" s="20" t="s">
        <v>94</v>
      </c>
      <c r="J472" s="10" t="s">
        <v>25</v>
      </c>
      <c r="K472" s="10" t="s">
        <v>26</v>
      </c>
      <c r="L472" s="10" t="s">
        <v>30</v>
      </c>
      <c r="M472" s="18" t="s">
        <v>28</v>
      </c>
      <c r="N472" s="10"/>
      <c r="O472" s="21"/>
      <c r="P472" s="21" t="s">
        <v>1102</v>
      </c>
      <c r="Q472" s="29">
        <f t="shared" si="21"/>
        <v>0</v>
      </c>
      <c r="R472" s="30" t="str">
        <f t="shared" si="22"/>
        <v>P37.122</v>
      </c>
    </row>
    <row r="473" spans="1:18">
      <c r="A473" s="17"/>
      <c r="B473" s="17"/>
      <c r="C473" s="17"/>
      <c r="D473" s="10">
        <f t="shared" si="23"/>
        <v>9595</v>
      </c>
      <c r="E473" s="10" t="s">
        <v>91</v>
      </c>
      <c r="F473" s="21" t="s">
        <v>1103</v>
      </c>
      <c r="G473" s="29">
        <v>0</v>
      </c>
      <c r="H473" s="20" t="s">
        <v>93</v>
      </c>
      <c r="I473" s="20" t="s">
        <v>94</v>
      </c>
      <c r="J473" s="10" t="s">
        <v>25</v>
      </c>
      <c r="K473" s="10" t="s">
        <v>26</v>
      </c>
      <c r="L473" s="10" t="s">
        <v>30</v>
      </c>
      <c r="M473" s="18" t="s">
        <v>28</v>
      </c>
      <c r="N473" s="10"/>
      <c r="O473" s="21"/>
      <c r="P473" s="21" t="s">
        <v>1104</v>
      </c>
      <c r="Q473" s="29">
        <f t="shared" si="21"/>
        <v>0</v>
      </c>
      <c r="R473" s="30" t="str">
        <f t="shared" si="22"/>
        <v>P37.123</v>
      </c>
    </row>
    <row r="474" spans="1:18">
      <c r="A474" s="17"/>
      <c r="B474" s="17"/>
      <c r="C474" s="17"/>
      <c r="D474" s="10">
        <f t="shared" si="23"/>
        <v>9596</v>
      </c>
      <c r="E474" s="10" t="s">
        <v>91</v>
      </c>
      <c r="F474" s="21" t="s">
        <v>1105</v>
      </c>
      <c r="G474" s="29">
        <v>0</v>
      </c>
      <c r="H474" s="20" t="s">
        <v>93</v>
      </c>
      <c r="I474" s="20" t="s">
        <v>94</v>
      </c>
      <c r="J474" s="10" t="s">
        <v>25</v>
      </c>
      <c r="K474" s="10" t="s">
        <v>26</v>
      </c>
      <c r="L474" s="10" t="s">
        <v>30</v>
      </c>
      <c r="M474" s="18" t="s">
        <v>28</v>
      </c>
      <c r="N474" s="10"/>
      <c r="O474" s="21"/>
      <c r="P474" s="21" t="s">
        <v>1106</v>
      </c>
      <c r="Q474" s="29">
        <f t="shared" si="21"/>
        <v>0</v>
      </c>
      <c r="R474" s="30" t="str">
        <f t="shared" si="22"/>
        <v>P37.124</v>
      </c>
    </row>
    <row r="475" spans="1:18">
      <c r="A475" s="17"/>
      <c r="B475" s="17"/>
      <c r="C475" s="17"/>
      <c r="D475" s="10">
        <f t="shared" si="23"/>
        <v>9597</v>
      </c>
      <c r="E475" s="10" t="s">
        <v>434</v>
      </c>
      <c r="F475" s="21" t="s">
        <v>1107</v>
      </c>
      <c r="G475" s="29">
        <v>0</v>
      </c>
      <c r="H475" s="20" t="s">
        <v>436</v>
      </c>
      <c r="I475" s="20" t="s">
        <v>437</v>
      </c>
      <c r="J475" s="10" t="s">
        <v>25</v>
      </c>
      <c r="K475" s="10" t="s">
        <v>26</v>
      </c>
      <c r="L475" s="10" t="s">
        <v>30</v>
      </c>
      <c r="M475" s="18" t="s">
        <v>28</v>
      </c>
      <c r="N475" s="10"/>
      <c r="O475" s="21"/>
      <c r="P475" s="21" t="s">
        <v>1108</v>
      </c>
      <c r="Q475" s="29">
        <f t="shared" si="21"/>
        <v>0</v>
      </c>
      <c r="R475" s="30" t="str">
        <f t="shared" si="22"/>
        <v>P37.125</v>
      </c>
    </row>
    <row r="476" spans="1:18">
      <c r="A476" s="17"/>
      <c r="B476" s="17"/>
      <c r="C476" s="17"/>
      <c r="D476" s="10">
        <f t="shared" si="23"/>
        <v>9599</v>
      </c>
      <c r="E476" s="10" t="s">
        <v>434</v>
      </c>
      <c r="F476" s="21" t="s">
        <v>1109</v>
      </c>
      <c r="G476" s="29">
        <v>0</v>
      </c>
      <c r="H476" s="20" t="s">
        <v>436</v>
      </c>
      <c r="I476" s="20" t="s">
        <v>437</v>
      </c>
      <c r="J476" s="10" t="s">
        <v>25</v>
      </c>
      <c r="K476" s="10" t="s">
        <v>26</v>
      </c>
      <c r="L476" s="10" t="s">
        <v>30</v>
      </c>
      <c r="M476" s="18" t="s">
        <v>28</v>
      </c>
      <c r="N476" s="10"/>
      <c r="O476" s="21"/>
      <c r="P476" s="21" t="s">
        <v>1110</v>
      </c>
      <c r="Q476" s="29">
        <f t="shared" si="21"/>
        <v>0</v>
      </c>
      <c r="R476" s="30" t="str">
        <f t="shared" si="22"/>
        <v>P37.127</v>
      </c>
    </row>
    <row r="477" spans="1:18">
      <c r="A477" s="17"/>
      <c r="B477" s="17"/>
      <c r="C477" s="17"/>
      <c r="D477" s="10">
        <f t="shared" si="23"/>
        <v>9601</v>
      </c>
      <c r="E477" s="10" t="s">
        <v>434</v>
      </c>
      <c r="F477" s="21" t="s">
        <v>1111</v>
      </c>
      <c r="G477" s="29">
        <v>0</v>
      </c>
      <c r="H477" s="20" t="s">
        <v>436</v>
      </c>
      <c r="I477" s="20" t="s">
        <v>437</v>
      </c>
      <c r="J477" s="10" t="s">
        <v>25</v>
      </c>
      <c r="K477" s="10" t="s">
        <v>26</v>
      </c>
      <c r="L477" s="10" t="s">
        <v>30</v>
      </c>
      <c r="M477" s="18" t="s">
        <v>28</v>
      </c>
      <c r="N477" s="10"/>
      <c r="O477" s="21"/>
      <c r="P477" s="21" t="s">
        <v>1112</v>
      </c>
      <c r="Q477" s="29">
        <f t="shared" si="21"/>
        <v>0</v>
      </c>
      <c r="R477" s="30" t="str">
        <f t="shared" si="22"/>
        <v>P38.129</v>
      </c>
    </row>
    <row r="478" spans="1:18">
      <c r="A478" s="17"/>
      <c r="B478" s="17"/>
      <c r="C478" s="17"/>
      <c r="D478" s="10">
        <f t="shared" si="23"/>
        <v>9603</v>
      </c>
      <c r="E478" s="10" t="s">
        <v>20</v>
      </c>
      <c r="F478" s="21" t="s">
        <v>1113</v>
      </c>
      <c r="G478" s="29">
        <v>0</v>
      </c>
      <c r="H478" s="29">
        <v>0</v>
      </c>
      <c r="I478" s="20" t="s">
        <v>24</v>
      </c>
      <c r="J478" s="10" t="s">
        <v>25</v>
      </c>
      <c r="K478" s="10" t="s">
        <v>26</v>
      </c>
      <c r="L478" s="10" t="s">
        <v>30</v>
      </c>
      <c r="M478" s="18" t="s">
        <v>28</v>
      </c>
      <c r="N478" s="10"/>
      <c r="O478" s="21"/>
      <c r="P478" s="21" t="s">
        <v>1114</v>
      </c>
      <c r="Q478" s="29">
        <f t="shared" si="21"/>
        <v>0</v>
      </c>
      <c r="R478" s="30" t="str">
        <f t="shared" si="22"/>
        <v>P38.131</v>
      </c>
    </row>
    <row r="479" spans="1:18">
      <c r="A479" s="17"/>
      <c r="B479" s="17"/>
      <c r="C479" s="17"/>
      <c r="D479" s="10">
        <f t="shared" si="23"/>
        <v>9605</v>
      </c>
      <c r="E479" s="10" t="s">
        <v>20</v>
      </c>
      <c r="F479" s="21" t="s">
        <v>1115</v>
      </c>
      <c r="G479" s="29">
        <v>0</v>
      </c>
      <c r="H479" s="29">
        <v>0</v>
      </c>
      <c r="I479" s="20" t="s">
        <v>24</v>
      </c>
      <c r="J479" s="10" t="s">
        <v>25</v>
      </c>
      <c r="K479" s="10" t="s">
        <v>26</v>
      </c>
      <c r="L479" s="10" t="s">
        <v>30</v>
      </c>
      <c r="M479" s="18" t="s">
        <v>28</v>
      </c>
      <c r="N479" s="10"/>
      <c r="O479" s="21"/>
      <c r="P479" s="21" t="s">
        <v>1116</v>
      </c>
      <c r="Q479" s="29">
        <f t="shared" si="21"/>
        <v>0</v>
      </c>
      <c r="R479" s="30" t="str">
        <f t="shared" si="22"/>
        <v>P38.133</v>
      </c>
    </row>
    <row r="480" spans="1:18">
      <c r="A480" s="17"/>
      <c r="B480" s="17"/>
      <c r="C480" s="17"/>
      <c r="D480" s="10">
        <f t="shared" si="23"/>
        <v>9607</v>
      </c>
      <c r="E480" s="10" t="s">
        <v>20</v>
      </c>
      <c r="F480" s="21" t="s">
        <v>1117</v>
      </c>
      <c r="G480" s="29">
        <v>0</v>
      </c>
      <c r="H480" s="29">
        <v>0</v>
      </c>
      <c r="I480" s="20" t="s">
        <v>24</v>
      </c>
      <c r="J480" s="10" t="s">
        <v>25</v>
      </c>
      <c r="K480" s="10" t="s">
        <v>26</v>
      </c>
      <c r="L480" s="10" t="s">
        <v>30</v>
      </c>
      <c r="M480" s="18" t="s">
        <v>28</v>
      </c>
      <c r="N480" s="10"/>
      <c r="O480" s="21"/>
      <c r="P480" s="21" t="s">
        <v>1118</v>
      </c>
      <c r="Q480" s="29">
        <f t="shared" si="21"/>
        <v>0</v>
      </c>
      <c r="R480" s="30" t="str">
        <f t="shared" si="22"/>
        <v>P38.135</v>
      </c>
    </row>
    <row r="481" spans="1:18">
      <c r="A481" s="17"/>
      <c r="B481" s="17"/>
      <c r="C481" s="17"/>
      <c r="D481" s="10">
        <f t="shared" si="23"/>
        <v>9609</v>
      </c>
      <c r="E481" s="10" t="s">
        <v>34</v>
      </c>
      <c r="F481" s="21" t="s">
        <v>1119</v>
      </c>
      <c r="G481" s="29">
        <v>0</v>
      </c>
      <c r="H481" s="29">
        <v>0</v>
      </c>
      <c r="I481" s="20" t="s">
        <v>35</v>
      </c>
      <c r="J481" s="10" t="s">
        <v>25</v>
      </c>
      <c r="K481" s="10" t="s">
        <v>26</v>
      </c>
      <c r="L481" s="10" t="s">
        <v>30</v>
      </c>
      <c r="M481" s="18" t="s">
        <v>28</v>
      </c>
      <c r="N481" s="10"/>
      <c r="O481" s="21"/>
      <c r="P481" s="21" t="s">
        <v>1120</v>
      </c>
      <c r="Q481" s="29">
        <f t="shared" si="21"/>
        <v>0</v>
      </c>
      <c r="R481" s="30" t="str">
        <f t="shared" si="22"/>
        <v>P38.137</v>
      </c>
    </row>
    <row r="482" spans="1:18">
      <c r="A482" s="17"/>
      <c r="B482" s="17"/>
      <c r="C482" s="17"/>
      <c r="D482" s="10">
        <f t="shared" si="23"/>
        <v>9610</v>
      </c>
      <c r="E482" s="10" t="s">
        <v>20</v>
      </c>
      <c r="F482" s="21" t="s">
        <v>1121</v>
      </c>
      <c r="G482" s="29">
        <v>0</v>
      </c>
      <c r="H482" s="29">
        <v>0</v>
      </c>
      <c r="I482" s="20" t="s">
        <v>24</v>
      </c>
      <c r="J482" s="10" t="s">
        <v>25</v>
      </c>
      <c r="K482" s="10" t="s">
        <v>26</v>
      </c>
      <c r="L482" s="10" t="s">
        <v>30</v>
      </c>
      <c r="M482" s="18" t="s">
        <v>28</v>
      </c>
      <c r="N482" s="10"/>
      <c r="O482" s="21"/>
      <c r="P482" s="21" t="s">
        <v>1122</v>
      </c>
      <c r="Q482" s="29">
        <f t="shared" si="21"/>
        <v>0</v>
      </c>
      <c r="R482" s="30" t="str">
        <f t="shared" si="22"/>
        <v>P38.138</v>
      </c>
    </row>
    <row r="483" spans="1:18">
      <c r="A483" s="17"/>
      <c r="B483" s="17"/>
      <c r="C483" s="17"/>
      <c r="D483" s="10">
        <f t="shared" si="23"/>
        <v>9612</v>
      </c>
      <c r="E483" s="10" t="s">
        <v>20</v>
      </c>
      <c r="F483" s="21" t="s">
        <v>1123</v>
      </c>
      <c r="G483" s="29">
        <v>0</v>
      </c>
      <c r="H483" s="29">
        <v>0</v>
      </c>
      <c r="I483" s="20" t="s">
        <v>24</v>
      </c>
      <c r="J483" s="10" t="s">
        <v>25</v>
      </c>
      <c r="K483" s="10" t="s">
        <v>26</v>
      </c>
      <c r="L483" s="10" t="s">
        <v>30</v>
      </c>
      <c r="M483" s="18" t="s">
        <v>28</v>
      </c>
      <c r="N483" s="10"/>
      <c r="O483" s="21"/>
      <c r="P483" s="21" t="s">
        <v>1124</v>
      </c>
      <c r="Q483" s="29">
        <f t="shared" si="21"/>
        <v>0</v>
      </c>
      <c r="R483" s="30" t="str">
        <f t="shared" si="22"/>
        <v>P38.140</v>
      </c>
    </row>
    <row r="484" spans="1:18">
      <c r="A484" s="17"/>
      <c r="B484" s="17"/>
      <c r="C484" s="17"/>
      <c r="D484" s="10">
        <f t="shared" si="23"/>
        <v>9614</v>
      </c>
      <c r="E484" s="10" t="s">
        <v>34</v>
      </c>
      <c r="F484" s="21" t="s">
        <v>1125</v>
      </c>
      <c r="G484" s="29">
        <v>0</v>
      </c>
      <c r="H484" s="29">
        <v>0</v>
      </c>
      <c r="I484" s="20" t="s">
        <v>35</v>
      </c>
      <c r="J484" s="10" t="s">
        <v>25</v>
      </c>
      <c r="K484" s="10" t="s">
        <v>26</v>
      </c>
      <c r="L484" s="10" t="s">
        <v>30</v>
      </c>
      <c r="M484" s="18" t="s">
        <v>28</v>
      </c>
      <c r="N484" s="10"/>
      <c r="O484" s="21"/>
      <c r="P484" s="21" t="s">
        <v>1126</v>
      </c>
      <c r="Q484" s="29">
        <f t="shared" si="21"/>
        <v>0</v>
      </c>
      <c r="R484" s="30" t="str">
        <f t="shared" si="22"/>
        <v>P38.142</v>
      </c>
    </row>
    <row r="485" spans="1:18">
      <c r="A485" s="17"/>
      <c r="B485" s="17"/>
      <c r="C485" s="17"/>
      <c r="D485" s="10">
        <f t="shared" si="23"/>
        <v>9615</v>
      </c>
      <c r="E485" s="10" t="s">
        <v>34</v>
      </c>
      <c r="F485" s="21" t="s">
        <v>1127</v>
      </c>
      <c r="G485" s="29">
        <v>0</v>
      </c>
      <c r="H485" s="29">
        <v>0</v>
      </c>
      <c r="I485" s="20" t="s">
        <v>35</v>
      </c>
      <c r="J485" s="10" t="s">
        <v>25</v>
      </c>
      <c r="K485" s="10" t="s">
        <v>26</v>
      </c>
      <c r="L485" s="10" t="s">
        <v>30</v>
      </c>
      <c r="M485" s="18" t="s">
        <v>28</v>
      </c>
      <c r="N485" s="10"/>
      <c r="O485" s="21"/>
      <c r="P485" s="21" t="s">
        <v>1128</v>
      </c>
      <c r="Q485" s="29">
        <f t="shared" si="21"/>
        <v>0</v>
      </c>
      <c r="R485" s="30" t="str">
        <f t="shared" si="22"/>
        <v>P38.143</v>
      </c>
    </row>
    <row r="486" spans="1:18">
      <c r="A486" s="17"/>
      <c r="B486" s="17"/>
      <c r="C486" s="17"/>
      <c r="D486" s="10">
        <f t="shared" si="23"/>
        <v>9616</v>
      </c>
      <c r="E486" s="10" t="s">
        <v>34</v>
      </c>
      <c r="F486" s="21" t="s">
        <v>1129</v>
      </c>
      <c r="G486" s="29">
        <v>0</v>
      </c>
      <c r="H486" s="29">
        <v>0</v>
      </c>
      <c r="I486" s="20" t="s">
        <v>35</v>
      </c>
      <c r="J486" s="10" t="s">
        <v>25</v>
      </c>
      <c r="K486" s="10" t="s">
        <v>26</v>
      </c>
      <c r="L486" s="10" t="s">
        <v>30</v>
      </c>
      <c r="M486" s="18" t="s">
        <v>28</v>
      </c>
      <c r="N486" s="10"/>
      <c r="O486" s="21"/>
      <c r="P486" s="21" t="s">
        <v>1130</v>
      </c>
      <c r="Q486" s="29">
        <f t="shared" si="21"/>
        <v>0</v>
      </c>
      <c r="R486" s="30" t="str">
        <f t="shared" si="22"/>
        <v>P38.144</v>
      </c>
    </row>
    <row r="487" spans="1:18">
      <c r="A487" s="17"/>
      <c r="B487" s="17"/>
      <c r="C487" s="17"/>
      <c r="D487" s="10">
        <f t="shared" si="23"/>
        <v>9617</v>
      </c>
      <c r="E487" s="10" t="s">
        <v>34</v>
      </c>
      <c r="F487" s="21" t="s">
        <v>1131</v>
      </c>
      <c r="G487" s="29">
        <v>0</v>
      </c>
      <c r="H487" s="29">
        <v>0</v>
      </c>
      <c r="I487" s="20" t="s">
        <v>35</v>
      </c>
      <c r="J487" s="10" t="s">
        <v>25</v>
      </c>
      <c r="K487" s="10" t="s">
        <v>26</v>
      </c>
      <c r="L487" s="10" t="s">
        <v>30</v>
      </c>
      <c r="M487" s="18" t="s">
        <v>28</v>
      </c>
      <c r="N487" s="10"/>
      <c r="O487" s="21"/>
      <c r="P487" s="21" t="s">
        <v>1132</v>
      </c>
      <c r="Q487" s="29">
        <f t="shared" si="21"/>
        <v>0</v>
      </c>
      <c r="R487" s="30" t="str">
        <f t="shared" si="22"/>
        <v>P38.145</v>
      </c>
    </row>
    <row r="488" spans="1:18">
      <c r="A488" s="17"/>
      <c r="B488" s="17"/>
      <c r="C488" s="17"/>
      <c r="D488" s="10">
        <f t="shared" si="23"/>
        <v>9618</v>
      </c>
      <c r="E488" s="10" t="s">
        <v>91</v>
      </c>
      <c r="F488" s="21" t="s">
        <v>1133</v>
      </c>
      <c r="G488" s="29">
        <v>0</v>
      </c>
      <c r="H488" s="20" t="s">
        <v>93</v>
      </c>
      <c r="I488" s="20" t="s">
        <v>94</v>
      </c>
      <c r="J488" s="10" t="s">
        <v>25</v>
      </c>
      <c r="K488" s="10" t="s">
        <v>26</v>
      </c>
      <c r="L488" s="10" t="s">
        <v>30</v>
      </c>
      <c r="M488" s="18" t="s">
        <v>28</v>
      </c>
      <c r="N488" s="10"/>
      <c r="O488" s="21"/>
      <c r="P488" s="21" t="s">
        <v>1134</v>
      </c>
      <c r="Q488" s="29">
        <f t="shared" si="21"/>
        <v>0</v>
      </c>
      <c r="R488" s="30" t="str">
        <f t="shared" si="22"/>
        <v>P38.146</v>
      </c>
    </row>
    <row r="489" spans="1:18">
      <c r="A489" s="17"/>
      <c r="B489" s="17"/>
      <c r="C489" s="17"/>
      <c r="D489" s="10">
        <f t="shared" si="23"/>
        <v>9619</v>
      </c>
      <c r="E489" s="10" t="s">
        <v>34</v>
      </c>
      <c r="F489" s="21" t="s">
        <v>1135</v>
      </c>
      <c r="G489" s="29">
        <v>0</v>
      </c>
      <c r="H489" s="29">
        <v>0</v>
      </c>
      <c r="I489" s="20" t="s">
        <v>35</v>
      </c>
      <c r="J489" s="10" t="s">
        <v>25</v>
      </c>
      <c r="K489" s="10" t="s">
        <v>26</v>
      </c>
      <c r="L489" s="10" t="s">
        <v>30</v>
      </c>
      <c r="M489" s="18" t="s">
        <v>28</v>
      </c>
      <c r="N489" s="10"/>
      <c r="O489" s="21"/>
      <c r="P489" s="21" t="s">
        <v>1136</v>
      </c>
      <c r="Q489" s="29">
        <f t="shared" si="21"/>
        <v>0</v>
      </c>
      <c r="R489" s="30" t="str">
        <f t="shared" si="22"/>
        <v>P38.147</v>
      </c>
    </row>
    <row r="490" spans="1:18">
      <c r="A490" s="17"/>
      <c r="B490" s="17"/>
      <c r="C490" s="17"/>
      <c r="D490" s="10">
        <f t="shared" si="23"/>
        <v>9620</v>
      </c>
      <c r="E490" s="10" t="s">
        <v>34</v>
      </c>
      <c r="F490" s="21" t="s">
        <v>1137</v>
      </c>
      <c r="G490" s="29">
        <v>0</v>
      </c>
      <c r="H490" s="29">
        <v>0</v>
      </c>
      <c r="I490" s="20" t="s">
        <v>35</v>
      </c>
      <c r="J490" s="10" t="s">
        <v>25</v>
      </c>
      <c r="K490" s="10" t="s">
        <v>26</v>
      </c>
      <c r="L490" s="10" t="s">
        <v>30</v>
      </c>
      <c r="M490" s="18" t="s">
        <v>28</v>
      </c>
      <c r="N490" s="10"/>
      <c r="O490" s="21"/>
      <c r="P490" s="21" t="s">
        <v>1138</v>
      </c>
      <c r="Q490" s="29">
        <f t="shared" si="21"/>
        <v>0</v>
      </c>
      <c r="R490" s="30" t="str">
        <f t="shared" si="22"/>
        <v>P38.148</v>
      </c>
    </row>
    <row r="491" spans="1:18">
      <c r="A491" s="17"/>
      <c r="B491" s="17"/>
      <c r="C491" s="17"/>
      <c r="D491" s="10">
        <f t="shared" si="23"/>
        <v>9621</v>
      </c>
      <c r="E491" s="10" t="s">
        <v>91</v>
      </c>
      <c r="F491" s="21" t="s">
        <v>1139</v>
      </c>
      <c r="G491" s="29">
        <v>0</v>
      </c>
      <c r="H491" s="20" t="s">
        <v>93</v>
      </c>
      <c r="I491" s="20" t="s">
        <v>94</v>
      </c>
      <c r="J491" s="10" t="s">
        <v>25</v>
      </c>
      <c r="K491" s="10" t="s">
        <v>26</v>
      </c>
      <c r="L491" s="10" t="s">
        <v>30</v>
      </c>
      <c r="M491" s="18" t="s">
        <v>28</v>
      </c>
      <c r="N491" s="10"/>
      <c r="O491" s="21"/>
      <c r="P491" s="21" t="s">
        <v>1140</v>
      </c>
      <c r="Q491" s="29">
        <f t="shared" si="21"/>
        <v>0</v>
      </c>
      <c r="R491" s="30" t="str">
        <f t="shared" si="22"/>
        <v>P38.149</v>
      </c>
    </row>
    <row r="492" spans="1:18">
      <c r="A492" s="17"/>
      <c r="B492" s="17"/>
      <c r="C492" s="17"/>
      <c r="D492" s="10">
        <f t="shared" si="23"/>
        <v>9622</v>
      </c>
      <c r="E492" s="10" t="s">
        <v>20</v>
      </c>
      <c r="F492" s="21" t="s">
        <v>1141</v>
      </c>
      <c r="G492" s="29">
        <v>0</v>
      </c>
      <c r="H492" s="29">
        <v>0</v>
      </c>
      <c r="I492" s="20" t="s">
        <v>24</v>
      </c>
      <c r="J492" s="10" t="s">
        <v>25</v>
      </c>
      <c r="K492" s="10" t="s">
        <v>26</v>
      </c>
      <c r="L492" s="10" t="s">
        <v>30</v>
      </c>
      <c r="M492" s="18" t="s">
        <v>28</v>
      </c>
      <c r="N492" s="10"/>
      <c r="O492" s="21"/>
      <c r="P492" s="21" t="s">
        <v>1142</v>
      </c>
      <c r="Q492" s="29">
        <f t="shared" si="21"/>
        <v>0</v>
      </c>
      <c r="R492" s="30" t="str">
        <f t="shared" si="22"/>
        <v>P38.150</v>
      </c>
    </row>
    <row r="493" spans="1:18">
      <c r="A493" s="17"/>
      <c r="B493" s="17"/>
      <c r="C493" s="17"/>
      <c r="D493" s="10">
        <f t="shared" si="23"/>
        <v>9624</v>
      </c>
      <c r="E493" s="10" t="s">
        <v>20</v>
      </c>
      <c r="F493" s="21" t="s">
        <v>1143</v>
      </c>
      <c r="G493" s="29">
        <v>0</v>
      </c>
      <c r="H493" s="29">
        <v>0</v>
      </c>
      <c r="I493" s="20" t="s">
        <v>24</v>
      </c>
      <c r="J493" s="10" t="s">
        <v>25</v>
      </c>
      <c r="K493" s="10" t="s">
        <v>26</v>
      </c>
      <c r="L493" s="10" t="s">
        <v>30</v>
      </c>
      <c r="M493" s="18" t="s">
        <v>28</v>
      </c>
      <c r="N493" s="10"/>
      <c r="O493" s="21"/>
      <c r="P493" s="21" t="s">
        <v>1144</v>
      </c>
      <c r="Q493" s="29">
        <f t="shared" si="21"/>
        <v>0</v>
      </c>
      <c r="R493" s="30" t="str">
        <f t="shared" si="22"/>
        <v>P38.152</v>
      </c>
    </row>
    <row r="494" spans="1:18">
      <c r="A494" s="17"/>
      <c r="B494" s="17"/>
      <c r="C494" s="17"/>
      <c r="D494" s="10">
        <f t="shared" si="23"/>
        <v>9626</v>
      </c>
      <c r="E494" s="10" t="s">
        <v>91</v>
      </c>
      <c r="F494" s="21" t="s">
        <v>1145</v>
      </c>
      <c r="G494" s="29">
        <v>0</v>
      </c>
      <c r="H494" s="20" t="s">
        <v>93</v>
      </c>
      <c r="I494" s="20" t="s">
        <v>94</v>
      </c>
      <c r="J494" s="10" t="s">
        <v>25</v>
      </c>
      <c r="K494" s="10" t="s">
        <v>26</v>
      </c>
      <c r="L494" s="10" t="s">
        <v>30</v>
      </c>
      <c r="M494" s="18" t="s">
        <v>28</v>
      </c>
      <c r="N494" s="10"/>
      <c r="O494" s="21"/>
      <c r="P494" s="21" t="s">
        <v>1146</v>
      </c>
      <c r="Q494" s="29">
        <f t="shared" si="21"/>
        <v>0</v>
      </c>
      <c r="R494" s="30" t="str">
        <f t="shared" si="22"/>
        <v>P38.154</v>
      </c>
    </row>
    <row r="495" spans="1:18">
      <c r="A495" s="17"/>
      <c r="B495" s="17"/>
      <c r="C495" s="17"/>
      <c r="D495" s="10">
        <f t="shared" si="23"/>
        <v>9627</v>
      </c>
      <c r="E495" s="10" t="s">
        <v>91</v>
      </c>
      <c r="F495" s="21" t="s">
        <v>1147</v>
      </c>
      <c r="G495" s="29">
        <v>0</v>
      </c>
      <c r="H495" s="20" t="s">
        <v>93</v>
      </c>
      <c r="I495" s="20" t="s">
        <v>94</v>
      </c>
      <c r="J495" s="10" t="s">
        <v>25</v>
      </c>
      <c r="K495" s="10" t="s">
        <v>26</v>
      </c>
      <c r="L495" s="10" t="s">
        <v>30</v>
      </c>
      <c r="M495" s="18" t="s">
        <v>28</v>
      </c>
      <c r="N495" s="10"/>
      <c r="O495" s="21"/>
      <c r="P495" s="21" t="s">
        <v>1148</v>
      </c>
      <c r="Q495" s="29">
        <f t="shared" si="21"/>
        <v>0</v>
      </c>
      <c r="R495" s="30" t="str">
        <f t="shared" si="22"/>
        <v>P38.155</v>
      </c>
    </row>
    <row r="496" spans="1:18">
      <c r="A496" s="17"/>
      <c r="B496" s="17"/>
      <c r="C496" s="17"/>
      <c r="D496" s="10">
        <f t="shared" si="23"/>
        <v>9628</v>
      </c>
      <c r="E496" s="10" t="s">
        <v>20</v>
      </c>
      <c r="F496" s="21" t="s">
        <v>1149</v>
      </c>
      <c r="G496" s="29">
        <v>0</v>
      </c>
      <c r="H496" s="29">
        <v>0</v>
      </c>
      <c r="I496" s="20" t="s">
        <v>24</v>
      </c>
      <c r="J496" s="10" t="s">
        <v>25</v>
      </c>
      <c r="K496" s="10" t="s">
        <v>26</v>
      </c>
      <c r="L496" s="10" t="s">
        <v>30</v>
      </c>
      <c r="M496" s="18" t="s">
        <v>28</v>
      </c>
      <c r="N496" s="10"/>
      <c r="O496" s="21"/>
      <c r="P496" s="21" t="s">
        <v>1150</v>
      </c>
      <c r="Q496" s="29">
        <f t="shared" si="21"/>
        <v>0</v>
      </c>
      <c r="R496" s="30" t="str">
        <f t="shared" si="22"/>
        <v>P38.156</v>
      </c>
    </row>
    <row r="497" spans="1:18">
      <c r="A497" s="17"/>
      <c r="B497" s="17"/>
      <c r="C497" s="17"/>
      <c r="D497" s="10">
        <f t="shared" si="23"/>
        <v>9630</v>
      </c>
      <c r="E497" s="10" t="s">
        <v>434</v>
      </c>
      <c r="F497" s="21" t="s">
        <v>1151</v>
      </c>
      <c r="G497" s="29">
        <v>0</v>
      </c>
      <c r="H497" s="20" t="s">
        <v>436</v>
      </c>
      <c r="I497" s="20" t="s">
        <v>437</v>
      </c>
      <c r="J497" s="10" t="s">
        <v>25</v>
      </c>
      <c r="K497" s="10" t="s">
        <v>26</v>
      </c>
      <c r="L497" s="10" t="s">
        <v>30</v>
      </c>
      <c r="M497" s="18" t="s">
        <v>28</v>
      </c>
      <c r="N497" s="10"/>
      <c r="O497" s="21"/>
      <c r="P497" s="21" t="s">
        <v>1152</v>
      </c>
      <c r="Q497" s="29">
        <f t="shared" si="21"/>
        <v>0</v>
      </c>
      <c r="R497" s="30" t="str">
        <f t="shared" si="22"/>
        <v>P38.158</v>
      </c>
    </row>
    <row r="498" spans="1:18">
      <c r="A498" s="17"/>
      <c r="B498" s="17"/>
      <c r="C498" s="17"/>
      <c r="D498" s="10">
        <f t="shared" si="23"/>
        <v>9632</v>
      </c>
      <c r="E498" s="10" t="s">
        <v>434</v>
      </c>
      <c r="F498" s="21" t="s">
        <v>1153</v>
      </c>
      <c r="G498" s="29">
        <v>0</v>
      </c>
      <c r="H498" s="20" t="s">
        <v>436</v>
      </c>
      <c r="I498" s="20" t="s">
        <v>437</v>
      </c>
      <c r="J498" s="10" t="s">
        <v>25</v>
      </c>
      <c r="K498" s="10" t="s">
        <v>26</v>
      </c>
      <c r="L498" s="10" t="s">
        <v>30</v>
      </c>
      <c r="M498" s="18" t="s">
        <v>28</v>
      </c>
      <c r="N498" s="10"/>
      <c r="O498" s="21"/>
      <c r="P498" s="21" t="s">
        <v>1154</v>
      </c>
      <c r="Q498" s="29">
        <f t="shared" si="21"/>
        <v>0</v>
      </c>
      <c r="R498" s="30" t="str">
        <f t="shared" si="22"/>
        <v>P38.160</v>
      </c>
    </row>
    <row r="499" spans="1:18">
      <c r="A499" s="17"/>
      <c r="B499" s="17"/>
      <c r="C499" s="17"/>
      <c r="D499" s="10">
        <f t="shared" si="23"/>
        <v>9634</v>
      </c>
      <c r="E499" s="10" t="s">
        <v>434</v>
      </c>
      <c r="F499" s="21" t="s">
        <v>1155</v>
      </c>
      <c r="G499" s="29">
        <v>0</v>
      </c>
      <c r="H499" s="20" t="s">
        <v>436</v>
      </c>
      <c r="I499" s="20" t="s">
        <v>437</v>
      </c>
      <c r="J499" s="10" t="s">
        <v>25</v>
      </c>
      <c r="K499" s="10" t="s">
        <v>26</v>
      </c>
      <c r="L499" s="10" t="s">
        <v>30</v>
      </c>
      <c r="M499" s="18" t="s">
        <v>28</v>
      </c>
      <c r="N499" s="10"/>
      <c r="O499" s="21"/>
      <c r="P499" s="21" t="s">
        <v>1156</v>
      </c>
      <c r="Q499" s="29">
        <f t="shared" si="21"/>
        <v>0</v>
      </c>
      <c r="R499" s="30" t="str">
        <f t="shared" si="22"/>
        <v>P38.162</v>
      </c>
    </row>
    <row r="500" spans="1:18">
      <c r="A500" s="17"/>
      <c r="B500" s="17"/>
      <c r="C500" s="17"/>
      <c r="D500" s="10">
        <f t="shared" si="23"/>
        <v>9636</v>
      </c>
      <c r="E500" s="10" t="s">
        <v>434</v>
      </c>
      <c r="F500" s="21" t="s">
        <v>1157</v>
      </c>
      <c r="G500" s="29">
        <v>0</v>
      </c>
      <c r="H500" s="20" t="s">
        <v>436</v>
      </c>
      <c r="I500" s="20" t="s">
        <v>437</v>
      </c>
      <c r="J500" s="10" t="s">
        <v>25</v>
      </c>
      <c r="K500" s="10" t="s">
        <v>26</v>
      </c>
      <c r="L500" s="10" t="s">
        <v>30</v>
      </c>
      <c r="M500" s="18" t="s">
        <v>28</v>
      </c>
      <c r="N500" s="10"/>
      <c r="O500" s="21"/>
      <c r="P500" s="21" t="s">
        <v>1158</v>
      </c>
      <c r="Q500" s="29">
        <f t="shared" si="21"/>
        <v>0</v>
      </c>
      <c r="R500" s="30" t="str">
        <f t="shared" si="22"/>
        <v>P38.164</v>
      </c>
    </row>
    <row r="501" spans="1:18">
      <c r="A501" s="17"/>
      <c r="B501" s="17"/>
      <c r="C501" s="17"/>
      <c r="D501" s="10">
        <f t="shared" si="23"/>
        <v>9638</v>
      </c>
      <c r="E501" s="10" t="s">
        <v>34</v>
      </c>
      <c r="F501" s="21" t="s">
        <v>1159</v>
      </c>
      <c r="G501" s="29">
        <v>0</v>
      </c>
      <c r="H501" s="29">
        <v>0</v>
      </c>
      <c r="I501" s="20" t="s">
        <v>35</v>
      </c>
      <c r="J501" s="10" t="s">
        <v>25</v>
      </c>
      <c r="K501" s="10" t="s">
        <v>26</v>
      </c>
      <c r="L501" s="10" t="s">
        <v>30</v>
      </c>
      <c r="M501" s="18" t="s">
        <v>28</v>
      </c>
      <c r="N501" s="10"/>
      <c r="O501" s="21"/>
      <c r="P501" s="21" t="s">
        <v>1160</v>
      </c>
      <c r="Q501" s="29">
        <f t="shared" si="21"/>
        <v>0</v>
      </c>
      <c r="R501" s="30" t="str">
        <f t="shared" si="22"/>
        <v>P38.166</v>
      </c>
    </row>
    <row r="502" spans="1:18">
      <c r="A502" s="17"/>
      <c r="B502" s="17"/>
      <c r="C502" s="17"/>
      <c r="D502" s="10">
        <f t="shared" si="23"/>
        <v>9639</v>
      </c>
      <c r="E502" s="10" t="s">
        <v>20</v>
      </c>
      <c r="F502" s="21" t="s">
        <v>1161</v>
      </c>
      <c r="G502" s="29">
        <v>0</v>
      </c>
      <c r="H502" s="29">
        <v>0</v>
      </c>
      <c r="I502" s="20" t="s">
        <v>24</v>
      </c>
      <c r="J502" s="10" t="s">
        <v>25</v>
      </c>
      <c r="K502" s="10" t="s">
        <v>26</v>
      </c>
      <c r="L502" s="10" t="s">
        <v>30</v>
      </c>
      <c r="M502" s="18" t="s">
        <v>28</v>
      </c>
      <c r="N502" s="10"/>
      <c r="O502" s="21"/>
      <c r="P502" s="21" t="s">
        <v>1162</v>
      </c>
      <c r="Q502" s="29">
        <f t="shared" si="21"/>
        <v>0</v>
      </c>
      <c r="R502" s="30" t="str">
        <f t="shared" si="22"/>
        <v>P38.167</v>
      </c>
    </row>
    <row r="503" spans="1:18">
      <c r="A503" s="17"/>
      <c r="B503" s="17"/>
      <c r="C503" s="17"/>
      <c r="D503" s="10">
        <f t="shared" si="23"/>
        <v>9641</v>
      </c>
      <c r="E503" s="10" t="s">
        <v>20</v>
      </c>
      <c r="F503" s="21" t="s">
        <v>1163</v>
      </c>
      <c r="G503" s="29">
        <v>0</v>
      </c>
      <c r="H503" s="29">
        <v>0</v>
      </c>
      <c r="I503" s="20" t="s">
        <v>24</v>
      </c>
      <c r="J503" s="10" t="s">
        <v>25</v>
      </c>
      <c r="K503" s="10" t="s">
        <v>26</v>
      </c>
      <c r="L503" s="10" t="s">
        <v>30</v>
      </c>
      <c r="M503" s="18" t="s">
        <v>28</v>
      </c>
      <c r="N503" s="10"/>
      <c r="O503" s="21"/>
      <c r="P503" s="21" t="s">
        <v>1164</v>
      </c>
      <c r="Q503" s="29">
        <f t="shared" si="21"/>
        <v>0</v>
      </c>
      <c r="R503" s="30" t="str">
        <f t="shared" si="22"/>
        <v>P38.169</v>
      </c>
    </row>
    <row r="504" spans="1:18">
      <c r="A504" s="17"/>
      <c r="B504" s="17"/>
      <c r="C504" s="17"/>
      <c r="D504" s="10">
        <f t="shared" si="23"/>
        <v>9643</v>
      </c>
      <c r="E504" s="10" t="s">
        <v>20</v>
      </c>
      <c r="F504" s="21" t="s">
        <v>1165</v>
      </c>
      <c r="G504" s="29">
        <v>0</v>
      </c>
      <c r="H504" s="29">
        <v>0</v>
      </c>
      <c r="I504" s="20" t="s">
        <v>24</v>
      </c>
      <c r="J504" s="10" t="s">
        <v>25</v>
      </c>
      <c r="K504" s="10" t="s">
        <v>26</v>
      </c>
      <c r="L504" s="10" t="s">
        <v>30</v>
      </c>
      <c r="M504" s="18" t="s">
        <v>28</v>
      </c>
      <c r="N504" s="10"/>
      <c r="O504" s="21"/>
      <c r="P504" s="21" t="s">
        <v>1166</v>
      </c>
      <c r="Q504" s="29">
        <f t="shared" si="21"/>
        <v>0</v>
      </c>
      <c r="R504" s="30" t="str">
        <f t="shared" si="22"/>
        <v>P38.171</v>
      </c>
    </row>
    <row r="505" spans="1:18">
      <c r="A505" s="17"/>
      <c r="B505" s="17"/>
      <c r="C505" s="17"/>
      <c r="D505" s="10">
        <f t="shared" si="23"/>
        <v>9645</v>
      </c>
      <c r="E505" s="10" t="s">
        <v>20</v>
      </c>
      <c r="F505" s="21" t="s">
        <v>1167</v>
      </c>
      <c r="G505" s="29">
        <v>0</v>
      </c>
      <c r="H505" s="29">
        <v>0</v>
      </c>
      <c r="I505" s="20" t="s">
        <v>24</v>
      </c>
      <c r="J505" s="10" t="s">
        <v>25</v>
      </c>
      <c r="K505" s="10" t="s">
        <v>26</v>
      </c>
      <c r="L505" s="10" t="s">
        <v>30</v>
      </c>
      <c r="M505" s="18" t="s">
        <v>28</v>
      </c>
      <c r="N505" s="10"/>
      <c r="O505" s="21"/>
      <c r="P505" s="21" t="s">
        <v>1168</v>
      </c>
      <c r="Q505" s="29">
        <f t="shared" si="21"/>
        <v>0</v>
      </c>
      <c r="R505" s="30" t="str">
        <f t="shared" si="22"/>
        <v>P38.173</v>
      </c>
    </row>
    <row r="506" spans="1:18">
      <c r="A506" s="17"/>
      <c r="B506" s="17"/>
      <c r="C506" s="17"/>
      <c r="D506" s="10">
        <f t="shared" si="23"/>
        <v>9647</v>
      </c>
      <c r="E506" s="10" t="s">
        <v>20</v>
      </c>
      <c r="F506" s="21" t="s">
        <v>1169</v>
      </c>
      <c r="G506" s="29">
        <v>0</v>
      </c>
      <c r="H506" s="29">
        <v>0</v>
      </c>
      <c r="I506" s="20" t="s">
        <v>24</v>
      </c>
      <c r="J506" s="10" t="s">
        <v>25</v>
      </c>
      <c r="K506" s="10" t="s">
        <v>26</v>
      </c>
      <c r="L506" s="10" t="s">
        <v>30</v>
      </c>
      <c r="M506" s="18" t="s">
        <v>28</v>
      </c>
      <c r="N506" s="10"/>
      <c r="O506" s="21"/>
      <c r="P506" s="21" t="s">
        <v>1170</v>
      </c>
      <c r="Q506" s="29">
        <f t="shared" si="21"/>
        <v>0</v>
      </c>
      <c r="R506" s="30" t="str">
        <f t="shared" si="22"/>
        <v>P38.175</v>
      </c>
    </row>
    <row r="507" spans="1:18">
      <c r="A507" s="17"/>
      <c r="B507" s="17"/>
      <c r="C507" s="17"/>
      <c r="D507" s="10">
        <f t="shared" si="23"/>
        <v>9649</v>
      </c>
      <c r="E507" s="10" t="s">
        <v>20</v>
      </c>
      <c r="F507" s="21" t="s">
        <v>1171</v>
      </c>
      <c r="G507" s="29">
        <v>0</v>
      </c>
      <c r="H507" s="29">
        <v>0</v>
      </c>
      <c r="I507" s="20" t="s">
        <v>24</v>
      </c>
      <c r="J507" s="10" t="s">
        <v>25</v>
      </c>
      <c r="K507" s="10" t="s">
        <v>26</v>
      </c>
      <c r="L507" s="10" t="s">
        <v>30</v>
      </c>
      <c r="M507" s="18" t="s">
        <v>28</v>
      </c>
      <c r="N507" s="10"/>
      <c r="O507" s="21"/>
      <c r="P507" s="21" t="s">
        <v>1172</v>
      </c>
      <c r="Q507" s="29">
        <f t="shared" si="21"/>
        <v>0</v>
      </c>
      <c r="R507" s="30" t="str">
        <f t="shared" si="22"/>
        <v>P38.177</v>
      </c>
    </row>
    <row r="508" spans="1:18">
      <c r="A508" s="17"/>
      <c r="B508" s="17"/>
      <c r="C508" s="17"/>
      <c r="D508" s="10">
        <f t="shared" si="23"/>
        <v>9651</v>
      </c>
      <c r="E508" s="10" t="s">
        <v>91</v>
      </c>
      <c r="F508" s="21" t="s">
        <v>1173</v>
      </c>
      <c r="G508" s="29">
        <v>0</v>
      </c>
      <c r="H508" s="20" t="s">
        <v>93</v>
      </c>
      <c r="I508" s="20" t="s">
        <v>94</v>
      </c>
      <c r="J508" s="10" t="s">
        <v>25</v>
      </c>
      <c r="K508" s="10" t="s">
        <v>26</v>
      </c>
      <c r="L508" s="10" t="s">
        <v>30</v>
      </c>
      <c r="M508" s="18" t="s">
        <v>28</v>
      </c>
      <c r="N508" s="10"/>
      <c r="O508" s="21"/>
      <c r="P508" s="21" t="s">
        <v>1174</v>
      </c>
      <c r="Q508" s="29">
        <f t="shared" si="21"/>
        <v>0</v>
      </c>
      <c r="R508" s="30" t="str">
        <f t="shared" si="22"/>
        <v>P38.179</v>
      </c>
    </row>
    <row r="509" spans="1:18">
      <c r="A509" s="17"/>
      <c r="B509" s="17"/>
      <c r="C509" s="17"/>
      <c r="D509" s="10">
        <f t="shared" si="23"/>
        <v>9652</v>
      </c>
      <c r="E509" s="10" t="s">
        <v>91</v>
      </c>
      <c r="F509" s="21" t="s">
        <v>1175</v>
      </c>
      <c r="G509" s="29">
        <v>0</v>
      </c>
      <c r="H509" s="20" t="s">
        <v>93</v>
      </c>
      <c r="I509" s="20" t="s">
        <v>94</v>
      </c>
      <c r="J509" s="10" t="s">
        <v>25</v>
      </c>
      <c r="K509" s="10" t="s">
        <v>26</v>
      </c>
      <c r="L509" s="10" t="s">
        <v>30</v>
      </c>
      <c r="M509" s="18" t="s">
        <v>28</v>
      </c>
      <c r="N509" s="10"/>
      <c r="O509" s="21"/>
      <c r="P509" s="21" t="s">
        <v>1176</v>
      </c>
      <c r="Q509" s="29">
        <f t="shared" si="21"/>
        <v>0</v>
      </c>
      <c r="R509" s="30" t="str">
        <f t="shared" si="22"/>
        <v>P38.180</v>
      </c>
    </row>
    <row r="510" spans="1:18">
      <c r="A510" s="17"/>
      <c r="B510" s="17"/>
      <c r="C510" s="17"/>
      <c r="D510" s="10">
        <f t="shared" si="23"/>
        <v>9653</v>
      </c>
      <c r="E510" s="10" t="s">
        <v>91</v>
      </c>
      <c r="F510" s="21" t="s">
        <v>1177</v>
      </c>
      <c r="G510" s="29">
        <v>0</v>
      </c>
      <c r="H510" s="20" t="s">
        <v>93</v>
      </c>
      <c r="I510" s="20" t="s">
        <v>94</v>
      </c>
      <c r="J510" s="10" t="s">
        <v>25</v>
      </c>
      <c r="K510" s="10" t="s">
        <v>26</v>
      </c>
      <c r="L510" s="10" t="s">
        <v>30</v>
      </c>
      <c r="M510" s="18" t="s">
        <v>28</v>
      </c>
      <c r="N510" s="10"/>
      <c r="O510" s="21"/>
      <c r="P510" s="21" t="s">
        <v>1178</v>
      </c>
      <c r="Q510" s="29">
        <f t="shared" si="21"/>
        <v>0</v>
      </c>
      <c r="R510" s="30" t="str">
        <f t="shared" si="22"/>
        <v>P38.181</v>
      </c>
    </row>
    <row r="511" spans="1:18">
      <c r="A511" s="17"/>
      <c r="B511" s="17"/>
      <c r="C511" s="17"/>
      <c r="D511" s="10">
        <f t="shared" si="23"/>
        <v>9654</v>
      </c>
      <c r="E511" s="10" t="s">
        <v>91</v>
      </c>
      <c r="F511" s="21" t="s">
        <v>1179</v>
      </c>
      <c r="G511" s="29">
        <v>0</v>
      </c>
      <c r="H511" s="20" t="s">
        <v>93</v>
      </c>
      <c r="I511" s="20" t="s">
        <v>94</v>
      </c>
      <c r="J511" s="10" t="s">
        <v>25</v>
      </c>
      <c r="K511" s="10" t="s">
        <v>26</v>
      </c>
      <c r="L511" s="10" t="s">
        <v>30</v>
      </c>
      <c r="M511" s="18" t="s">
        <v>28</v>
      </c>
      <c r="N511" s="10"/>
      <c r="O511" s="21"/>
      <c r="P511" s="21" t="s">
        <v>1180</v>
      </c>
      <c r="Q511" s="29">
        <f t="shared" si="21"/>
        <v>0</v>
      </c>
      <c r="R511" s="30" t="str">
        <f t="shared" si="22"/>
        <v>P38.182</v>
      </c>
    </row>
    <row r="512" spans="1:18">
      <c r="A512" s="17"/>
      <c r="B512" s="17"/>
      <c r="C512" s="17"/>
      <c r="D512" s="10">
        <f t="shared" si="23"/>
        <v>9655</v>
      </c>
      <c r="E512" s="10" t="s">
        <v>34</v>
      </c>
      <c r="F512" s="21" t="s">
        <v>1181</v>
      </c>
      <c r="G512" s="29">
        <v>0</v>
      </c>
      <c r="H512" s="29">
        <v>0</v>
      </c>
      <c r="I512" s="20" t="s">
        <v>35</v>
      </c>
      <c r="J512" s="10" t="s">
        <v>25</v>
      </c>
      <c r="K512" s="10" t="s">
        <v>26</v>
      </c>
      <c r="L512" s="10" t="s">
        <v>30</v>
      </c>
      <c r="M512" s="18" t="s">
        <v>28</v>
      </c>
      <c r="N512" s="10"/>
      <c r="O512" s="21"/>
      <c r="P512" s="21" t="s">
        <v>1182</v>
      </c>
      <c r="Q512" s="29">
        <f t="shared" si="21"/>
        <v>0</v>
      </c>
      <c r="R512" s="30" t="str">
        <f t="shared" si="22"/>
        <v>P38.183</v>
      </c>
    </row>
    <row r="513" spans="1:18">
      <c r="A513" s="17"/>
      <c r="B513" s="17"/>
      <c r="C513" s="17"/>
      <c r="D513" s="10">
        <f t="shared" si="23"/>
        <v>9656</v>
      </c>
      <c r="E513" s="10" t="s">
        <v>34</v>
      </c>
      <c r="F513" s="21" t="s">
        <v>1183</v>
      </c>
      <c r="G513" s="29">
        <v>0</v>
      </c>
      <c r="H513" s="29">
        <v>0</v>
      </c>
      <c r="I513" s="20" t="s">
        <v>35</v>
      </c>
      <c r="J513" s="10" t="s">
        <v>25</v>
      </c>
      <c r="K513" s="10" t="s">
        <v>26</v>
      </c>
      <c r="L513" s="10" t="s">
        <v>30</v>
      </c>
      <c r="M513" s="18" t="s">
        <v>28</v>
      </c>
      <c r="N513" s="10"/>
      <c r="O513" s="21"/>
      <c r="P513" s="21" t="s">
        <v>1184</v>
      </c>
      <c r="Q513" s="29">
        <f t="shared" si="21"/>
        <v>0</v>
      </c>
      <c r="R513" s="30" t="str">
        <f t="shared" si="22"/>
        <v>P38.184</v>
      </c>
    </row>
    <row r="514" spans="1:18">
      <c r="A514" s="17"/>
      <c r="B514" s="17"/>
      <c r="C514" s="17"/>
      <c r="D514" s="10">
        <f t="shared" si="23"/>
        <v>9657</v>
      </c>
      <c r="E514" s="10" t="s">
        <v>20</v>
      </c>
      <c r="F514" s="21" t="s">
        <v>1185</v>
      </c>
      <c r="G514" s="29">
        <v>0</v>
      </c>
      <c r="H514" s="29">
        <v>0</v>
      </c>
      <c r="I514" s="20" t="s">
        <v>24</v>
      </c>
      <c r="J514" s="10" t="s">
        <v>25</v>
      </c>
      <c r="K514" s="10" t="s">
        <v>26</v>
      </c>
      <c r="L514" s="10" t="s">
        <v>30</v>
      </c>
      <c r="M514" s="18" t="s">
        <v>28</v>
      </c>
      <c r="N514" s="10"/>
      <c r="O514" s="21"/>
      <c r="P514" s="21" t="s">
        <v>1186</v>
      </c>
      <c r="Q514" s="29">
        <f t="shared" si="21"/>
        <v>0</v>
      </c>
      <c r="R514" s="30" t="str">
        <f t="shared" si="22"/>
        <v>P38.185</v>
      </c>
    </row>
    <row r="515" spans="1:18">
      <c r="A515" s="17"/>
      <c r="B515" s="17"/>
      <c r="C515" s="17"/>
      <c r="D515" s="10">
        <f t="shared" si="23"/>
        <v>9659</v>
      </c>
      <c r="E515" s="10" t="s">
        <v>434</v>
      </c>
      <c r="F515" s="21" t="s">
        <v>1187</v>
      </c>
      <c r="G515" s="29">
        <v>0</v>
      </c>
      <c r="H515" s="20" t="s">
        <v>436</v>
      </c>
      <c r="I515" s="20" t="s">
        <v>437</v>
      </c>
      <c r="J515" s="10" t="s">
        <v>25</v>
      </c>
      <c r="K515" s="10" t="s">
        <v>26</v>
      </c>
      <c r="L515" s="10" t="s">
        <v>30</v>
      </c>
      <c r="M515" s="18" t="s">
        <v>28</v>
      </c>
      <c r="N515" s="10"/>
      <c r="O515" s="21"/>
      <c r="P515" s="21" t="s">
        <v>1188</v>
      </c>
      <c r="Q515" s="29">
        <f t="shared" si="21"/>
        <v>0</v>
      </c>
      <c r="R515" s="30" t="str">
        <f t="shared" si="22"/>
        <v>P38.187</v>
      </c>
    </row>
    <row r="516" spans="1:18">
      <c r="A516" s="17"/>
      <c r="B516" s="17"/>
      <c r="C516" s="17"/>
      <c r="D516" s="10">
        <f t="shared" si="23"/>
        <v>9661</v>
      </c>
      <c r="E516" s="10" t="s">
        <v>434</v>
      </c>
      <c r="F516" s="21" t="s">
        <v>1189</v>
      </c>
      <c r="G516" s="29">
        <v>0</v>
      </c>
      <c r="H516" s="20" t="s">
        <v>436</v>
      </c>
      <c r="I516" s="20" t="s">
        <v>437</v>
      </c>
      <c r="J516" s="10" t="s">
        <v>25</v>
      </c>
      <c r="K516" s="10" t="s">
        <v>26</v>
      </c>
      <c r="L516" s="10" t="s">
        <v>30</v>
      </c>
      <c r="M516" s="18" t="s">
        <v>28</v>
      </c>
      <c r="N516" s="10"/>
      <c r="O516" s="21"/>
      <c r="P516" s="21" t="s">
        <v>1190</v>
      </c>
      <c r="Q516" s="29">
        <f t="shared" si="21"/>
        <v>0</v>
      </c>
      <c r="R516" s="30" t="str">
        <f t="shared" si="22"/>
        <v>P38.189</v>
      </c>
    </row>
    <row r="517" spans="1:18">
      <c r="A517" s="17"/>
      <c r="B517" s="17"/>
      <c r="C517" s="17"/>
      <c r="D517" s="10">
        <f t="shared" si="23"/>
        <v>9663</v>
      </c>
      <c r="E517" s="10" t="s">
        <v>434</v>
      </c>
      <c r="F517" s="21" t="s">
        <v>1191</v>
      </c>
      <c r="G517" s="29">
        <v>0</v>
      </c>
      <c r="H517" s="20" t="s">
        <v>436</v>
      </c>
      <c r="I517" s="20" t="s">
        <v>437</v>
      </c>
      <c r="J517" s="10" t="s">
        <v>25</v>
      </c>
      <c r="K517" s="10" t="s">
        <v>26</v>
      </c>
      <c r="L517" s="10" t="s">
        <v>30</v>
      </c>
      <c r="M517" s="18" t="s">
        <v>28</v>
      </c>
      <c r="N517" s="10"/>
      <c r="O517" s="21"/>
      <c r="P517" s="21" t="s">
        <v>1192</v>
      </c>
      <c r="Q517" s="29">
        <f t="shared" si="21"/>
        <v>0</v>
      </c>
      <c r="R517" s="30" t="str">
        <f t="shared" si="22"/>
        <v>P38.191</v>
      </c>
    </row>
    <row r="518" spans="1:18">
      <c r="A518" s="17"/>
      <c r="B518" s="17"/>
      <c r="C518" s="17"/>
      <c r="D518" s="10">
        <f t="shared" si="23"/>
        <v>9665</v>
      </c>
      <c r="E518" s="10" t="s">
        <v>34</v>
      </c>
      <c r="F518" s="21" t="s">
        <v>1193</v>
      </c>
      <c r="G518" s="29">
        <v>0</v>
      </c>
      <c r="H518" s="29">
        <v>0</v>
      </c>
      <c r="I518" s="20" t="s">
        <v>35</v>
      </c>
      <c r="J518" s="10" t="s">
        <v>25</v>
      </c>
      <c r="K518" s="10" t="s">
        <v>26</v>
      </c>
      <c r="L518" s="10" t="s">
        <v>30</v>
      </c>
      <c r="M518" s="18" t="s">
        <v>28</v>
      </c>
      <c r="N518" s="10"/>
      <c r="O518" s="21"/>
      <c r="P518" s="21" t="s">
        <v>1194</v>
      </c>
      <c r="Q518" s="29">
        <f t="shared" si="21"/>
        <v>0</v>
      </c>
      <c r="R518" s="30" t="str">
        <f t="shared" si="22"/>
        <v>P38.193</v>
      </c>
    </row>
    <row r="519" spans="1:18">
      <c r="A519" s="17"/>
      <c r="B519" s="17"/>
      <c r="C519" s="17"/>
      <c r="D519" s="10">
        <f t="shared" si="23"/>
        <v>9666</v>
      </c>
      <c r="E519" s="10" t="s">
        <v>34</v>
      </c>
      <c r="F519" s="21" t="s">
        <v>1195</v>
      </c>
      <c r="G519" s="29">
        <v>0</v>
      </c>
      <c r="H519" s="29">
        <v>0</v>
      </c>
      <c r="I519" s="20" t="s">
        <v>35</v>
      </c>
      <c r="J519" s="10" t="s">
        <v>25</v>
      </c>
      <c r="K519" s="10" t="s">
        <v>26</v>
      </c>
      <c r="L519" s="10" t="s">
        <v>30</v>
      </c>
      <c r="M519" s="18" t="s">
        <v>28</v>
      </c>
      <c r="N519" s="10"/>
      <c r="O519" s="21"/>
      <c r="P519" s="21" t="s">
        <v>1196</v>
      </c>
      <c r="Q519" s="29">
        <f t="shared" si="21"/>
        <v>0</v>
      </c>
      <c r="R519" s="30" t="str">
        <f t="shared" si="22"/>
        <v>P38.194</v>
      </c>
    </row>
    <row r="520" spans="1:18">
      <c r="A520" s="17"/>
      <c r="B520" s="17"/>
      <c r="C520" s="17"/>
      <c r="D520" s="10">
        <f t="shared" si="23"/>
        <v>9667</v>
      </c>
      <c r="E520" s="10" t="s">
        <v>434</v>
      </c>
      <c r="F520" s="21" t="s">
        <v>1197</v>
      </c>
      <c r="G520" s="29">
        <v>0</v>
      </c>
      <c r="H520" s="20" t="s">
        <v>436</v>
      </c>
      <c r="I520" s="20" t="s">
        <v>437</v>
      </c>
      <c r="J520" s="10" t="s">
        <v>25</v>
      </c>
      <c r="K520" s="10" t="s">
        <v>26</v>
      </c>
      <c r="L520" s="10" t="s">
        <v>30</v>
      </c>
      <c r="M520" s="18" t="s">
        <v>28</v>
      </c>
      <c r="N520" s="10"/>
      <c r="O520" s="21"/>
      <c r="P520" s="21" t="s">
        <v>1198</v>
      </c>
      <c r="Q520" s="29">
        <f t="shared" ref="Q520:Q543" si="24">IF(OR(F520="",LEFT(TRIM(F520),3)=E520),1,0)</f>
        <v>0</v>
      </c>
      <c r="R520" s="30" t="str">
        <f t="shared" ref="R520:R543" si="25">"P"&amp;TEXT(ROUND(D520/256,0),"00")&amp;"."&amp;TEXT(MOD(D520,256),"000")</f>
        <v>P38.195</v>
      </c>
    </row>
    <row r="521" spans="1:18">
      <c r="A521" s="17"/>
      <c r="B521" s="17"/>
      <c r="C521" s="17"/>
      <c r="D521" s="10">
        <f>INDEX(D:D,ROW()-1)+_xlfn.IFS(INDEX(E:E,ROW()-1)="u16",1,INDEX(E:E,ROW()-1)="s16",1,INDEX(E:E,ROW()-1)="s32",2,INDEX(E:E,ROW()-1)="s64",4,INDEX(E:E,ROW()-1)="u16",1,INDEX(E:E,ROW()-1)="u32",2,INDEX(E:E,ROW()-1)="u64",4,INDEX(E:E,ROW()-1)="f32",2,INDEX(E:E,ROW()-1)="f64",4)</f>
        <v>9669</v>
      </c>
      <c r="E521" s="10" t="s">
        <v>434</v>
      </c>
      <c r="F521" s="21" t="s">
        <v>1199</v>
      </c>
      <c r="G521" s="29">
        <v>0</v>
      </c>
      <c r="H521" s="20" t="s">
        <v>436</v>
      </c>
      <c r="I521" s="20" t="s">
        <v>437</v>
      </c>
      <c r="J521" s="10" t="s">
        <v>25</v>
      </c>
      <c r="K521" s="10" t="s">
        <v>26</v>
      </c>
      <c r="L521" s="10" t="s">
        <v>30</v>
      </c>
      <c r="M521" s="18" t="s">
        <v>28</v>
      </c>
      <c r="N521" s="10"/>
      <c r="O521" s="21"/>
      <c r="P521" s="21" t="s">
        <v>1200</v>
      </c>
      <c r="Q521" s="29">
        <f t="shared" si="24"/>
        <v>0</v>
      </c>
      <c r="R521" s="30" t="str">
        <f t="shared" si="25"/>
        <v>P38.197</v>
      </c>
    </row>
    <row r="522" spans="1:18">
      <c r="A522" s="17"/>
      <c r="B522" s="17"/>
      <c r="C522" s="17"/>
      <c r="D522" s="10">
        <f>INDEX(D:D,ROW()-1)+_xlfn.IFS(INDEX(E:E,ROW()-1)="u16",1,INDEX(E:E,ROW()-1)="s16",1,INDEX(E:E,ROW()-1)="s32",2,INDEX(E:E,ROW()-1)="s64",4,INDEX(E:E,ROW()-1)="u16",1,INDEX(E:E,ROW()-1)="u32",2,INDEX(E:E,ROW()-1)="u64",4,INDEX(E:E,ROW()-1)="f32",2,INDEX(E:E,ROW()-1)="f64",4)</f>
        <v>9671</v>
      </c>
      <c r="E522" s="10" t="s">
        <v>434</v>
      </c>
      <c r="F522" s="21" t="s">
        <v>1201</v>
      </c>
      <c r="G522" s="29">
        <v>0</v>
      </c>
      <c r="H522" s="20" t="s">
        <v>436</v>
      </c>
      <c r="I522" s="20" t="s">
        <v>437</v>
      </c>
      <c r="J522" s="10" t="s">
        <v>25</v>
      </c>
      <c r="K522" s="10" t="s">
        <v>26</v>
      </c>
      <c r="L522" s="10" t="s">
        <v>30</v>
      </c>
      <c r="M522" s="18" t="s">
        <v>28</v>
      </c>
      <c r="N522" s="10"/>
      <c r="O522" s="21"/>
      <c r="P522" s="21" t="s">
        <v>1202</v>
      </c>
      <c r="Q522" s="29">
        <f t="shared" si="24"/>
        <v>0</v>
      </c>
      <c r="R522" s="30" t="str">
        <f t="shared" si="25"/>
        <v>P38.199</v>
      </c>
    </row>
    <row r="523" spans="1:18">
      <c r="A523" s="17"/>
      <c r="B523" s="17"/>
      <c r="C523" s="17"/>
      <c r="D523" s="10">
        <f>INDEX(D:D,ROW()-1)+_xlfn.IFS(INDEX(E:E,ROW()-1)="u16",1,INDEX(E:E,ROW()-1)="s16",1,INDEX(E:E,ROW()-1)="s32",2,INDEX(E:E,ROW()-1)="s64",4,INDEX(E:E,ROW()-1)="u16",1,INDEX(E:E,ROW()-1)="u32",2,INDEX(E:E,ROW()-1)="u64",4,INDEX(E:E,ROW()-1)="f32",2,INDEX(E:E,ROW()-1)="f64",4)</f>
        <v>9673</v>
      </c>
      <c r="E523" s="10" t="s">
        <v>434</v>
      </c>
      <c r="F523" s="21" t="s">
        <v>1203</v>
      </c>
      <c r="G523" s="29">
        <v>0</v>
      </c>
      <c r="H523" s="20" t="s">
        <v>436</v>
      </c>
      <c r="I523" s="20" t="s">
        <v>437</v>
      </c>
      <c r="J523" s="10" t="s">
        <v>25</v>
      </c>
      <c r="K523" s="10" t="s">
        <v>26</v>
      </c>
      <c r="L523" s="10" t="s">
        <v>30</v>
      </c>
      <c r="M523" s="18" t="s">
        <v>28</v>
      </c>
      <c r="N523" s="10"/>
      <c r="O523" s="21"/>
      <c r="P523" s="21" t="s">
        <v>1204</v>
      </c>
      <c r="Q523" s="29">
        <f t="shared" si="24"/>
        <v>0</v>
      </c>
      <c r="R523" s="30" t="str">
        <f t="shared" si="25"/>
        <v>P38.201</v>
      </c>
    </row>
    <row r="524" spans="1:18">
      <c r="A524" s="17"/>
      <c r="B524" s="17"/>
      <c r="C524" s="17"/>
      <c r="D524" s="10">
        <f>INDEX(D:D,ROW()-1)+_xlfn.IFS(INDEX(E:E,ROW()-1)="u16",1,INDEX(E:E,ROW()-1)="s16",1,INDEX(E:E,ROW()-1)="s32",2,INDEX(E:E,ROW()-1)="s64",4,INDEX(E:E,ROW()-1)="u16",1,INDEX(E:E,ROW()-1)="u32",2,INDEX(E:E,ROW()-1)="u64",4,INDEX(E:E,ROW()-1)="f32",2,INDEX(E:E,ROW()-1)="f64",4)</f>
        <v>9675</v>
      </c>
      <c r="E524" s="10" t="s">
        <v>34</v>
      </c>
      <c r="F524" s="21" t="s">
        <v>1205</v>
      </c>
      <c r="G524" s="29">
        <v>0</v>
      </c>
      <c r="H524" s="29">
        <v>0</v>
      </c>
      <c r="I524" s="20" t="s">
        <v>35</v>
      </c>
      <c r="J524" s="10" t="s">
        <v>25</v>
      </c>
      <c r="K524" s="10" t="s">
        <v>26</v>
      </c>
      <c r="L524" s="10" t="s">
        <v>30</v>
      </c>
      <c r="M524" s="18" t="s">
        <v>28</v>
      </c>
      <c r="N524" s="10"/>
      <c r="O524" s="21"/>
      <c r="P524" s="21" t="s">
        <v>1206</v>
      </c>
      <c r="Q524" s="29">
        <f t="shared" si="24"/>
        <v>0</v>
      </c>
      <c r="R524" s="30" t="str">
        <f t="shared" si="25"/>
        <v>P38.203</v>
      </c>
    </row>
    <row r="525" spans="1:18">
      <c r="A525" s="17"/>
      <c r="B525" s="17"/>
      <c r="C525" s="17"/>
      <c r="D525" s="10">
        <f>INDEX(D:D,ROW()-1)+_xlfn.IFS(INDEX(E:E,ROW()-1)="u16",1,INDEX(E:E,ROW()-1)="s16",1,INDEX(E:E,ROW()-1)="s32",2,INDEX(E:E,ROW()-1)="s64",4,INDEX(E:E,ROW()-1)="u16",1,INDEX(E:E,ROW()-1)="u32",2,INDEX(E:E,ROW()-1)="u64",4,INDEX(E:E,ROW()-1)="f32",2,INDEX(E:E,ROW()-1)="f64",4)</f>
        <v>9676</v>
      </c>
      <c r="E525" s="10" t="s">
        <v>34</v>
      </c>
      <c r="F525" s="21" t="s">
        <v>1207</v>
      </c>
      <c r="G525" s="29">
        <v>0</v>
      </c>
      <c r="H525" s="29">
        <v>0</v>
      </c>
      <c r="I525" s="20" t="s">
        <v>35</v>
      </c>
      <c r="J525" s="10" t="s">
        <v>25</v>
      </c>
      <c r="K525" s="10" t="s">
        <v>26</v>
      </c>
      <c r="L525" s="10" t="s">
        <v>30</v>
      </c>
      <c r="M525" s="18" t="s">
        <v>28</v>
      </c>
      <c r="N525" s="10"/>
      <c r="O525" s="21"/>
      <c r="P525" s="21" t="s">
        <v>1208</v>
      </c>
      <c r="Q525" s="29">
        <f t="shared" si="24"/>
        <v>0</v>
      </c>
      <c r="R525" s="30" t="str">
        <f t="shared" si="25"/>
        <v>P38.204</v>
      </c>
    </row>
    <row r="526" spans="1:18">
      <c r="A526" s="17"/>
      <c r="B526" s="17"/>
      <c r="C526" s="17"/>
      <c r="D526" s="10">
        <f>INDEX(D:D,ROW()-1)+_xlfn.IFS(INDEX(E:E,ROW()-1)="u16",1,INDEX(E:E,ROW()-1)="s16",1,INDEX(E:E,ROW()-1)="s32",2,INDEX(E:E,ROW()-1)="s64",4,INDEX(E:E,ROW()-1)="u16",1,INDEX(E:E,ROW()-1)="u32",2,INDEX(E:E,ROW()-1)="u64",4,INDEX(E:E,ROW()-1)="f32",2,INDEX(E:E,ROW()-1)="f64",4)</f>
        <v>9677</v>
      </c>
      <c r="E526" s="10" t="s">
        <v>20</v>
      </c>
      <c r="F526" s="21" t="s">
        <v>1209</v>
      </c>
      <c r="G526" s="29">
        <v>0</v>
      </c>
      <c r="H526" s="29">
        <v>0</v>
      </c>
      <c r="I526" s="20" t="s">
        <v>24</v>
      </c>
      <c r="J526" s="10" t="s">
        <v>25</v>
      </c>
      <c r="K526" s="10" t="s">
        <v>26</v>
      </c>
      <c r="L526" s="10" t="s">
        <v>30</v>
      </c>
      <c r="M526" s="18" t="s">
        <v>28</v>
      </c>
      <c r="N526" s="10"/>
      <c r="O526" s="21"/>
      <c r="P526" s="21" t="s">
        <v>1210</v>
      </c>
      <c r="Q526" s="29">
        <f t="shared" si="24"/>
        <v>0</v>
      </c>
      <c r="R526" s="30" t="str">
        <f t="shared" si="25"/>
        <v>P38.205</v>
      </c>
    </row>
    <row r="527" spans="1:18">
      <c r="A527" s="17"/>
      <c r="B527" s="17"/>
      <c r="C527" s="17"/>
      <c r="D527" s="10">
        <f>INDEX(D:D,ROW()-1)+_xlfn.IFS(INDEX(E:E,ROW()-1)="u16",1,INDEX(E:E,ROW()-1)="s16",1,INDEX(E:E,ROW()-1)="s32",2,INDEX(E:E,ROW()-1)="s64",4,INDEX(E:E,ROW()-1)="u16",1,INDEX(E:E,ROW()-1)="u32",2,INDEX(E:E,ROW()-1)="u64",4,INDEX(E:E,ROW()-1)="f32",2,INDEX(E:E,ROW()-1)="f64",4)</f>
        <v>9679</v>
      </c>
      <c r="E527" s="10" t="s">
        <v>20</v>
      </c>
      <c r="F527" s="21" t="s">
        <v>1211</v>
      </c>
      <c r="G527" s="29">
        <v>0</v>
      </c>
      <c r="H527" s="29">
        <v>0</v>
      </c>
      <c r="I527" s="20" t="s">
        <v>24</v>
      </c>
      <c r="J527" s="10" t="s">
        <v>25</v>
      </c>
      <c r="K527" s="10" t="s">
        <v>26</v>
      </c>
      <c r="L527" s="10" t="s">
        <v>30</v>
      </c>
      <c r="M527" s="18" t="s">
        <v>28</v>
      </c>
      <c r="N527" s="10"/>
      <c r="O527" s="21"/>
      <c r="P527" s="21" t="s">
        <v>1212</v>
      </c>
      <c r="Q527" s="29">
        <f t="shared" si="24"/>
        <v>0</v>
      </c>
      <c r="R527" s="30" t="str">
        <f t="shared" si="25"/>
        <v>P38.207</v>
      </c>
    </row>
    <row r="528" spans="1:18">
      <c r="A528" s="17"/>
      <c r="B528" s="17"/>
      <c r="C528" s="17"/>
      <c r="D528" s="10">
        <f>INDEX(D:D,ROW()-1)+_xlfn.IFS(INDEX(E:E,ROW()-1)="u16",1,INDEX(E:E,ROW()-1)="s16",1,INDEX(E:E,ROW()-1)="s32",2,INDEX(E:E,ROW()-1)="s64",4,INDEX(E:E,ROW()-1)="u16",1,INDEX(E:E,ROW()-1)="u32",2,INDEX(E:E,ROW()-1)="u64",4,INDEX(E:E,ROW()-1)="f32",2,INDEX(E:E,ROW()-1)="f64",4)</f>
        <v>9681</v>
      </c>
      <c r="E528" s="10" t="s">
        <v>434</v>
      </c>
      <c r="F528" s="21" t="s">
        <v>1213</v>
      </c>
      <c r="G528" s="29">
        <v>0</v>
      </c>
      <c r="H528" s="20" t="s">
        <v>436</v>
      </c>
      <c r="I528" s="20" t="s">
        <v>437</v>
      </c>
      <c r="J528" s="10" t="s">
        <v>25</v>
      </c>
      <c r="K528" s="10" t="s">
        <v>26</v>
      </c>
      <c r="L528" s="10" t="s">
        <v>30</v>
      </c>
      <c r="M528" s="18" t="s">
        <v>28</v>
      </c>
      <c r="N528" s="10"/>
      <c r="O528" s="21"/>
      <c r="P528" s="21" t="s">
        <v>1214</v>
      </c>
      <c r="Q528" s="29">
        <f t="shared" si="24"/>
        <v>0</v>
      </c>
      <c r="R528" s="30" t="str">
        <f t="shared" si="25"/>
        <v>P38.209</v>
      </c>
    </row>
    <row r="529" spans="1:18">
      <c r="A529" s="17"/>
      <c r="B529" s="17"/>
      <c r="C529" s="17"/>
      <c r="D529" s="10">
        <f>INDEX(D:D,ROW()-1)+_xlfn.IFS(INDEX(E:E,ROW()-1)="u16",1,INDEX(E:E,ROW()-1)="s16",1,INDEX(E:E,ROW()-1)="s32",2,INDEX(E:E,ROW()-1)="s64",4,INDEX(E:E,ROW()-1)="u16",1,INDEX(E:E,ROW()-1)="u32",2,INDEX(E:E,ROW()-1)="u64",4,INDEX(E:E,ROW()-1)="f32",2,INDEX(E:E,ROW()-1)="f64",4)</f>
        <v>9683</v>
      </c>
      <c r="E529" s="10" t="s">
        <v>434</v>
      </c>
      <c r="F529" s="21" t="s">
        <v>1215</v>
      </c>
      <c r="G529" s="29">
        <v>0</v>
      </c>
      <c r="H529" s="20" t="s">
        <v>436</v>
      </c>
      <c r="I529" s="20" t="s">
        <v>437</v>
      </c>
      <c r="J529" s="10" t="s">
        <v>25</v>
      </c>
      <c r="K529" s="10" t="s">
        <v>26</v>
      </c>
      <c r="L529" s="10" t="s">
        <v>30</v>
      </c>
      <c r="M529" s="18" t="s">
        <v>28</v>
      </c>
      <c r="N529" s="10"/>
      <c r="O529" s="21"/>
      <c r="P529" s="21" t="s">
        <v>1216</v>
      </c>
      <c r="Q529" s="29">
        <f t="shared" si="24"/>
        <v>0</v>
      </c>
      <c r="R529" s="30" t="str">
        <f t="shared" si="25"/>
        <v>P38.211</v>
      </c>
    </row>
    <row r="530" spans="1:18">
      <c r="A530" s="17"/>
      <c r="B530" s="17"/>
      <c r="C530" s="17"/>
      <c r="D530" s="10">
        <f>INDEX(D:D,ROW()-1)+_xlfn.IFS(INDEX(E:E,ROW()-1)="u16",1,INDEX(E:E,ROW()-1)="s16",1,INDEX(E:E,ROW()-1)="s32",2,INDEX(E:E,ROW()-1)="s64",4,INDEX(E:E,ROW()-1)="u16",1,INDEX(E:E,ROW()-1)="u32",2,INDEX(E:E,ROW()-1)="u64",4,INDEX(E:E,ROW()-1)="f32",2,INDEX(E:E,ROW()-1)="f64",4)</f>
        <v>9685</v>
      </c>
      <c r="E530" s="10" t="s">
        <v>20</v>
      </c>
      <c r="F530" s="21" t="s">
        <v>1217</v>
      </c>
      <c r="G530" s="29">
        <v>0</v>
      </c>
      <c r="H530" s="29">
        <v>0</v>
      </c>
      <c r="I530" s="20" t="s">
        <v>24</v>
      </c>
      <c r="J530" s="10" t="s">
        <v>25</v>
      </c>
      <c r="K530" s="10" t="s">
        <v>26</v>
      </c>
      <c r="L530" s="10" t="s">
        <v>30</v>
      </c>
      <c r="M530" s="18" t="s">
        <v>28</v>
      </c>
      <c r="N530" s="10"/>
      <c r="O530" s="21"/>
      <c r="P530" s="21" t="s">
        <v>1218</v>
      </c>
      <c r="Q530" s="29">
        <f t="shared" si="24"/>
        <v>0</v>
      </c>
      <c r="R530" s="30" t="str">
        <f t="shared" si="25"/>
        <v>P38.213</v>
      </c>
    </row>
    <row r="531" spans="1:18">
      <c r="A531" s="17"/>
      <c r="B531" s="17"/>
      <c r="C531" s="17"/>
      <c r="D531" s="10">
        <f>INDEX(D:D,ROW()-1)+_xlfn.IFS(INDEX(E:E,ROW()-1)="u16",1,INDEX(E:E,ROW()-1)="s16",1,INDEX(E:E,ROW()-1)="s32",2,INDEX(E:E,ROW()-1)="s64",4,INDEX(E:E,ROW()-1)="u16",1,INDEX(E:E,ROW()-1)="u32",2,INDEX(E:E,ROW()-1)="u64",4,INDEX(E:E,ROW()-1)="f32",2,INDEX(E:E,ROW()-1)="f64",4)</f>
        <v>9687</v>
      </c>
      <c r="E531" s="10" t="s">
        <v>34</v>
      </c>
      <c r="F531" s="21" t="s">
        <v>1219</v>
      </c>
      <c r="G531" s="29">
        <v>0</v>
      </c>
      <c r="H531" s="29">
        <v>0</v>
      </c>
      <c r="I531" s="20" t="s">
        <v>35</v>
      </c>
      <c r="J531" s="10" t="s">
        <v>25</v>
      </c>
      <c r="K531" s="10" t="s">
        <v>26</v>
      </c>
      <c r="L531" s="10" t="s">
        <v>30</v>
      </c>
      <c r="M531" s="18" t="s">
        <v>28</v>
      </c>
      <c r="N531" s="10"/>
      <c r="O531" s="21"/>
      <c r="P531" s="21" t="s">
        <v>1220</v>
      </c>
      <c r="Q531" s="29">
        <f t="shared" si="24"/>
        <v>0</v>
      </c>
      <c r="R531" s="30" t="str">
        <f t="shared" si="25"/>
        <v>P38.215</v>
      </c>
    </row>
    <row r="532" spans="1:18">
      <c r="A532" s="17"/>
      <c r="B532" s="17"/>
      <c r="C532" s="17"/>
      <c r="D532" s="10">
        <f>INDEX(D:D,ROW()-1)+_xlfn.IFS(INDEX(E:E,ROW()-1)="u16",1,INDEX(E:E,ROW()-1)="s16",1,INDEX(E:E,ROW()-1)="s32",2,INDEX(E:E,ROW()-1)="s64",4,INDEX(E:E,ROW()-1)="u16",1,INDEX(E:E,ROW()-1)="u32",2,INDEX(E:E,ROW()-1)="u64",4,INDEX(E:E,ROW()-1)="f32",2,INDEX(E:E,ROW()-1)="f64",4)</f>
        <v>9688</v>
      </c>
      <c r="E532" s="10" t="s">
        <v>34</v>
      </c>
      <c r="F532" s="21" t="s">
        <v>1221</v>
      </c>
      <c r="G532" s="29">
        <v>0</v>
      </c>
      <c r="H532" s="29">
        <v>0</v>
      </c>
      <c r="I532" s="20" t="s">
        <v>35</v>
      </c>
      <c r="J532" s="10" t="s">
        <v>25</v>
      </c>
      <c r="K532" s="10" t="s">
        <v>26</v>
      </c>
      <c r="L532" s="10" t="s">
        <v>30</v>
      </c>
      <c r="M532" s="18" t="s">
        <v>28</v>
      </c>
      <c r="N532" s="10"/>
      <c r="O532" s="21"/>
      <c r="P532" s="21" t="s">
        <v>1222</v>
      </c>
      <c r="Q532" s="29">
        <f t="shared" si="24"/>
        <v>0</v>
      </c>
      <c r="R532" s="30" t="str">
        <f t="shared" si="25"/>
        <v>P38.216</v>
      </c>
    </row>
    <row r="533" spans="1:18">
      <c r="A533" s="17"/>
      <c r="B533" s="17"/>
      <c r="C533" s="17"/>
      <c r="D533" s="10">
        <f>INDEX(D:D,ROW()-1)+_xlfn.IFS(INDEX(E:E,ROW()-1)="u16",1,INDEX(E:E,ROW()-1)="s16",1,INDEX(E:E,ROW()-1)="s32",2,INDEX(E:E,ROW()-1)="s64",4,INDEX(E:E,ROW()-1)="u16",1,INDEX(E:E,ROW()-1)="u32",2,INDEX(E:E,ROW()-1)="u64",4,INDEX(E:E,ROW()-1)="f32",2,INDEX(E:E,ROW()-1)="f64",4)</f>
        <v>9689</v>
      </c>
      <c r="E533" s="10" t="s">
        <v>434</v>
      </c>
      <c r="F533" s="21" t="s">
        <v>1223</v>
      </c>
      <c r="G533" s="29">
        <v>0</v>
      </c>
      <c r="H533" s="20" t="s">
        <v>436</v>
      </c>
      <c r="I533" s="20" t="s">
        <v>437</v>
      </c>
      <c r="J533" s="10" t="s">
        <v>25</v>
      </c>
      <c r="K533" s="10" t="s">
        <v>26</v>
      </c>
      <c r="L533" s="10" t="s">
        <v>30</v>
      </c>
      <c r="M533" s="18" t="s">
        <v>28</v>
      </c>
      <c r="N533" s="10"/>
      <c r="O533" s="21"/>
      <c r="P533" s="21" t="s">
        <v>1224</v>
      </c>
      <c r="Q533" s="29">
        <f t="shared" si="24"/>
        <v>0</v>
      </c>
      <c r="R533" s="30" t="str">
        <f t="shared" si="25"/>
        <v>P38.217</v>
      </c>
    </row>
    <row r="534" spans="1:18">
      <c r="A534" s="31"/>
      <c r="B534" s="31"/>
      <c r="C534" s="31"/>
      <c r="D534" s="10">
        <f>INDEX(D:D,ROW()-1)+_xlfn.IFS(INDEX(E:E,ROW()-1)="u16",1,INDEX(E:E,ROW()-1)="s16",1,INDEX(E:E,ROW()-1)="s32",2,INDEX(E:E,ROW()-1)="s64",4,INDEX(E:E,ROW()-1)="u16",1,INDEX(E:E,ROW()-1)="u32",2,INDEX(E:E,ROW()-1)="u64",4,INDEX(E:E,ROW()-1)="f32",2,INDEX(E:E,ROW()-1)="f64",4)</f>
        <v>9691</v>
      </c>
      <c r="E534" s="10" t="s">
        <v>20</v>
      </c>
      <c r="F534" s="21" t="s">
        <v>1225</v>
      </c>
      <c r="G534" s="29">
        <v>0</v>
      </c>
      <c r="H534" s="29">
        <v>0</v>
      </c>
      <c r="I534" s="20" t="s">
        <v>24</v>
      </c>
      <c r="J534" s="10" t="s">
        <v>25</v>
      </c>
      <c r="K534" s="10" t="s">
        <v>26</v>
      </c>
      <c r="L534" s="10" t="s">
        <v>30</v>
      </c>
      <c r="M534" s="18" t="s">
        <v>28</v>
      </c>
      <c r="N534" s="10"/>
      <c r="O534" s="21"/>
      <c r="P534" s="21" t="s">
        <v>1226</v>
      </c>
      <c r="Q534" s="29">
        <f t="shared" si="24"/>
        <v>0</v>
      </c>
      <c r="R534" s="30" t="str">
        <f t="shared" si="25"/>
        <v>P38.219</v>
      </c>
    </row>
    <row r="535" spans="1:18">
      <c r="A535" s="10"/>
      <c r="B535" s="33"/>
      <c r="C535" s="10"/>
      <c r="D535" s="10">
        <f>INDEX(D:D,ROW()-1)+_xlfn.IFS(INDEX(E:E,ROW()-1)="u16",1,INDEX(E:E,ROW()-1)="s16",1,INDEX(E:E,ROW()-1)="s32",2,INDEX(E:E,ROW()-1)="s64",4,INDEX(E:E,ROW()-1)="u16",1,INDEX(E:E,ROW()-1)="u32",2,INDEX(E:E,ROW()-1)="u64",4,INDEX(E:E,ROW()-1)="f32",2,INDEX(E:E,ROW()-1)="f64",4)</f>
        <v>9693</v>
      </c>
      <c r="E535" s="18" t="s">
        <v>34</v>
      </c>
      <c r="F535" s="21"/>
      <c r="G535" s="20" t="s">
        <v>23</v>
      </c>
      <c r="H535" s="20" t="s">
        <v>23</v>
      </c>
      <c r="I535" s="20" t="s">
        <v>35</v>
      </c>
      <c r="J535" s="10" t="s">
        <v>25</v>
      </c>
      <c r="K535" s="10" t="s">
        <v>26</v>
      </c>
      <c r="L535" s="10" t="s">
        <v>30</v>
      </c>
      <c r="M535" s="18" t="s">
        <v>28</v>
      </c>
      <c r="N535" s="21"/>
      <c r="O535" s="21"/>
      <c r="P535" s="21"/>
      <c r="Q535" s="29">
        <f t="shared" si="24"/>
        <v>1</v>
      </c>
      <c r="R535" s="30" t="str">
        <f t="shared" si="25"/>
        <v>P38.221</v>
      </c>
    </row>
    <row r="536" s="3" customFormat="1" spans="1:18">
      <c r="A536" s="10"/>
      <c r="B536" s="33"/>
      <c r="C536" s="10"/>
      <c r="D536" s="10">
        <f>INDEX(D:D,ROW()-1)+_xlfn.IFS(INDEX(E:E,ROW()-1)="u16",1,INDEX(E:E,ROW()-1)="s16",1,INDEX(E:E,ROW()-1)="s32",2,INDEX(E:E,ROW()-1)="s64",4,INDEX(E:E,ROW()-1)="u16",1,INDEX(E:E,ROW()-1)="u32",2,INDEX(E:E,ROW()-1)="u64",4,INDEX(E:E,ROW()-1)="f32",2,INDEX(E:E,ROW()-1)="f64",4)</f>
        <v>9694</v>
      </c>
      <c r="E536" s="18" t="s">
        <v>34</v>
      </c>
      <c r="F536" s="21"/>
      <c r="G536" s="20" t="s">
        <v>23</v>
      </c>
      <c r="H536" s="20" t="s">
        <v>23</v>
      </c>
      <c r="I536" s="20" t="s">
        <v>35</v>
      </c>
      <c r="J536" s="10" t="s">
        <v>25</v>
      </c>
      <c r="K536" s="10" t="s">
        <v>26</v>
      </c>
      <c r="L536" s="10" t="s">
        <v>30</v>
      </c>
      <c r="M536" s="18" t="s">
        <v>28</v>
      </c>
      <c r="N536" s="19"/>
      <c r="O536" s="21"/>
      <c r="P536" s="21"/>
      <c r="Q536" s="29">
        <f t="shared" si="24"/>
        <v>1</v>
      </c>
      <c r="R536" s="30" t="str">
        <f t="shared" si="25"/>
        <v>P38.222</v>
      </c>
    </row>
    <row r="537" s="3" customFormat="1" spans="1:18">
      <c r="A537" s="10"/>
      <c r="B537" s="33"/>
      <c r="C537" s="10"/>
      <c r="D537" s="10">
        <f>INDEX(D:D,ROW()-1)+_xlfn.IFS(INDEX(E:E,ROW()-1)="u16",1,INDEX(E:E,ROW()-1)="s16",1,INDEX(E:E,ROW()-1)="s32",2,INDEX(E:E,ROW()-1)="s64",4,INDEX(E:E,ROW()-1)="u16",1,INDEX(E:E,ROW()-1)="u32",2,INDEX(E:E,ROW()-1)="u64",4,INDEX(E:E,ROW()-1)="f32",2,INDEX(E:E,ROW()-1)="f64",4)</f>
        <v>9695</v>
      </c>
      <c r="E537" s="18" t="s">
        <v>34</v>
      </c>
      <c r="F537" s="21"/>
      <c r="G537" s="20" t="s">
        <v>23</v>
      </c>
      <c r="H537" s="20" t="s">
        <v>23</v>
      </c>
      <c r="I537" s="20" t="s">
        <v>35</v>
      </c>
      <c r="J537" s="10" t="s">
        <v>25</v>
      </c>
      <c r="K537" s="10" t="s">
        <v>26</v>
      </c>
      <c r="L537" s="10" t="s">
        <v>30</v>
      </c>
      <c r="M537" s="18" t="s">
        <v>28</v>
      </c>
      <c r="N537" s="19"/>
      <c r="O537" s="21"/>
      <c r="P537" s="21"/>
      <c r="Q537" s="29">
        <f t="shared" si="24"/>
        <v>1</v>
      </c>
      <c r="R537" s="30" t="str">
        <f t="shared" si="25"/>
        <v>P38.223</v>
      </c>
    </row>
    <row r="538" s="7" customFormat="1" ht="13.8" spans="1:18">
      <c r="A538" s="10"/>
      <c r="B538" s="33"/>
      <c r="C538" s="10"/>
      <c r="D538" s="10">
        <f>INDEX(D:D,ROW()-1)+_xlfn.IFS(INDEX(E:E,ROW()-1)="u16",1,INDEX(E:E,ROW()-1)="s16",1,INDEX(E:E,ROW()-1)="s32",2,INDEX(E:E,ROW()-1)="s64",4,INDEX(E:E,ROW()-1)="u16",1,INDEX(E:E,ROW()-1)="u32",2,INDEX(E:E,ROW()-1)="u64",4,INDEX(E:E,ROW()-1)="f32",2,INDEX(E:E,ROW()-1)="f64",4)</f>
        <v>9696</v>
      </c>
      <c r="E538" s="18" t="s">
        <v>34</v>
      </c>
      <c r="F538" s="21"/>
      <c r="G538" s="20" t="s">
        <v>23</v>
      </c>
      <c r="H538" s="20" t="s">
        <v>23</v>
      </c>
      <c r="I538" s="20" t="s">
        <v>35</v>
      </c>
      <c r="J538" s="10" t="s">
        <v>25</v>
      </c>
      <c r="K538" s="10" t="s">
        <v>26</v>
      </c>
      <c r="L538" s="10" t="s">
        <v>30</v>
      </c>
      <c r="M538" s="18" t="s">
        <v>28</v>
      </c>
      <c r="N538" s="19"/>
      <c r="O538" s="21"/>
      <c r="P538" s="21"/>
      <c r="Q538" s="29">
        <f t="shared" si="24"/>
        <v>1</v>
      </c>
      <c r="R538" s="30" t="str">
        <f t="shared" si="25"/>
        <v>P38.224</v>
      </c>
    </row>
    <row r="539" spans="1:18">
      <c r="A539" s="10"/>
      <c r="B539" s="33"/>
      <c r="C539" s="10"/>
      <c r="D539" s="10">
        <f>INDEX(D:D,ROW()-1)+_xlfn.IFS(INDEX(E:E,ROW()-1)="u16",1,INDEX(E:E,ROW()-1)="s16",1,INDEX(E:E,ROW()-1)="s32",2,INDEX(E:E,ROW()-1)="s64",4,INDEX(E:E,ROW()-1)="u16",1,INDEX(E:E,ROW()-1)="u32",2,INDEX(E:E,ROW()-1)="u64",4,INDEX(E:E,ROW()-1)="f32",2,INDEX(E:E,ROW()-1)="f64",4)</f>
        <v>9697</v>
      </c>
      <c r="E539" s="18" t="s">
        <v>34</v>
      </c>
      <c r="F539" s="21"/>
      <c r="G539" s="20" t="s">
        <v>23</v>
      </c>
      <c r="H539" s="20" t="s">
        <v>23</v>
      </c>
      <c r="I539" s="20" t="s">
        <v>35</v>
      </c>
      <c r="J539" s="10" t="s">
        <v>25</v>
      </c>
      <c r="K539" s="10" t="s">
        <v>26</v>
      </c>
      <c r="L539" s="10" t="s">
        <v>30</v>
      </c>
      <c r="M539" s="18" t="s">
        <v>28</v>
      </c>
      <c r="N539" s="19"/>
      <c r="O539" s="21"/>
      <c r="P539" s="21"/>
      <c r="Q539" s="29">
        <f t="shared" si="24"/>
        <v>1</v>
      </c>
      <c r="R539" s="30" t="str">
        <f t="shared" si="25"/>
        <v>P38.225</v>
      </c>
    </row>
    <row r="540" spans="1:18">
      <c r="A540" s="10"/>
      <c r="B540" s="33"/>
      <c r="C540" s="10"/>
      <c r="D540" s="10">
        <f>INDEX(D:D,ROW()-1)+_xlfn.IFS(INDEX(E:E,ROW()-1)="u16",1,INDEX(E:E,ROW()-1)="s16",1,INDEX(E:E,ROW()-1)="s32",2,INDEX(E:E,ROW()-1)="s64",4,INDEX(E:E,ROW()-1)="u16",1,INDEX(E:E,ROW()-1)="u32",2,INDEX(E:E,ROW()-1)="u64",4,INDEX(E:E,ROW()-1)="f32",2,INDEX(E:E,ROW()-1)="f64",4)</f>
        <v>9698</v>
      </c>
      <c r="E540" s="18" t="s">
        <v>34</v>
      </c>
      <c r="F540" s="21"/>
      <c r="G540" s="20" t="s">
        <v>23</v>
      </c>
      <c r="H540" s="20" t="s">
        <v>23</v>
      </c>
      <c r="I540" s="20" t="s">
        <v>35</v>
      </c>
      <c r="J540" s="10" t="s">
        <v>25</v>
      </c>
      <c r="K540" s="10" t="s">
        <v>26</v>
      </c>
      <c r="L540" s="10" t="s">
        <v>30</v>
      </c>
      <c r="M540" s="18" t="s">
        <v>28</v>
      </c>
      <c r="N540" s="19"/>
      <c r="O540" s="21"/>
      <c r="P540" s="21"/>
      <c r="Q540" s="29">
        <f t="shared" si="24"/>
        <v>1</v>
      </c>
      <c r="R540" s="30" t="str">
        <f t="shared" si="25"/>
        <v>P38.226</v>
      </c>
    </row>
    <row r="541" spans="1:18">
      <c r="A541" s="10"/>
      <c r="B541" s="33"/>
      <c r="C541" s="10"/>
      <c r="D541" s="10">
        <f>INDEX(D:D,ROW()-1)+_xlfn.IFS(INDEX(E:E,ROW()-1)="u16",1,INDEX(E:E,ROW()-1)="s16",1,INDEX(E:E,ROW()-1)="s32",2,INDEX(E:E,ROW()-1)="s64",4,INDEX(E:E,ROW()-1)="u16",1,INDEX(E:E,ROW()-1)="u32",2,INDEX(E:E,ROW()-1)="u64",4,INDEX(E:E,ROW()-1)="f32",2,INDEX(E:E,ROW()-1)="f64",4)</f>
        <v>9699</v>
      </c>
      <c r="E541" s="18" t="s">
        <v>34</v>
      </c>
      <c r="F541" s="21"/>
      <c r="G541" s="20" t="s">
        <v>23</v>
      </c>
      <c r="H541" s="20" t="s">
        <v>23</v>
      </c>
      <c r="I541" s="20" t="s">
        <v>35</v>
      </c>
      <c r="J541" s="10" t="s">
        <v>25</v>
      </c>
      <c r="K541" s="10" t="s">
        <v>26</v>
      </c>
      <c r="L541" s="10" t="s">
        <v>30</v>
      </c>
      <c r="M541" s="18" t="s">
        <v>28</v>
      </c>
      <c r="N541" s="19"/>
      <c r="O541" s="21"/>
      <c r="P541" s="21"/>
      <c r="Q541" s="29">
        <f t="shared" si="24"/>
        <v>1</v>
      </c>
      <c r="R541" s="30" t="str">
        <f t="shared" si="25"/>
        <v>P38.227</v>
      </c>
    </row>
    <row r="542" spans="1:18">
      <c r="A542" s="10"/>
      <c r="B542" s="33"/>
      <c r="C542" s="10"/>
      <c r="D542" s="10">
        <f>INDEX(D:D,ROW()-1)+_xlfn.IFS(INDEX(E:E,ROW()-1)="u16",1,INDEX(E:E,ROW()-1)="s16",1,INDEX(E:E,ROW()-1)="s32",2,INDEX(E:E,ROW()-1)="s64",4,INDEX(E:E,ROW()-1)="u16",1,INDEX(E:E,ROW()-1)="u32",2,INDEX(E:E,ROW()-1)="u64",4,INDEX(E:E,ROW()-1)="f32",2,INDEX(E:E,ROW()-1)="f64",4)</f>
        <v>9700</v>
      </c>
      <c r="E542" s="18" t="s">
        <v>34</v>
      </c>
      <c r="F542" s="21"/>
      <c r="G542" s="20" t="s">
        <v>23</v>
      </c>
      <c r="H542" s="20" t="s">
        <v>23</v>
      </c>
      <c r="I542" s="20" t="s">
        <v>35</v>
      </c>
      <c r="J542" s="10" t="s">
        <v>25</v>
      </c>
      <c r="K542" s="10" t="s">
        <v>26</v>
      </c>
      <c r="L542" s="10" t="s">
        <v>30</v>
      </c>
      <c r="M542" s="18" t="s">
        <v>28</v>
      </c>
      <c r="N542" s="19"/>
      <c r="O542" s="21"/>
      <c r="P542" s="21"/>
      <c r="Q542" s="29">
        <f t="shared" si="24"/>
        <v>1</v>
      </c>
      <c r="R542" s="30" t="str">
        <f t="shared" si="25"/>
        <v>P38.228</v>
      </c>
    </row>
    <row r="543" spans="1:18">
      <c r="A543" s="10"/>
      <c r="B543" s="33"/>
      <c r="C543" s="10"/>
      <c r="D543" s="10">
        <f>INDEX(D:D,ROW()-1)+_xlfn.IFS(INDEX(E:E,ROW()-1)="u16",1,INDEX(E:E,ROW()-1)="s16",1,INDEX(E:E,ROW()-1)="s32",2,INDEX(E:E,ROW()-1)="s64",4,INDEX(E:E,ROW()-1)="u16",1,INDEX(E:E,ROW()-1)="u32",2,INDEX(E:E,ROW()-1)="u64",4,INDEX(E:E,ROW()-1)="f32",2,INDEX(E:E,ROW()-1)="f64",4)</f>
        <v>9701</v>
      </c>
      <c r="E543" s="18" t="s">
        <v>34</v>
      </c>
      <c r="F543" s="21"/>
      <c r="G543" s="20" t="s">
        <v>23</v>
      </c>
      <c r="H543" s="20" t="s">
        <v>23</v>
      </c>
      <c r="I543" s="20" t="s">
        <v>35</v>
      </c>
      <c r="J543" s="10" t="s">
        <v>25</v>
      </c>
      <c r="K543" s="10" t="s">
        <v>26</v>
      </c>
      <c r="L543" s="10" t="s">
        <v>30</v>
      </c>
      <c r="M543" s="18" t="s">
        <v>28</v>
      </c>
      <c r="N543" s="19"/>
      <c r="O543" s="21"/>
      <c r="P543" s="21"/>
      <c r="Q543" s="29">
        <f t="shared" si="24"/>
        <v>1</v>
      </c>
      <c r="R543" s="30" t="str">
        <f t="shared" si="25"/>
        <v>P38.229</v>
      </c>
    </row>
  </sheetData>
  <mergeCells count="40">
    <mergeCell ref="J3:M3"/>
    <mergeCell ref="A3:A4"/>
    <mergeCell ref="A5:A90"/>
    <mergeCell ref="A91:A167"/>
    <mergeCell ref="A168:A289"/>
    <mergeCell ref="A290:A296"/>
    <mergeCell ref="A297:A364"/>
    <mergeCell ref="A365:A426"/>
    <mergeCell ref="A427:A464"/>
    <mergeCell ref="A465:A534"/>
    <mergeCell ref="B3:B4"/>
    <mergeCell ref="B5:B90"/>
    <mergeCell ref="B91:B167"/>
    <mergeCell ref="B168:B289"/>
    <mergeCell ref="B290:B296"/>
    <mergeCell ref="B297:B364"/>
    <mergeCell ref="B365:B426"/>
    <mergeCell ref="B427:B464"/>
    <mergeCell ref="B465:B534"/>
    <mergeCell ref="C3:C4"/>
    <mergeCell ref="C5:C90"/>
    <mergeCell ref="C91:C167"/>
    <mergeCell ref="C168:C289"/>
    <mergeCell ref="C290:C296"/>
    <mergeCell ref="C297:C364"/>
    <mergeCell ref="C365:C426"/>
    <mergeCell ref="C427:C464"/>
    <mergeCell ref="C465:C534"/>
    <mergeCell ref="D3:D4"/>
    <mergeCell ref="E3:E4"/>
    <mergeCell ref="F3:F4"/>
    <mergeCell ref="G3:G4"/>
    <mergeCell ref="H3:H4"/>
    <mergeCell ref="I3:I4"/>
    <mergeCell ref="N3:N4"/>
    <mergeCell ref="O3:O4"/>
    <mergeCell ref="P3:P4"/>
    <mergeCell ref="R3:R4"/>
    <mergeCell ref="A1:C2"/>
    <mergeCell ref="D1:P2"/>
  </mergeCells>
  <conditionalFormatting sqref="E5">
    <cfRule type="cellIs" priority="35" operator="equal">
      <formula>"s16"</formula>
    </cfRule>
    <cfRule type="cellIs" dxfId="8" priority="34" operator="equal">
      <formula>"s32"</formula>
    </cfRule>
    <cfRule type="cellIs" dxfId="9" priority="33" operator="equal">
      <formula>"s64"</formula>
    </cfRule>
    <cfRule type="cellIs" priority="32" operator="equal">
      <formula>"u16"</formula>
    </cfRule>
    <cfRule type="cellIs" dxfId="10" priority="31" operator="equal">
      <formula>"u32"</formula>
    </cfRule>
    <cfRule type="cellIs" dxfId="11" priority="30" operator="equal">
      <formula>"u64"</formula>
    </cfRule>
    <cfRule type="cellIs" dxfId="12" priority="29" operator="equal">
      <formula>"f32"</formula>
    </cfRule>
    <cfRule type="cellIs" dxfId="13" priority="28" operator="equal">
      <formula>"f64"</formula>
    </cfRule>
    <cfRule type="cellIs" dxfId="12" priority="27" operator="equal">
      <formula>"f32"</formula>
    </cfRule>
    <cfRule type="cellIs" dxfId="13" priority="26" operator="equal">
      <formula>"f64"</formula>
    </cfRule>
    <cfRule type="cellIs" dxfId="13" priority="25" operator="equal">
      <formula>"f64"</formula>
    </cfRule>
  </conditionalFormatting>
  <conditionalFormatting sqref="F5">
    <cfRule type="containsBlanks" dxfId="7" priority="24">
      <formula>LEN(TRIM(F5))=0</formula>
    </cfRule>
  </conditionalFormatting>
  <conditionalFormatting sqref="K5">
    <cfRule type="cellIs" dxfId="2" priority="42" operator="equal">
      <formula>"读写 - 停机更改，立即生效"</formula>
    </cfRule>
    <cfRule type="cellIs" dxfId="1" priority="41" operator="equal">
      <formula>"读写 - 立即更改，重启生效"</formula>
    </cfRule>
    <cfRule type="cellIs" dxfId="0" priority="40" operator="equal">
      <formula>"读写 - 立即更改，立即生效"</formula>
    </cfRule>
  </conditionalFormatting>
  <conditionalFormatting sqref="L5">
    <cfRule type="cellIs" dxfId="4" priority="39" operator="equal">
      <formula>"允许保存，可恢复"</formula>
    </cfRule>
    <cfRule type="cellIs" dxfId="3" priority="38" operator="equal">
      <formula>"允许保存，不可恢复"</formula>
    </cfRule>
  </conditionalFormatting>
  <conditionalFormatting sqref="M5">
    <cfRule type="cellIs" dxfId="6" priority="37" operator="equal">
      <formula>"Admin"</formula>
    </cfRule>
    <cfRule type="cellIs" dxfId="5" priority="36" operator="equal">
      <formula>"User"</formula>
    </cfRule>
  </conditionalFormatting>
  <conditionalFormatting sqref="O5">
    <cfRule type="containsBlanks" dxfId="7" priority="43">
      <formula>LEN(TRIM(O5))=0</formula>
    </cfRule>
  </conditionalFormatting>
  <conditionalFormatting sqref="P5">
    <cfRule type="containsBlanks" dxfId="7" priority="3">
      <formula>LEN(TRIM(P5))=0</formula>
    </cfRule>
  </conditionalFormatting>
  <conditionalFormatting sqref="E6">
    <cfRule type="cellIs" priority="15" operator="equal">
      <formula>"s16"</formula>
    </cfRule>
    <cfRule type="cellIs" dxfId="8" priority="14" operator="equal">
      <formula>"s32"</formula>
    </cfRule>
    <cfRule type="cellIs" dxfId="9" priority="13" operator="equal">
      <formula>"s64"</formula>
    </cfRule>
    <cfRule type="cellIs" priority="12" operator="equal">
      <formula>"u16"</formula>
    </cfRule>
    <cfRule type="cellIs" dxfId="10" priority="11" operator="equal">
      <formula>"u32"</formula>
    </cfRule>
    <cfRule type="cellIs" dxfId="11" priority="10" operator="equal">
      <formula>"u64"</formula>
    </cfRule>
    <cfRule type="cellIs" dxfId="12" priority="9" operator="equal">
      <formula>"f32"</formula>
    </cfRule>
    <cfRule type="cellIs" dxfId="13" priority="8" operator="equal">
      <formula>"f64"</formula>
    </cfRule>
    <cfRule type="cellIs" dxfId="12" priority="7" operator="equal">
      <formula>"f32"</formula>
    </cfRule>
    <cfRule type="cellIs" dxfId="13" priority="6" operator="equal">
      <formula>"f64"</formula>
    </cfRule>
    <cfRule type="cellIs" dxfId="13" priority="5" operator="equal">
      <formula>"f64"</formula>
    </cfRule>
  </conditionalFormatting>
  <conditionalFormatting sqref="F6">
    <cfRule type="containsBlanks" dxfId="7" priority="4">
      <formula>LEN(TRIM(F6))=0</formula>
    </cfRule>
  </conditionalFormatting>
  <conditionalFormatting sqref="K6">
    <cfRule type="cellIs" dxfId="2" priority="22" operator="equal">
      <formula>"读写 - 停机更改，立即生效"</formula>
    </cfRule>
    <cfRule type="cellIs" dxfId="1" priority="21" operator="equal">
      <formula>"读写 - 立即更改，重启生效"</formula>
    </cfRule>
    <cfRule type="cellIs" dxfId="0" priority="20" operator="equal">
      <formula>"读写 - 立即更改，立即生效"</formula>
    </cfRule>
  </conditionalFormatting>
  <conditionalFormatting sqref="L6">
    <cfRule type="cellIs" dxfId="4" priority="19" operator="equal">
      <formula>"允许保存，可恢复"</formula>
    </cfRule>
    <cfRule type="cellIs" dxfId="3" priority="18" operator="equal">
      <formula>"允许保存，不可恢复"</formula>
    </cfRule>
  </conditionalFormatting>
  <conditionalFormatting sqref="M6">
    <cfRule type="cellIs" dxfId="6" priority="17" operator="equal">
      <formula>"Admin"</formula>
    </cfRule>
    <cfRule type="cellIs" dxfId="5" priority="16" operator="equal">
      <formula>"User"</formula>
    </cfRule>
  </conditionalFormatting>
  <conditionalFormatting sqref="O6">
    <cfRule type="containsBlanks" dxfId="7" priority="23">
      <formula>LEN(TRIM(O6))=0</formula>
    </cfRule>
  </conditionalFormatting>
  <conditionalFormatting sqref="E7">
    <cfRule type="cellIs" dxfId="13" priority="235" operator="equal">
      <formula>"f64"</formula>
    </cfRule>
    <cfRule type="cellIs" dxfId="13" priority="236" operator="equal">
      <formula>"f64"</formula>
    </cfRule>
    <cfRule type="cellIs" dxfId="12" priority="237" operator="equal">
      <formula>"f32"</formula>
    </cfRule>
    <cfRule type="cellIs" dxfId="13" priority="238" operator="equal">
      <formula>"f64"</formula>
    </cfRule>
    <cfRule type="cellIs" dxfId="12" priority="239" operator="equal">
      <formula>"f32"</formula>
    </cfRule>
    <cfRule type="cellIs" dxfId="11" priority="240" operator="equal">
      <formula>"u64"</formula>
    </cfRule>
    <cfRule type="cellIs" dxfId="10" priority="241" operator="equal">
      <formula>"u32"</formula>
    </cfRule>
    <cfRule type="cellIs" priority="242" operator="equal">
      <formula>"u16"</formula>
    </cfRule>
    <cfRule type="cellIs" dxfId="9" priority="243" operator="equal">
      <formula>"s64"</formula>
    </cfRule>
    <cfRule type="cellIs" dxfId="8" priority="244" operator="equal">
      <formula>"s32"</formula>
    </cfRule>
    <cfRule type="cellIs" priority="245" operator="equal">
      <formula>"s16"</formula>
    </cfRule>
  </conditionalFormatting>
  <conditionalFormatting sqref="F7">
    <cfRule type="containsBlanks" dxfId="7" priority="234">
      <formula>LEN(TRIM(F7))=0</formula>
    </cfRule>
  </conditionalFormatting>
  <conditionalFormatting sqref="K7">
    <cfRule type="cellIs" dxfId="0" priority="246" operator="equal">
      <formula>"读写 - 立即更改，立即生效"</formula>
    </cfRule>
    <cfRule type="cellIs" dxfId="1" priority="247" operator="equal">
      <formula>"读写 - 立即更改，重启生效"</formula>
    </cfRule>
    <cfRule type="cellIs" dxfId="2" priority="248" operator="equal">
      <formula>"读写 - 停机更改，立即生效"</formula>
    </cfRule>
  </conditionalFormatting>
  <conditionalFormatting sqref="L7">
    <cfRule type="cellIs" dxfId="3" priority="212" operator="equal">
      <formula>"允许保存，不可恢复"</formula>
    </cfRule>
    <cfRule type="cellIs" dxfId="4" priority="213" operator="equal">
      <formula>"允许保存，可恢复"</formula>
    </cfRule>
  </conditionalFormatting>
  <conditionalFormatting sqref="M7">
    <cfRule type="cellIs" dxfId="5" priority="210" operator="equal">
      <formula>"User"</formula>
    </cfRule>
    <cfRule type="cellIs" dxfId="6" priority="211" operator="equal">
      <formula>"Admin"</formula>
    </cfRule>
  </conditionalFormatting>
  <conditionalFormatting sqref="K16">
    <cfRule type="cellIs" dxfId="0" priority="195" operator="equal">
      <formula>"读写 - 立即更改，立即生效"</formula>
    </cfRule>
    <cfRule type="cellIs" dxfId="1" priority="196" operator="equal">
      <formula>"读写 - 立即更改，重启生效"</formula>
    </cfRule>
    <cfRule type="cellIs" dxfId="2" priority="197" operator="equal">
      <formula>"读写 - 停机更改，立即生效"</formula>
    </cfRule>
  </conditionalFormatting>
  <conditionalFormatting sqref="M16">
    <cfRule type="cellIs" dxfId="5" priority="199" operator="equal">
      <formula>"User"</formula>
    </cfRule>
    <cfRule type="cellIs" dxfId="6" priority="200" operator="equal">
      <formula>"Admin"</formula>
    </cfRule>
  </conditionalFormatting>
  <conditionalFormatting sqref="P16">
    <cfRule type="containsBlanks" dxfId="7" priority="209">
      <formula>LEN(TRIM(P16))=0</formula>
    </cfRule>
  </conditionalFormatting>
  <conditionalFormatting sqref="K17">
    <cfRule type="cellIs" dxfId="0" priority="202" operator="equal">
      <formula>"读写 - 立即更改，立即生效"</formula>
    </cfRule>
    <cfRule type="cellIs" dxfId="1" priority="203" operator="equal">
      <formula>"读写 - 立即更改，重启生效"</formula>
    </cfRule>
    <cfRule type="cellIs" dxfId="2" priority="204" operator="equal">
      <formula>"读写 - 停机更改，立即生效"</formula>
    </cfRule>
  </conditionalFormatting>
  <conditionalFormatting sqref="M17">
    <cfRule type="cellIs" dxfId="5" priority="206" operator="equal">
      <formula>"User"</formula>
    </cfRule>
    <cfRule type="cellIs" dxfId="6" priority="207" operator="equal">
      <formula>"Admin"</formula>
    </cfRule>
  </conditionalFormatting>
  <conditionalFormatting sqref="E25">
    <cfRule type="cellIs" dxfId="13" priority="216" operator="equal">
      <formula>"f64"</formula>
    </cfRule>
    <cfRule type="cellIs" dxfId="13" priority="224" operator="equal">
      <formula>"f64"</formula>
    </cfRule>
    <cfRule type="cellIs" dxfId="12" priority="225" operator="equal">
      <formula>"f32"</formula>
    </cfRule>
    <cfRule type="cellIs" dxfId="13" priority="226" operator="equal">
      <formula>"f64"</formula>
    </cfRule>
    <cfRule type="cellIs" dxfId="12" priority="227" operator="equal">
      <formula>"f32"</formula>
    </cfRule>
    <cfRule type="cellIs" dxfId="11" priority="228" operator="equal">
      <formula>"u64"</formula>
    </cfRule>
    <cfRule type="cellIs" dxfId="10" priority="229" operator="equal">
      <formula>"u32"</formula>
    </cfRule>
    <cfRule type="cellIs" priority="230" operator="equal">
      <formula>"u16"</formula>
    </cfRule>
    <cfRule type="cellIs" dxfId="9" priority="231" operator="equal">
      <formula>"s64"</formula>
    </cfRule>
    <cfRule type="cellIs" dxfId="8" priority="232" operator="equal">
      <formula>"s32"</formula>
    </cfRule>
    <cfRule type="cellIs" priority="233" operator="equal">
      <formula>"s16"</formula>
    </cfRule>
  </conditionalFormatting>
  <conditionalFormatting sqref="F25">
    <cfRule type="containsBlanks" dxfId="7" priority="214">
      <formula>LEN(TRIM(F25))=0</formula>
    </cfRule>
  </conditionalFormatting>
  <conditionalFormatting sqref="K25">
    <cfRule type="cellIs" dxfId="0" priority="217" operator="equal">
      <formula>"读写 - 立即更改，立即生效"</formula>
    </cfRule>
    <cfRule type="cellIs" dxfId="1" priority="218" operator="equal">
      <formula>"读写 - 立即更改，重启生效"</formula>
    </cfRule>
    <cfRule type="cellIs" dxfId="2" priority="219" operator="equal">
      <formula>"读写 - 停机更改，立即生效"</formula>
    </cfRule>
  </conditionalFormatting>
  <conditionalFormatting sqref="M25">
    <cfRule type="cellIs" dxfId="5" priority="221" operator="equal">
      <formula>"User"</formula>
    </cfRule>
    <cfRule type="cellIs" dxfId="6" priority="222" operator="equal">
      <formula>"Admin"</formula>
    </cfRule>
  </conditionalFormatting>
  <conditionalFormatting sqref="O25">
    <cfRule type="containsBlanks" dxfId="7" priority="215">
      <formula>LEN(TRIM(O25))=0</formula>
    </cfRule>
  </conditionalFormatting>
  <conditionalFormatting sqref="E26">
    <cfRule type="cellIs" dxfId="13" priority="139" operator="equal">
      <formula>"f64"</formula>
    </cfRule>
    <cfRule type="cellIs" dxfId="13" priority="140" operator="equal">
      <formula>"f64"</formula>
    </cfRule>
    <cfRule type="cellIs" dxfId="12" priority="141" operator="equal">
      <formula>"f32"</formula>
    </cfRule>
    <cfRule type="cellIs" dxfId="13" priority="142" operator="equal">
      <formula>"f64"</formula>
    </cfRule>
    <cfRule type="cellIs" dxfId="12" priority="143" operator="equal">
      <formula>"f32"</formula>
    </cfRule>
    <cfRule type="cellIs" dxfId="11" priority="144" operator="equal">
      <formula>"u64"</formula>
    </cfRule>
    <cfRule type="cellIs" dxfId="10" priority="145" operator="equal">
      <formula>"u32"</formula>
    </cfRule>
    <cfRule type="cellIs" priority="146" operator="equal">
      <formula>"u16"</formula>
    </cfRule>
    <cfRule type="cellIs" dxfId="9" priority="147" operator="equal">
      <formula>"s64"</formula>
    </cfRule>
    <cfRule type="cellIs" dxfId="8" priority="148" operator="equal">
      <formula>"s32"</formula>
    </cfRule>
    <cfRule type="cellIs" priority="149" operator="equal">
      <formula>"s16"</formula>
    </cfRule>
  </conditionalFormatting>
  <conditionalFormatting sqref="F26">
    <cfRule type="containsBlanks" dxfId="7" priority="138">
      <formula>LEN(TRIM(F26))=0</formula>
    </cfRule>
  </conditionalFormatting>
  <conditionalFormatting sqref="K26">
    <cfRule type="cellIs" dxfId="0" priority="88" operator="equal">
      <formula>"读写 - 立即更改，立即生效"</formula>
    </cfRule>
    <cfRule type="cellIs" dxfId="1" priority="89" operator="equal">
      <formula>"读写 - 立即更改，重启生效"</formula>
    </cfRule>
    <cfRule type="cellIs" dxfId="2" priority="90" operator="equal">
      <formula>"读写 - 停机更改，立即生效"</formula>
    </cfRule>
  </conditionalFormatting>
  <conditionalFormatting sqref="M26">
    <cfRule type="cellIs" dxfId="5" priority="92" operator="equal">
      <formula>"User"</formula>
    </cfRule>
    <cfRule type="cellIs" dxfId="6" priority="93" operator="equal">
      <formula>"Admin"</formula>
    </cfRule>
  </conditionalFormatting>
  <conditionalFormatting sqref="P26">
    <cfRule type="containsBlanks" dxfId="7" priority="137">
      <formula>LEN(TRIM(P26))=0</formula>
    </cfRule>
  </conditionalFormatting>
  <conditionalFormatting sqref="K29">
    <cfRule type="cellIs" dxfId="0" priority="85" operator="equal">
      <formula>"读写 - 立即更改，立即生效"</formula>
    </cfRule>
    <cfRule type="cellIs" dxfId="1" priority="86" operator="equal">
      <formula>"读写 - 立即更改，重启生效"</formula>
    </cfRule>
    <cfRule type="cellIs" dxfId="2" priority="87" operator="equal">
      <formula>"读写 - 停机更改，立即生效"</formula>
    </cfRule>
  </conditionalFormatting>
  <conditionalFormatting sqref="E30">
    <cfRule type="cellIs" dxfId="13" priority="271" operator="equal">
      <formula>"f64"</formula>
    </cfRule>
    <cfRule type="cellIs" dxfId="13" priority="277" operator="equal">
      <formula>"f64"</formula>
    </cfRule>
    <cfRule type="cellIs" dxfId="12" priority="278" operator="equal">
      <formula>"f32"</formula>
    </cfRule>
    <cfRule type="cellIs" dxfId="13" priority="279" operator="equal">
      <formula>"f64"</formula>
    </cfRule>
    <cfRule type="cellIs" dxfId="12" priority="280" operator="equal">
      <formula>"f32"</formula>
    </cfRule>
    <cfRule type="cellIs" dxfId="11" priority="281" operator="equal">
      <formula>"u64"</formula>
    </cfRule>
    <cfRule type="cellIs" dxfId="10" priority="282" operator="equal">
      <formula>"u32"</formula>
    </cfRule>
    <cfRule type="cellIs" priority="283" operator="equal">
      <formula>"u16"</formula>
    </cfRule>
    <cfRule type="cellIs" dxfId="9" priority="284" operator="equal">
      <formula>"s64"</formula>
    </cfRule>
    <cfRule type="cellIs" dxfId="8" priority="285" operator="equal">
      <formula>"s32"</formula>
    </cfRule>
    <cfRule type="cellIs" priority="286" operator="equal">
      <formula>"s16"</formula>
    </cfRule>
  </conditionalFormatting>
  <conditionalFormatting sqref="K30">
    <cfRule type="cellIs" dxfId="0" priority="272" operator="equal">
      <formula>"读写 - 立即更改，立即生效"</formula>
    </cfRule>
    <cfRule type="cellIs" dxfId="1" priority="273" operator="equal">
      <formula>"读写 - 立即更改，重启生效"</formula>
    </cfRule>
    <cfRule type="cellIs" dxfId="2" priority="274" operator="equal">
      <formula>"读写 - 停机更改，立即生效"</formula>
    </cfRule>
  </conditionalFormatting>
  <conditionalFormatting sqref="L30">
    <cfRule type="cellIs" dxfId="3" priority="275" operator="equal">
      <formula>"允许保存，不可恢复"</formula>
    </cfRule>
    <cfRule type="cellIs" dxfId="4" priority="276" operator="equal">
      <formula>"允许保存，可恢复"</formula>
    </cfRule>
  </conditionalFormatting>
  <conditionalFormatting sqref="K31">
    <cfRule type="cellIs" dxfId="0" priority="288" operator="equal">
      <formula>"读写 - 立即更改，立即生效"</formula>
    </cfRule>
    <cfRule type="cellIs" dxfId="1" priority="289" operator="equal">
      <formula>"读写 - 立即更改，重启生效"</formula>
    </cfRule>
    <cfRule type="cellIs" dxfId="2" priority="290" operator="equal">
      <formula>"读写 - 停机更改，立即生效"</formula>
    </cfRule>
  </conditionalFormatting>
  <conditionalFormatting sqref="L31">
    <cfRule type="cellIs" dxfId="3" priority="291" operator="equal">
      <formula>"允许保存，不可恢复"</formula>
    </cfRule>
    <cfRule type="cellIs" dxfId="4" priority="292" operator="equal">
      <formula>"允许保存，可恢复"</formula>
    </cfRule>
  </conditionalFormatting>
  <conditionalFormatting sqref="P33">
    <cfRule type="containsBlanks" dxfId="7" priority="136">
      <formula>LEN(TRIM(P33))=0</formula>
    </cfRule>
  </conditionalFormatting>
  <conditionalFormatting sqref="E34">
    <cfRule type="cellIs" dxfId="13" priority="250" operator="equal">
      <formula>"f64"</formula>
    </cfRule>
    <cfRule type="cellIs" dxfId="13" priority="251" operator="equal">
      <formula>"f64"</formula>
    </cfRule>
    <cfRule type="cellIs" dxfId="12" priority="252" operator="equal">
      <formula>"f32"</formula>
    </cfRule>
    <cfRule type="cellIs" dxfId="13" priority="253" operator="equal">
      <formula>"f64"</formula>
    </cfRule>
    <cfRule type="cellIs" dxfId="12" priority="254" operator="equal">
      <formula>"f32"</formula>
    </cfRule>
    <cfRule type="cellIs" dxfId="11" priority="255" operator="equal">
      <formula>"u64"</formula>
    </cfRule>
    <cfRule type="cellIs" dxfId="10" priority="256" operator="equal">
      <formula>"u32"</formula>
    </cfRule>
    <cfRule type="cellIs" priority="257" operator="equal">
      <formula>"u16"</formula>
    </cfRule>
    <cfRule type="cellIs" dxfId="9" priority="258" operator="equal">
      <formula>"s64"</formula>
    </cfRule>
    <cfRule type="cellIs" dxfId="8" priority="259" operator="equal">
      <formula>"s32"</formula>
    </cfRule>
    <cfRule type="cellIs" priority="260" operator="equal">
      <formula>"s16"</formula>
    </cfRule>
  </conditionalFormatting>
  <conditionalFormatting sqref="F34">
    <cfRule type="containsBlanks" dxfId="7" priority="249">
      <formula>LEN(TRIM(F34))=0</formula>
    </cfRule>
  </conditionalFormatting>
  <conditionalFormatting sqref="K34">
    <cfRule type="cellIs" dxfId="0" priority="265" operator="equal">
      <formula>"读写 - 立即更改，立即生效"</formula>
    </cfRule>
    <cfRule type="cellIs" dxfId="1" priority="266" operator="equal">
      <formula>"读写 - 立即更改，重启生效"</formula>
    </cfRule>
    <cfRule type="cellIs" dxfId="2" priority="267" operator="equal">
      <formula>"读写 - 停机更改，立即生效"</formula>
    </cfRule>
  </conditionalFormatting>
  <conditionalFormatting sqref="L34">
    <cfRule type="cellIs" dxfId="3" priority="263" operator="equal">
      <formula>"允许保存，不可恢复"</formula>
    </cfRule>
    <cfRule type="cellIs" dxfId="4" priority="264" operator="equal">
      <formula>"允许保存，可恢复"</formula>
    </cfRule>
  </conditionalFormatting>
  <conditionalFormatting sqref="M34">
    <cfRule type="cellIs" dxfId="5" priority="261" operator="equal">
      <formula>"User"</formula>
    </cfRule>
    <cfRule type="cellIs" dxfId="6" priority="262" operator="equal">
      <formula>"Admin"</formula>
    </cfRule>
  </conditionalFormatting>
  <conditionalFormatting sqref="O34">
    <cfRule type="containsBlanks" dxfId="7" priority="268">
      <formula>LEN(TRIM(O34))=0</formula>
    </cfRule>
  </conditionalFormatting>
  <conditionalFormatting sqref="P34">
    <cfRule type="containsBlanks" dxfId="7" priority="116">
      <formula>LEN(TRIM(P34))=0</formula>
    </cfRule>
  </conditionalFormatting>
  <conditionalFormatting sqref="E35">
    <cfRule type="cellIs" dxfId="13" priority="46" operator="equal">
      <formula>"f64"</formula>
    </cfRule>
    <cfRule type="cellIs" dxfId="13" priority="47" operator="equal">
      <formula>"f64"</formula>
    </cfRule>
    <cfRule type="cellIs" dxfId="12" priority="48" operator="equal">
      <formula>"f32"</formula>
    </cfRule>
    <cfRule type="cellIs" dxfId="13" priority="49" operator="equal">
      <formula>"f64"</formula>
    </cfRule>
    <cfRule type="cellIs" dxfId="12" priority="50" operator="equal">
      <formula>"f32"</formula>
    </cfRule>
    <cfRule type="cellIs" dxfId="11" priority="51" operator="equal">
      <formula>"u64"</formula>
    </cfRule>
    <cfRule type="cellIs" dxfId="10" priority="52" operator="equal">
      <formula>"u32"</formula>
    </cfRule>
    <cfRule type="cellIs" priority="53" operator="equal">
      <formula>"u16"</formula>
    </cfRule>
    <cfRule type="cellIs" dxfId="9" priority="54" operator="equal">
      <formula>"s64"</formula>
    </cfRule>
    <cfRule type="cellIs" dxfId="8" priority="55" operator="equal">
      <formula>"s32"</formula>
    </cfRule>
    <cfRule type="cellIs" priority="56" operator="equal">
      <formula>"s16"</formula>
    </cfRule>
  </conditionalFormatting>
  <conditionalFormatting sqref="F35">
    <cfRule type="containsBlanks" dxfId="7" priority="45">
      <formula>LEN(TRIM(F35))=0</formula>
    </cfRule>
  </conditionalFormatting>
  <conditionalFormatting sqref="K35">
    <cfRule type="cellIs" dxfId="0" priority="61" operator="equal">
      <formula>"读写 - 立即更改，立即生效"</formula>
    </cfRule>
    <cfRule type="cellIs" dxfId="1" priority="62" operator="equal">
      <formula>"读写 - 立即更改，重启生效"</formula>
    </cfRule>
    <cfRule type="cellIs" dxfId="2" priority="63" operator="equal">
      <formula>"读写 - 停机更改，立即生效"</formula>
    </cfRule>
  </conditionalFormatting>
  <conditionalFormatting sqref="L35">
    <cfRule type="cellIs" dxfId="3" priority="59" operator="equal">
      <formula>"允许保存，不可恢复"</formula>
    </cfRule>
    <cfRule type="cellIs" dxfId="4" priority="60" operator="equal">
      <formula>"允许保存，可恢复"</formula>
    </cfRule>
  </conditionalFormatting>
  <conditionalFormatting sqref="M35">
    <cfRule type="cellIs" dxfId="5" priority="57" operator="equal">
      <formula>"User"</formula>
    </cfRule>
    <cfRule type="cellIs" dxfId="6" priority="58" operator="equal">
      <formula>"Admin"</formula>
    </cfRule>
  </conditionalFormatting>
  <conditionalFormatting sqref="O35">
    <cfRule type="containsBlanks" dxfId="7" priority="64">
      <formula>LEN(TRIM(O35))=0</formula>
    </cfRule>
  </conditionalFormatting>
  <conditionalFormatting sqref="P35">
    <cfRule type="containsBlanks" dxfId="7" priority="44">
      <formula>LEN(TRIM(P35))=0</formula>
    </cfRule>
  </conditionalFormatting>
  <conditionalFormatting sqref="E37">
    <cfRule type="cellIs" dxfId="13" priority="66" operator="equal">
      <formula>"f64"</formula>
    </cfRule>
    <cfRule type="cellIs" dxfId="13" priority="67" operator="equal">
      <formula>"f64"</formula>
    </cfRule>
    <cfRule type="cellIs" dxfId="12" priority="68" operator="equal">
      <formula>"f32"</formula>
    </cfRule>
    <cfRule type="cellIs" dxfId="13" priority="69" operator="equal">
      <formula>"f64"</formula>
    </cfRule>
    <cfRule type="cellIs" dxfId="12" priority="70" operator="equal">
      <formula>"f32"</formula>
    </cfRule>
    <cfRule type="cellIs" dxfId="11" priority="71" operator="equal">
      <formula>"u64"</formula>
    </cfRule>
    <cfRule type="cellIs" dxfId="10" priority="72" operator="equal">
      <formula>"u32"</formula>
    </cfRule>
    <cfRule type="cellIs" priority="73" operator="equal">
      <formula>"u16"</formula>
    </cfRule>
    <cfRule type="cellIs" dxfId="9" priority="74" operator="equal">
      <formula>"s64"</formula>
    </cfRule>
    <cfRule type="cellIs" dxfId="8" priority="75" operator="equal">
      <formula>"s32"</formula>
    </cfRule>
    <cfRule type="cellIs" priority="76" operator="equal">
      <formula>"s16"</formula>
    </cfRule>
  </conditionalFormatting>
  <conditionalFormatting sqref="F37">
    <cfRule type="containsBlanks" dxfId="7" priority="65">
      <formula>LEN(TRIM(F37))=0</formula>
    </cfRule>
  </conditionalFormatting>
  <conditionalFormatting sqref="K37">
    <cfRule type="cellIs" dxfId="0" priority="81" operator="equal">
      <formula>"读写 - 立即更改，立即生效"</formula>
    </cfRule>
    <cfRule type="cellIs" dxfId="1" priority="82" operator="equal">
      <formula>"读写 - 立即更改，重启生效"</formula>
    </cfRule>
    <cfRule type="cellIs" dxfId="2" priority="83" operator="equal">
      <formula>"读写 - 停机更改，立即生效"</formula>
    </cfRule>
  </conditionalFormatting>
  <conditionalFormatting sqref="L37">
    <cfRule type="cellIs" dxfId="3" priority="79" operator="equal">
      <formula>"允许保存，不可恢复"</formula>
    </cfRule>
    <cfRule type="cellIs" dxfId="4" priority="80" operator="equal">
      <formula>"允许保存，可恢复"</formula>
    </cfRule>
  </conditionalFormatting>
  <conditionalFormatting sqref="M37">
    <cfRule type="cellIs" dxfId="5" priority="77" operator="equal">
      <formula>"User"</formula>
    </cfRule>
    <cfRule type="cellIs" dxfId="6" priority="78" operator="equal">
      <formula>"Admin"</formula>
    </cfRule>
  </conditionalFormatting>
  <conditionalFormatting sqref="O37">
    <cfRule type="containsBlanks" dxfId="7" priority="84">
      <formula>LEN(TRIM(O37))=0</formula>
    </cfRule>
  </conditionalFormatting>
  <conditionalFormatting sqref="E38">
    <cfRule type="cellIs" dxfId="13" priority="1910" operator="equal">
      <formula>"f64"</formula>
    </cfRule>
    <cfRule type="cellIs" dxfId="13" priority="1911" operator="equal">
      <formula>"f64"</formula>
    </cfRule>
    <cfRule type="cellIs" dxfId="12" priority="1912" operator="equal">
      <formula>"f32"</formula>
    </cfRule>
    <cfRule type="cellIs" dxfId="13" priority="1913" operator="equal">
      <formula>"f64"</formula>
    </cfRule>
    <cfRule type="cellIs" dxfId="12" priority="1914" operator="equal">
      <formula>"f32"</formula>
    </cfRule>
    <cfRule type="cellIs" dxfId="11" priority="1915" operator="equal">
      <formula>"u64"</formula>
    </cfRule>
    <cfRule type="cellIs" dxfId="10" priority="1916" operator="equal">
      <formula>"u32"</formula>
    </cfRule>
    <cfRule type="cellIs" priority="1917" operator="equal">
      <formula>"u16"</formula>
    </cfRule>
    <cfRule type="cellIs" dxfId="9" priority="1918" operator="equal">
      <formula>"s64"</formula>
    </cfRule>
    <cfRule type="cellIs" dxfId="8" priority="1919" operator="equal">
      <formula>"s32"</formula>
    </cfRule>
    <cfRule type="cellIs" priority="1920" operator="equal">
      <formula>"s16"</formula>
    </cfRule>
  </conditionalFormatting>
  <conditionalFormatting sqref="F38">
    <cfRule type="containsBlanks" dxfId="7" priority="1909">
      <formula>LEN(TRIM(F38))=0</formula>
    </cfRule>
  </conditionalFormatting>
  <conditionalFormatting sqref="K38">
    <cfRule type="cellIs" dxfId="0" priority="1925" operator="equal">
      <formula>"读写 - 立即更改，立即生效"</formula>
    </cfRule>
    <cfRule type="cellIs" dxfId="1" priority="1926" operator="equal">
      <formula>"读写 - 立即更改，重启生效"</formula>
    </cfRule>
    <cfRule type="cellIs" dxfId="2" priority="1927" operator="equal">
      <formula>"读写 - 停机更改，立即生效"</formula>
    </cfRule>
  </conditionalFormatting>
  <conditionalFormatting sqref="L38">
    <cfRule type="cellIs" dxfId="3" priority="1923" operator="equal">
      <formula>"允许保存，不可恢复"</formula>
    </cfRule>
    <cfRule type="cellIs" dxfId="4" priority="1924" operator="equal">
      <formula>"允许保存，可恢复"</formula>
    </cfRule>
  </conditionalFormatting>
  <conditionalFormatting sqref="M38">
    <cfRule type="cellIs" dxfId="5" priority="1921" operator="equal">
      <formula>"User"</formula>
    </cfRule>
    <cfRule type="cellIs" dxfId="6" priority="1922" operator="equal">
      <formula>"Admin"</formula>
    </cfRule>
  </conditionalFormatting>
  <conditionalFormatting sqref="O38">
    <cfRule type="containsBlanks" dxfId="7" priority="1928">
      <formula>LEN(TRIM(O38))=0</formula>
    </cfRule>
  </conditionalFormatting>
  <conditionalFormatting sqref="F42">
    <cfRule type="containsBlanks" dxfId="7" priority="358">
      <formula>LEN(TRIM(F42))=0</formula>
    </cfRule>
  </conditionalFormatting>
  <conditionalFormatting sqref="O54">
    <cfRule type="containsBlanks" dxfId="7" priority="1959">
      <formula>LEN(TRIM(O54))=0</formula>
    </cfRule>
  </conditionalFormatting>
  <conditionalFormatting sqref="O55">
    <cfRule type="containsBlanks" dxfId="7" priority="1960">
      <formula>LEN(TRIM(O55))=0</formula>
    </cfRule>
  </conditionalFormatting>
  <conditionalFormatting sqref="O56">
    <cfRule type="containsBlanks" dxfId="7" priority="1957">
      <formula>LEN(TRIM(O56))=0</formula>
    </cfRule>
  </conditionalFormatting>
  <conditionalFormatting sqref="O57">
    <cfRule type="containsBlanks" dxfId="7" priority="1958">
      <formula>LEN(TRIM(O57))=0</formula>
    </cfRule>
  </conditionalFormatting>
  <conditionalFormatting sqref="O58">
    <cfRule type="containsBlanks" dxfId="7" priority="1955">
      <formula>LEN(TRIM(O58))=0</formula>
    </cfRule>
  </conditionalFormatting>
  <conditionalFormatting sqref="O59">
    <cfRule type="containsBlanks" dxfId="7" priority="1956">
      <formula>LEN(TRIM(O59))=0</formula>
    </cfRule>
  </conditionalFormatting>
  <conditionalFormatting sqref="K68">
    <cfRule type="cellIs" dxfId="0" priority="1435" operator="equal">
      <formula>"读写 - 立即更改，立即生效"</formula>
    </cfRule>
    <cfRule type="cellIs" dxfId="1" priority="1436" operator="equal">
      <formula>"读写 - 立即更改，重启生效"</formula>
    </cfRule>
    <cfRule type="cellIs" dxfId="2" priority="1437" operator="equal">
      <formula>"读写 - 停机更改，立即生效"</formula>
    </cfRule>
  </conditionalFormatting>
  <conditionalFormatting sqref="L68">
    <cfRule type="cellIs" dxfId="3" priority="1433" operator="equal">
      <formula>"允许保存，不可恢复"</formula>
    </cfRule>
    <cfRule type="cellIs" dxfId="4" priority="1434" operator="equal">
      <formula>"允许保存，可恢复"</formula>
    </cfRule>
  </conditionalFormatting>
  <conditionalFormatting sqref="E70">
    <cfRule type="cellIs" dxfId="13" priority="1260" operator="equal">
      <formula>"f64"</formula>
    </cfRule>
    <cfRule type="cellIs" dxfId="13" priority="1261" operator="equal">
      <formula>"f64"</formula>
    </cfRule>
    <cfRule type="cellIs" dxfId="12" priority="1262" operator="equal">
      <formula>"f32"</formula>
    </cfRule>
    <cfRule type="cellIs" dxfId="13" priority="1263" operator="equal">
      <formula>"f64"</formula>
    </cfRule>
    <cfRule type="cellIs" dxfId="12" priority="1264" operator="equal">
      <formula>"f32"</formula>
    </cfRule>
    <cfRule type="cellIs" dxfId="11" priority="1265" operator="equal">
      <formula>"u64"</formula>
    </cfRule>
    <cfRule type="cellIs" dxfId="10" priority="1266" operator="equal">
      <formula>"u32"</formula>
    </cfRule>
    <cfRule type="cellIs" priority="1267" operator="equal">
      <formula>"u16"</formula>
    </cfRule>
    <cfRule type="cellIs" dxfId="9" priority="1268" operator="equal">
      <formula>"s64"</formula>
    </cfRule>
    <cfRule type="cellIs" dxfId="8" priority="1269" operator="equal">
      <formula>"s32"</formula>
    </cfRule>
    <cfRule type="cellIs" priority="1270" operator="equal">
      <formula>"s16"</formula>
    </cfRule>
  </conditionalFormatting>
  <conditionalFormatting sqref="F70">
    <cfRule type="containsBlanks" dxfId="7" priority="1259">
      <formula>LEN(TRIM(F70))=0</formula>
    </cfRule>
  </conditionalFormatting>
  <conditionalFormatting sqref="K70">
    <cfRule type="cellIs" dxfId="0" priority="1271" operator="equal">
      <formula>"读写 - 立即更改，立即生效"</formula>
    </cfRule>
    <cfRule type="cellIs" dxfId="1" priority="1272" operator="equal">
      <formula>"读写 - 立即更改，重启生效"</formula>
    </cfRule>
    <cfRule type="cellIs" dxfId="2" priority="1273" operator="equal">
      <formula>"读写 - 停机更改，立即生效"</formula>
    </cfRule>
  </conditionalFormatting>
  <conditionalFormatting sqref="L70">
    <cfRule type="cellIs" dxfId="3" priority="1274" operator="equal">
      <formula>"允许保存，不可恢复"</formula>
    </cfRule>
    <cfRule type="cellIs" dxfId="4" priority="1277" operator="equal">
      <formula>"允许保存，可恢复"</formula>
    </cfRule>
  </conditionalFormatting>
  <conditionalFormatting sqref="M70">
    <cfRule type="cellIs" dxfId="5" priority="1275" operator="equal">
      <formula>"User"</formula>
    </cfRule>
    <cfRule type="cellIs" dxfId="6" priority="1276" operator="equal">
      <formula>"Admin"</formula>
    </cfRule>
  </conditionalFormatting>
  <conditionalFormatting sqref="M73">
    <cfRule type="cellIs" dxfId="6" priority="2" operator="equal">
      <formula>"Admin"</formula>
    </cfRule>
    <cfRule type="cellIs" dxfId="5" priority="1" operator="equal">
      <formula>"User"</formula>
    </cfRule>
  </conditionalFormatting>
  <conditionalFormatting sqref="M74">
    <cfRule type="cellIs" dxfId="5" priority="356" operator="equal">
      <formula>"User"</formula>
    </cfRule>
    <cfRule type="cellIs" dxfId="6" priority="357" operator="equal">
      <formula>"Admin"</formula>
    </cfRule>
  </conditionalFormatting>
  <conditionalFormatting sqref="M75">
    <cfRule type="cellIs" dxfId="5" priority="354" operator="equal">
      <formula>"User"</formula>
    </cfRule>
    <cfRule type="cellIs" dxfId="6" priority="355" operator="equal">
      <formula>"Admin"</formula>
    </cfRule>
  </conditionalFormatting>
  <conditionalFormatting sqref="E98">
    <cfRule type="cellIs" dxfId="13" priority="390" operator="equal">
      <formula>"f64"</formula>
    </cfRule>
    <cfRule type="cellIs" dxfId="13" priority="391" operator="equal">
      <formula>"f64"</formula>
    </cfRule>
    <cfRule type="cellIs" dxfId="12" priority="392" operator="equal">
      <formula>"f32"</formula>
    </cfRule>
    <cfRule type="cellIs" dxfId="13" priority="393" operator="equal">
      <formula>"f64"</formula>
    </cfRule>
    <cfRule type="cellIs" dxfId="12" priority="394" operator="equal">
      <formula>"f32"</formula>
    </cfRule>
    <cfRule type="cellIs" dxfId="11" priority="395" operator="equal">
      <formula>"u64"</formula>
    </cfRule>
    <cfRule type="cellIs" dxfId="10" priority="396" operator="equal">
      <formula>"u32"</formula>
    </cfRule>
    <cfRule type="cellIs" priority="397" operator="equal">
      <formula>"u16"</formula>
    </cfRule>
    <cfRule type="cellIs" dxfId="9" priority="398" operator="equal">
      <formula>"s64"</formula>
    </cfRule>
    <cfRule type="cellIs" dxfId="8" priority="399" operator="equal">
      <formula>"s32"</formula>
    </cfRule>
    <cfRule type="cellIs" priority="400" operator="equal">
      <formula>"s16"</formula>
    </cfRule>
  </conditionalFormatting>
  <conditionalFormatting sqref="F98">
    <cfRule type="containsBlanks" dxfId="7" priority="389">
      <formula>LEN(TRIM(F98))=0</formula>
    </cfRule>
  </conditionalFormatting>
  <conditionalFormatting sqref="K98">
    <cfRule type="cellIs" dxfId="0" priority="405" operator="equal">
      <formula>"读写 - 立即更改，立即生效"</formula>
    </cfRule>
    <cfRule type="cellIs" dxfId="1" priority="406" operator="equal">
      <formula>"读写 - 立即更改，重启生效"</formula>
    </cfRule>
    <cfRule type="cellIs" dxfId="2" priority="407" operator="equal">
      <formula>"读写 - 停机更改，立即生效"</formula>
    </cfRule>
  </conditionalFormatting>
  <conditionalFormatting sqref="L98">
    <cfRule type="cellIs" dxfId="3" priority="403" operator="equal">
      <formula>"允许保存，不可恢复"</formula>
    </cfRule>
    <cfRule type="cellIs" dxfId="4" priority="404" operator="equal">
      <formula>"允许保存，可恢复"</formula>
    </cfRule>
  </conditionalFormatting>
  <conditionalFormatting sqref="M98">
    <cfRule type="cellIs" dxfId="5" priority="401" operator="equal">
      <formula>"User"</formula>
    </cfRule>
    <cfRule type="cellIs" dxfId="6" priority="402" operator="equal">
      <formula>"Admin"</formula>
    </cfRule>
  </conditionalFormatting>
  <conditionalFormatting sqref="O98:P98">
    <cfRule type="containsBlanks" dxfId="7" priority="408">
      <formula>LEN(TRIM(O98))=0</formula>
    </cfRule>
  </conditionalFormatting>
  <conditionalFormatting sqref="O100">
    <cfRule type="containsBlanks" dxfId="7" priority="1952">
      <formula>LEN(TRIM(O100))=0</formula>
    </cfRule>
  </conditionalFormatting>
  <conditionalFormatting sqref="P131">
    <cfRule type="containsBlanks" dxfId="7" priority="1972">
      <formula>LEN(TRIM(P131))=0</formula>
    </cfRule>
  </conditionalFormatting>
  <conditionalFormatting sqref="P140">
    <cfRule type="containsBlanks" dxfId="7" priority="360">
      <formula>LEN(TRIM(P140))=0</formula>
    </cfRule>
  </conditionalFormatting>
  <conditionalFormatting sqref="P146">
    <cfRule type="containsBlanks" dxfId="7" priority="359">
      <formula>LEN(TRIM(P146))=0</formula>
    </cfRule>
  </conditionalFormatting>
  <conditionalFormatting sqref="E173">
    <cfRule type="cellIs" dxfId="13" priority="1506" operator="equal">
      <formula>"f64"</formula>
    </cfRule>
    <cfRule type="cellIs" dxfId="13" priority="1507" operator="equal">
      <formula>"f64"</formula>
    </cfRule>
    <cfRule type="cellIs" dxfId="12" priority="1508" operator="equal">
      <formula>"f32"</formula>
    </cfRule>
    <cfRule type="cellIs" dxfId="13" priority="1509" operator="equal">
      <formula>"f64"</formula>
    </cfRule>
    <cfRule type="cellIs" dxfId="12" priority="1510" operator="equal">
      <formula>"f32"</formula>
    </cfRule>
    <cfRule type="cellIs" dxfId="11" priority="1511" operator="equal">
      <formula>"u64"</formula>
    </cfRule>
    <cfRule type="cellIs" dxfId="10" priority="1512" operator="equal">
      <formula>"u32"</formula>
    </cfRule>
    <cfRule type="cellIs" priority="1513" operator="equal">
      <formula>"u16"</formula>
    </cfRule>
    <cfRule type="cellIs" dxfId="9" priority="1514" operator="equal">
      <formula>"s64"</formula>
    </cfRule>
    <cfRule type="cellIs" dxfId="8" priority="1515" operator="equal">
      <formula>"s32"</formula>
    </cfRule>
    <cfRule type="cellIs" priority="1516" operator="equal">
      <formula>"s16"</formula>
    </cfRule>
  </conditionalFormatting>
  <conditionalFormatting sqref="F173">
    <cfRule type="containsBlanks" dxfId="7" priority="1505">
      <formula>LEN(TRIM(F173))=0</formula>
    </cfRule>
  </conditionalFormatting>
  <conditionalFormatting sqref="K173">
    <cfRule type="cellIs" dxfId="0" priority="1521" operator="equal">
      <formula>"读写 - 立即更改，立即生效"</formula>
    </cfRule>
    <cfRule type="cellIs" dxfId="1" priority="1522" operator="equal">
      <formula>"读写 - 立即更改，重启生效"</formula>
    </cfRule>
    <cfRule type="cellIs" dxfId="2" priority="1523" operator="equal">
      <formula>"读写 - 停机更改，立即生效"</formula>
    </cfRule>
  </conditionalFormatting>
  <conditionalFormatting sqref="L173">
    <cfRule type="cellIs" dxfId="3" priority="1519" operator="equal">
      <formula>"允许保存，不可恢复"</formula>
    </cfRule>
    <cfRule type="cellIs" dxfId="4" priority="1520" operator="equal">
      <formula>"允许保存，可恢复"</formula>
    </cfRule>
  </conditionalFormatting>
  <conditionalFormatting sqref="M173">
    <cfRule type="cellIs" dxfId="5" priority="1517" operator="equal">
      <formula>"User"</formula>
    </cfRule>
    <cfRule type="cellIs" dxfId="6" priority="1518" operator="equal">
      <formula>"Admin"</formula>
    </cfRule>
  </conditionalFormatting>
  <conditionalFormatting sqref="O173">
    <cfRule type="containsBlanks" dxfId="7" priority="1524">
      <formula>LEN(TRIM(O173))=0</formula>
    </cfRule>
  </conditionalFormatting>
  <conditionalFormatting sqref="E183">
    <cfRule type="cellIs" dxfId="13" priority="430" operator="equal">
      <formula>"f64"</formula>
    </cfRule>
    <cfRule type="cellIs" dxfId="13" priority="431" operator="equal">
      <formula>"f64"</formula>
    </cfRule>
    <cfRule type="cellIs" dxfId="12" priority="432" operator="equal">
      <formula>"f32"</formula>
    </cfRule>
    <cfRule type="cellIs" dxfId="13" priority="433" operator="equal">
      <formula>"f64"</formula>
    </cfRule>
    <cfRule type="cellIs" dxfId="12" priority="434" operator="equal">
      <formula>"f32"</formula>
    </cfRule>
    <cfRule type="cellIs" dxfId="11" priority="435" operator="equal">
      <formula>"u64"</formula>
    </cfRule>
    <cfRule type="cellIs" dxfId="10" priority="436" operator="equal">
      <formula>"u32"</formula>
    </cfRule>
    <cfRule type="cellIs" priority="437" operator="equal">
      <formula>"u16"</formula>
    </cfRule>
    <cfRule type="cellIs" dxfId="9" priority="438" operator="equal">
      <formula>"s64"</formula>
    </cfRule>
    <cfRule type="cellIs" dxfId="8" priority="439" operator="equal">
      <formula>"s32"</formula>
    </cfRule>
    <cfRule type="cellIs" priority="440" operator="equal">
      <formula>"s16"</formula>
    </cfRule>
  </conditionalFormatting>
  <conditionalFormatting sqref="F183">
    <cfRule type="containsBlanks" dxfId="7" priority="429">
      <formula>LEN(TRIM(F183))=0</formula>
    </cfRule>
  </conditionalFormatting>
  <conditionalFormatting sqref="K183">
    <cfRule type="cellIs" dxfId="0" priority="445" operator="equal">
      <formula>"读写 - 立即更改，立即生效"</formula>
    </cfRule>
    <cfRule type="cellIs" dxfId="1" priority="446" operator="equal">
      <formula>"读写 - 立即更改，重启生效"</formula>
    </cfRule>
    <cfRule type="cellIs" dxfId="2" priority="447" operator="equal">
      <formula>"读写 - 停机更改，立即生效"</formula>
    </cfRule>
  </conditionalFormatting>
  <conditionalFormatting sqref="L183">
    <cfRule type="cellIs" dxfId="3" priority="443" operator="equal">
      <formula>"允许保存，不可恢复"</formula>
    </cfRule>
    <cfRule type="cellIs" dxfId="4" priority="444" operator="equal">
      <formula>"允许保存，可恢复"</formula>
    </cfRule>
  </conditionalFormatting>
  <conditionalFormatting sqref="M183">
    <cfRule type="cellIs" dxfId="5" priority="441" operator="equal">
      <formula>"User"</formula>
    </cfRule>
    <cfRule type="cellIs" dxfId="6" priority="442" operator="equal">
      <formula>"Admin"</formula>
    </cfRule>
  </conditionalFormatting>
  <conditionalFormatting sqref="O183">
    <cfRule type="containsBlanks" dxfId="7" priority="448">
      <formula>LEN(TRIM(O183))=0</formula>
    </cfRule>
  </conditionalFormatting>
  <conditionalFormatting sqref="E184">
    <cfRule type="cellIs" dxfId="13" priority="450" operator="equal">
      <formula>"f64"</formula>
    </cfRule>
    <cfRule type="cellIs" dxfId="13" priority="451" operator="equal">
      <formula>"f64"</formula>
    </cfRule>
    <cfRule type="cellIs" dxfId="12" priority="452" operator="equal">
      <formula>"f32"</formula>
    </cfRule>
    <cfRule type="cellIs" dxfId="13" priority="453" operator="equal">
      <formula>"f64"</formula>
    </cfRule>
    <cfRule type="cellIs" dxfId="12" priority="454" operator="equal">
      <formula>"f32"</formula>
    </cfRule>
    <cfRule type="cellIs" dxfId="11" priority="455" operator="equal">
      <formula>"u64"</formula>
    </cfRule>
    <cfRule type="cellIs" dxfId="10" priority="456" operator="equal">
      <formula>"u32"</formula>
    </cfRule>
    <cfRule type="cellIs" priority="457" operator="equal">
      <formula>"u16"</formula>
    </cfRule>
    <cfRule type="cellIs" dxfId="9" priority="458" operator="equal">
      <formula>"s64"</formula>
    </cfRule>
    <cfRule type="cellIs" dxfId="8" priority="459" operator="equal">
      <formula>"s32"</formula>
    </cfRule>
    <cfRule type="cellIs" priority="460" operator="equal">
      <formula>"s16"</formula>
    </cfRule>
  </conditionalFormatting>
  <conditionalFormatting sqref="F184">
    <cfRule type="containsBlanks" dxfId="7" priority="449">
      <formula>LEN(TRIM(F184))=0</formula>
    </cfRule>
  </conditionalFormatting>
  <conditionalFormatting sqref="K184">
    <cfRule type="cellIs" dxfId="0" priority="465" operator="equal">
      <formula>"读写 - 立即更改，立即生效"</formula>
    </cfRule>
    <cfRule type="cellIs" dxfId="1" priority="466" operator="equal">
      <formula>"读写 - 立即更改，重启生效"</formula>
    </cfRule>
    <cfRule type="cellIs" dxfId="2" priority="467" operator="equal">
      <formula>"读写 - 停机更改，立即生效"</formula>
    </cfRule>
  </conditionalFormatting>
  <conditionalFormatting sqref="L184">
    <cfRule type="cellIs" dxfId="3" priority="463" operator="equal">
      <formula>"允许保存，不可恢复"</formula>
    </cfRule>
    <cfRule type="cellIs" dxfId="4" priority="464" operator="equal">
      <formula>"允许保存，可恢复"</formula>
    </cfRule>
  </conditionalFormatting>
  <conditionalFormatting sqref="M184">
    <cfRule type="cellIs" dxfId="5" priority="461" operator="equal">
      <formula>"User"</formula>
    </cfRule>
    <cfRule type="cellIs" dxfId="6" priority="462" operator="equal">
      <formula>"Admin"</formula>
    </cfRule>
  </conditionalFormatting>
  <conditionalFormatting sqref="O184">
    <cfRule type="containsBlanks" dxfId="7" priority="468">
      <formula>LEN(TRIM(O184))=0</formula>
    </cfRule>
  </conditionalFormatting>
  <conditionalFormatting sqref="E187">
    <cfRule type="cellIs" dxfId="13" priority="1484" operator="equal">
      <formula>"f64"</formula>
    </cfRule>
    <cfRule type="cellIs" dxfId="13" priority="1485" operator="equal">
      <formula>"f64"</formula>
    </cfRule>
    <cfRule type="cellIs" dxfId="12" priority="1486" operator="equal">
      <formula>"f32"</formula>
    </cfRule>
    <cfRule type="cellIs" dxfId="13" priority="1487" operator="equal">
      <formula>"f64"</formula>
    </cfRule>
    <cfRule type="cellIs" dxfId="12" priority="1488" operator="equal">
      <formula>"f32"</formula>
    </cfRule>
    <cfRule type="cellIs" dxfId="11" priority="1489" operator="equal">
      <formula>"u64"</formula>
    </cfRule>
    <cfRule type="cellIs" dxfId="10" priority="1490" operator="equal">
      <formula>"u32"</formula>
    </cfRule>
    <cfRule type="cellIs" priority="1491" operator="equal">
      <formula>"u16"</formula>
    </cfRule>
    <cfRule type="cellIs" dxfId="9" priority="1492" operator="equal">
      <formula>"s64"</formula>
    </cfRule>
    <cfRule type="cellIs" dxfId="8" priority="1493" operator="equal">
      <formula>"s32"</formula>
    </cfRule>
    <cfRule type="cellIs" priority="1494" operator="equal">
      <formula>"s16"</formula>
    </cfRule>
  </conditionalFormatting>
  <conditionalFormatting sqref="F187">
    <cfRule type="containsBlanks" dxfId="7" priority="1323">
      <formula>LEN(TRIM(F187))=0</formula>
    </cfRule>
  </conditionalFormatting>
  <conditionalFormatting sqref="O187">
    <cfRule type="containsBlanks" dxfId="7" priority="1322">
      <formula>LEN(TRIM(O187))=0</formula>
    </cfRule>
  </conditionalFormatting>
  <conditionalFormatting sqref="E188">
    <cfRule type="cellIs" dxfId="13" priority="410" operator="equal">
      <formula>"f64"</formula>
    </cfRule>
    <cfRule type="cellIs" dxfId="13" priority="411" operator="equal">
      <formula>"f64"</formula>
    </cfRule>
    <cfRule type="cellIs" dxfId="12" priority="412" operator="equal">
      <formula>"f32"</formula>
    </cfRule>
    <cfRule type="cellIs" dxfId="13" priority="413" operator="equal">
      <formula>"f64"</formula>
    </cfRule>
    <cfRule type="cellIs" dxfId="12" priority="414" operator="equal">
      <formula>"f32"</formula>
    </cfRule>
    <cfRule type="cellIs" dxfId="11" priority="415" operator="equal">
      <formula>"u64"</formula>
    </cfRule>
    <cfRule type="cellIs" dxfId="10" priority="416" operator="equal">
      <formula>"u32"</formula>
    </cfRule>
    <cfRule type="cellIs" priority="417" operator="equal">
      <formula>"u16"</formula>
    </cfRule>
    <cfRule type="cellIs" dxfId="9" priority="418" operator="equal">
      <formula>"s64"</formula>
    </cfRule>
    <cfRule type="cellIs" dxfId="8" priority="419" operator="equal">
      <formula>"s32"</formula>
    </cfRule>
    <cfRule type="cellIs" priority="420" operator="equal">
      <formula>"s16"</formula>
    </cfRule>
  </conditionalFormatting>
  <conditionalFormatting sqref="F188">
    <cfRule type="containsBlanks" dxfId="7" priority="409">
      <formula>LEN(TRIM(F188))=0</formula>
    </cfRule>
  </conditionalFormatting>
  <conditionalFormatting sqref="K188">
    <cfRule type="cellIs" dxfId="0" priority="425" operator="equal">
      <formula>"读写 - 立即更改，立即生效"</formula>
    </cfRule>
    <cfRule type="cellIs" dxfId="1" priority="426" operator="equal">
      <formula>"读写 - 立即更改，重启生效"</formula>
    </cfRule>
    <cfRule type="cellIs" dxfId="2" priority="427" operator="equal">
      <formula>"读写 - 停机更改，立即生效"</formula>
    </cfRule>
  </conditionalFormatting>
  <conditionalFormatting sqref="L188">
    <cfRule type="cellIs" dxfId="3" priority="423" operator="equal">
      <formula>"允许保存，不可恢复"</formula>
    </cfRule>
    <cfRule type="cellIs" dxfId="4" priority="424" operator="equal">
      <formula>"允许保存，可恢复"</formula>
    </cfRule>
  </conditionalFormatting>
  <conditionalFormatting sqref="M188">
    <cfRule type="cellIs" dxfId="5" priority="421" operator="equal">
      <formula>"User"</formula>
    </cfRule>
    <cfRule type="cellIs" dxfId="6" priority="422" operator="equal">
      <formula>"Admin"</formula>
    </cfRule>
  </conditionalFormatting>
  <conditionalFormatting sqref="O188">
    <cfRule type="containsBlanks" dxfId="7" priority="428">
      <formula>LEN(TRIM(O188))=0</formula>
    </cfRule>
  </conditionalFormatting>
  <conditionalFormatting sqref="O192">
    <cfRule type="containsBlanks" dxfId="7" priority="1258">
      <formula>LEN(TRIM(O192))=0</formula>
    </cfRule>
  </conditionalFormatting>
  <conditionalFormatting sqref="E202">
    <cfRule type="cellIs" dxfId="13" priority="876" operator="equal">
      <formula>"f64"</formula>
    </cfRule>
    <cfRule type="cellIs" dxfId="13" priority="877" operator="equal">
      <formula>"f64"</formula>
    </cfRule>
    <cfRule type="cellIs" dxfId="12" priority="878" operator="equal">
      <formula>"f32"</formula>
    </cfRule>
    <cfRule type="cellIs" dxfId="13" priority="879" operator="equal">
      <formula>"f64"</formula>
    </cfRule>
    <cfRule type="cellIs" dxfId="12" priority="880" operator="equal">
      <formula>"f32"</formula>
    </cfRule>
    <cfRule type="cellIs" dxfId="11" priority="881" operator="equal">
      <formula>"u64"</formula>
    </cfRule>
    <cfRule type="cellIs" dxfId="10" priority="882" operator="equal">
      <formula>"u32"</formula>
    </cfRule>
    <cfRule type="cellIs" priority="883" operator="equal">
      <formula>"u16"</formula>
    </cfRule>
    <cfRule type="cellIs" dxfId="9" priority="884" operator="equal">
      <formula>"s64"</formula>
    </cfRule>
    <cfRule type="cellIs" dxfId="8" priority="885" operator="equal">
      <formula>"s32"</formula>
    </cfRule>
    <cfRule type="cellIs" priority="886" operator="equal">
      <formula>"s16"</formula>
    </cfRule>
  </conditionalFormatting>
  <conditionalFormatting sqref="F202">
    <cfRule type="containsBlanks" dxfId="7" priority="875">
      <formula>LEN(TRIM(F202))=0</formula>
    </cfRule>
  </conditionalFormatting>
  <conditionalFormatting sqref="K202">
    <cfRule type="cellIs" dxfId="0" priority="891" operator="equal">
      <formula>"读写 - 立即更改，立即生效"</formula>
    </cfRule>
    <cfRule type="cellIs" dxfId="1" priority="892" operator="equal">
      <formula>"读写 - 立即更改，重启生效"</formula>
    </cfRule>
    <cfRule type="cellIs" dxfId="2" priority="893" operator="equal">
      <formula>"读写 - 停机更改，立即生效"</formula>
    </cfRule>
  </conditionalFormatting>
  <conditionalFormatting sqref="L202">
    <cfRule type="cellIs" dxfId="3" priority="889" operator="equal">
      <formula>"允许保存，不可恢复"</formula>
    </cfRule>
    <cfRule type="cellIs" dxfId="4" priority="890" operator="equal">
      <formula>"允许保存，可恢复"</formula>
    </cfRule>
  </conditionalFormatting>
  <conditionalFormatting sqref="M202">
    <cfRule type="cellIs" dxfId="5" priority="887" operator="equal">
      <formula>"User"</formula>
    </cfRule>
    <cfRule type="cellIs" dxfId="6" priority="888" operator="equal">
      <formula>"Admin"</formula>
    </cfRule>
  </conditionalFormatting>
  <conditionalFormatting sqref="O202">
    <cfRule type="containsBlanks" dxfId="7" priority="894">
      <formula>LEN(TRIM(O202))=0</formula>
    </cfRule>
  </conditionalFormatting>
  <conditionalFormatting sqref="E204">
    <cfRule type="cellIs" dxfId="13" priority="1471" operator="equal">
      <formula>"f64"</formula>
    </cfRule>
    <cfRule type="cellIs" dxfId="13" priority="1472" operator="equal">
      <formula>"f64"</formula>
    </cfRule>
    <cfRule type="cellIs" dxfId="12" priority="1473" operator="equal">
      <formula>"f32"</formula>
    </cfRule>
    <cfRule type="cellIs" dxfId="13" priority="1474" operator="equal">
      <formula>"f64"</formula>
    </cfRule>
    <cfRule type="cellIs" dxfId="12" priority="1475" operator="equal">
      <formula>"f32"</formula>
    </cfRule>
    <cfRule type="cellIs" dxfId="11" priority="1476" operator="equal">
      <formula>"u64"</formula>
    </cfRule>
    <cfRule type="cellIs" dxfId="10" priority="1477" operator="equal">
      <formula>"u32"</formula>
    </cfRule>
    <cfRule type="cellIs" priority="1478" operator="equal">
      <formula>"u16"</formula>
    </cfRule>
    <cfRule type="cellIs" dxfId="9" priority="1479" operator="equal">
      <formula>"s64"</formula>
    </cfRule>
    <cfRule type="cellIs" dxfId="8" priority="1480" operator="equal">
      <formula>"s32"</formula>
    </cfRule>
    <cfRule type="cellIs" priority="1481" operator="equal">
      <formula>"s16"</formula>
    </cfRule>
  </conditionalFormatting>
  <conditionalFormatting sqref="E206">
    <cfRule type="cellIs" dxfId="13" priority="1460" operator="equal">
      <formula>"f64"</formula>
    </cfRule>
    <cfRule type="cellIs" dxfId="13" priority="1461" operator="equal">
      <formula>"f64"</formula>
    </cfRule>
    <cfRule type="cellIs" dxfId="12" priority="1462" operator="equal">
      <formula>"f32"</formula>
    </cfRule>
    <cfRule type="cellIs" dxfId="13" priority="1463" operator="equal">
      <formula>"f64"</formula>
    </cfRule>
    <cfRule type="cellIs" dxfId="12" priority="1464" operator="equal">
      <formula>"f32"</formula>
    </cfRule>
    <cfRule type="cellIs" dxfId="11" priority="1465" operator="equal">
      <formula>"u64"</formula>
    </cfRule>
    <cfRule type="cellIs" dxfId="10" priority="1466" operator="equal">
      <formula>"u32"</formula>
    </cfRule>
    <cfRule type="cellIs" priority="1467" operator="equal">
      <formula>"u16"</formula>
    </cfRule>
    <cfRule type="cellIs" dxfId="9" priority="1468" operator="equal">
      <formula>"s64"</formula>
    </cfRule>
    <cfRule type="cellIs" dxfId="8" priority="1469" operator="equal">
      <formula>"s32"</formula>
    </cfRule>
    <cfRule type="cellIs" priority="1470" operator="equal">
      <formula>"s16"</formula>
    </cfRule>
  </conditionalFormatting>
  <conditionalFormatting sqref="O207">
    <cfRule type="containsBlanks" dxfId="7" priority="1458">
      <formula>LEN(TRIM(O207))=0</formula>
    </cfRule>
  </conditionalFormatting>
  <conditionalFormatting sqref="E208">
    <cfRule type="cellIs" dxfId="13" priority="730" operator="equal">
      <formula>"f64"</formula>
    </cfRule>
    <cfRule type="cellIs" dxfId="13" priority="731" operator="equal">
      <formula>"f64"</formula>
    </cfRule>
    <cfRule type="cellIs" dxfId="12" priority="732" operator="equal">
      <formula>"f32"</formula>
    </cfRule>
    <cfRule type="cellIs" dxfId="13" priority="733" operator="equal">
      <formula>"f64"</formula>
    </cfRule>
    <cfRule type="cellIs" dxfId="12" priority="734" operator="equal">
      <formula>"f32"</formula>
    </cfRule>
    <cfRule type="cellIs" dxfId="11" priority="735" operator="equal">
      <formula>"u64"</formula>
    </cfRule>
    <cfRule type="cellIs" dxfId="10" priority="736" operator="equal">
      <formula>"u32"</formula>
    </cfRule>
    <cfRule type="cellIs" priority="737" operator="equal">
      <formula>"u16"</formula>
    </cfRule>
    <cfRule type="cellIs" dxfId="9" priority="738" operator="equal">
      <formula>"s64"</formula>
    </cfRule>
    <cfRule type="cellIs" dxfId="8" priority="739" operator="equal">
      <formula>"s32"</formula>
    </cfRule>
    <cfRule type="cellIs" priority="740" operator="equal">
      <formula>"s16"</formula>
    </cfRule>
  </conditionalFormatting>
  <conditionalFormatting sqref="F208">
    <cfRule type="containsBlanks" dxfId="7" priority="729">
      <formula>LEN(TRIM(F208))=0</formula>
    </cfRule>
  </conditionalFormatting>
  <conditionalFormatting sqref="K208">
    <cfRule type="cellIs" dxfId="0" priority="745" operator="equal">
      <formula>"读写 - 立即更改，立即生效"</formula>
    </cfRule>
    <cfRule type="cellIs" dxfId="1" priority="746" operator="equal">
      <formula>"读写 - 立即更改，重启生效"</formula>
    </cfRule>
    <cfRule type="cellIs" dxfId="2" priority="747" operator="equal">
      <formula>"读写 - 停机更改，立即生效"</formula>
    </cfRule>
  </conditionalFormatting>
  <conditionalFormatting sqref="L208">
    <cfRule type="cellIs" dxfId="3" priority="743" operator="equal">
      <formula>"允许保存，不可恢复"</formula>
    </cfRule>
    <cfRule type="cellIs" dxfId="4" priority="744" operator="equal">
      <formula>"允许保存，可恢复"</formula>
    </cfRule>
  </conditionalFormatting>
  <conditionalFormatting sqref="M208">
    <cfRule type="cellIs" dxfId="5" priority="741" operator="equal">
      <formula>"User"</formula>
    </cfRule>
    <cfRule type="cellIs" dxfId="6" priority="742" operator="equal">
      <formula>"Admin"</formula>
    </cfRule>
  </conditionalFormatting>
  <conditionalFormatting sqref="O208">
    <cfRule type="containsBlanks" dxfId="7" priority="748">
      <formula>LEN(TRIM(O208))=0</formula>
    </cfRule>
  </conditionalFormatting>
  <conditionalFormatting sqref="E220">
    <cfRule type="cellIs" dxfId="13" priority="530" operator="equal">
      <formula>"f64"</formula>
    </cfRule>
    <cfRule type="cellIs" dxfId="13" priority="531" operator="equal">
      <formula>"f64"</formula>
    </cfRule>
    <cfRule type="cellIs" dxfId="12" priority="532" operator="equal">
      <formula>"f32"</formula>
    </cfRule>
    <cfRule type="cellIs" dxfId="13" priority="533" operator="equal">
      <formula>"f64"</formula>
    </cfRule>
    <cfRule type="cellIs" dxfId="12" priority="534" operator="equal">
      <formula>"f32"</formula>
    </cfRule>
    <cfRule type="cellIs" dxfId="11" priority="535" operator="equal">
      <formula>"u64"</formula>
    </cfRule>
    <cfRule type="cellIs" dxfId="10" priority="536" operator="equal">
      <formula>"u32"</formula>
    </cfRule>
    <cfRule type="cellIs" priority="537" operator="equal">
      <formula>"u16"</formula>
    </cfRule>
    <cfRule type="cellIs" dxfId="9" priority="538" operator="equal">
      <formula>"s64"</formula>
    </cfRule>
    <cfRule type="cellIs" dxfId="8" priority="539" operator="equal">
      <formula>"s32"</formula>
    </cfRule>
    <cfRule type="cellIs" priority="540" operator="equal">
      <formula>"s16"</formula>
    </cfRule>
  </conditionalFormatting>
  <conditionalFormatting sqref="F220">
    <cfRule type="containsBlanks" dxfId="7" priority="529">
      <formula>LEN(TRIM(F220))=0</formula>
    </cfRule>
  </conditionalFormatting>
  <conditionalFormatting sqref="K220">
    <cfRule type="cellIs" dxfId="0" priority="545" operator="equal">
      <formula>"读写 - 立即更改，立即生效"</formula>
    </cfRule>
    <cfRule type="cellIs" dxfId="1" priority="546" operator="equal">
      <formula>"读写 - 立即更改，重启生效"</formula>
    </cfRule>
    <cfRule type="cellIs" dxfId="2" priority="547" operator="equal">
      <formula>"读写 - 停机更改，立即生效"</formula>
    </cfRule>
  </conditionalFormatting>
  <conditionalFormatting sqref="L220">
    <cfRule type="cellIs" dxfId="3" priority="543" operator="equal">
      <formula>"允许保存，不可恢复"</formula>
    </cfRule>
    <cfRule type="cellIs" dxfId="4" priority="544" operator="equal">
      <formula>"允许保存，可恢复"</formula>
    </cfRule>
  </conditionalFormatting>
  <conditionalFormatting sqref="M220">
    <cfRule type="cellIs" dxfId="5" priority="541" operator="equal">
      <formula>"User"</formula>
    </cfRule>
    <cfRule type="cellIs" dxfId="6" priority="542" operator="equal">
      <formula>"Admin"</formula>
    </cfRule>
  </conditionalFormatting>
  <conditionalFormatting sqref="O220">
    <cfRule type="containsBlanks" dxfId="7" priority="548">
      <formula>LEN(TRIM(O220))=0</formula>
    </cfRule>
  </conditionalFormatting>
  <conditionalFormatting sqref="E221">
    <cfRule type="cellIs" dxfId="13" priority="750" operator="equal">
      <formula>"f64"</formula>
    </cfRule>
    <cfRule type="cellIs" dxfId="13" priority="751" operator="equal">
      <formula>"f64"</formula>
    </cfRule>
    <cfRule type="cellIs" dxfId="12" priority="752" operator="equal">
      <formula>"f32"</formula>
    </cfRule>
    <cfRule type="cellIs" dxfId="13" priority="753" operator="equal">
      <formula>"f64"</formula>
    </cfRule>
    <cfRule type="cellIs" dxfId="12" priority="754" operator="equal">
      <formula>"f32"</formula>
    </cfRule>
    <cfRule type="cellIs" dxfId="11" priority="755" operator="equal">
      <formula>"u64"</formula>
    </cfRule>
    <cfRule type="cellIs" dxfId="10" priority="756" operator="equal">
      <formula>"u32"</formula>
    </cfRule>
    <cfRule type="cellIs" priority="757" operator="equal">
      <formula>"u16"</formula>
    </cfRule>
    <cfRule type="cellIs" dxfId="9" priority="758" operator="equal">
      <formula>"s64"</formula>
    </cfRule>
    <cfRule type="cellIs" dxfId="8" priority="759" operator="equal">
      <formula>"s32"</formula>
    </cfRule>
    <cfRule type="cellIs" priority="760" operator="equal">
      <formula>"s16"</formula>
    </cfRule>
  </conditionalFormatting>
  <conditionalFormatting sqref="F221">
    <cfRule type="containsBlanks" dxfId="7" priority="749">
      <formula>LEN(TRIM(F221))=0</formula>
    </cfRule>
  </conditionalFormatting>
  <conditionalFormatting sqref="K221">
    <cfRule type="cellIs" dxfId="0" priority="765" operator="equal">
      <formula>"读写 - 立即更改，立即生效"</formula>
    </cfRule>
    <cfRule type="cellIs" dxfId="1" priority="766" operator="equal">
      <formula>"读写 - 立即更改，重启生效"</formula>
    </cfRule>
    <cfRule type="cellIs" dxfId="2" priority="767" operator="equal">
      <formula>"读写 - 停机更改，立即生效"</formula>
    </cfRule>
  </conditionalFormatting>
  <conditionalFormatting sqref="L221">
    <cfRule type="cellIs" dxfId="3" priority="763" operator="equal">
      <formula>"允许保存，不可恢复"</formula>
    </cfRule>
    <cfRule type="cellIs" dxfId="4" priority="764" operator="equal">
      <formula>"允许保存，可恢复"</formula>
    </cfRule>
  </conditionalFormatting>
  <conditionalFormatting sqref="M221">
    <cfRule type="cellIs" dxfId="5" priority="761" operator="equal">
      <formula>"User"</formula>
    </cfRule>
    <cfRule type="cellIs" dxfId="6" priority="762" operator="equal">
      <formula>"Admin"</formula>
    </cfRule>
  </conditionalFormatting>
  <conditionalFormatting sqref="O221">
    <cfRule type="containsBlanks" dxfId="7" priority="768">
      <formula>LEN(TRIM(O221))=0</formula>
    </cfRule>
  </conditionalFormatting>
  <conditionalFormatting sqref="O224">
    <cfRule type="containsBlanks" dxfId="7" priority="1975">
      <formula>LEN(TRIM(O224))=0</formula>
    </cfRule>
  </conditionalFormatting>
  <conditionalFormatting sqref="E225">
    <cfRule type="cellIs" dxfId="13" priority="1349" operator="equal">
      <formula>"f64"</formula>
    </cfRule>
    <cfRule type="cellIs" dxfId="13" priority="1350" operator="equal">
      <formula>"f64"</formula>
    </cfRule>
    <cfRule type="cellIs" dxfId="12" priority="1351" operator="equal">
      <formula>"f32"</formula>
    </cfRule>
    <cfRule type="cellIs" dxfId="13" priority="1352" operator="equal">
      <formula>"f64"</formula>
    </cfRule>
    <cfRule type="cellIs" dxfId="12" priority="1353" operator="equal">
      <formula>"f32"</formula>
    </cfRule>
    <cfRule type="cellIs" dxfId="11" priority="1354" operator="equal">
      <formula>"u64"</formula>
    </cfRule>
    <cfRule type="cellIs" dxfId="10" priority="1355" operator="equal">
      <formula>"u32"</formula>
    </cfRule>
    <cfRule type="cellIs" priority="1356" operator="equal">
      <formula>"u16"</formula>
    </cfRule>
    <cfRule type="cellIs" dxfId="9" priority="1357" operator="equal">
      <formula>"s64"</formula>
    </cfRule>
    <cfRule type="cellIs" dxfId="8" priority="1358" operator="equal">
      <formula>"s32"</formula>
    </cfRule>
    <cfRule type="cellIs" priority="1359" operator="equal">
      <formula>"s16"</formula>
    </cfRule>
  </conditionalFormatting>
  <conditionalFormatting sqref="F225">
    <cfRule type="containsBlanks" dxfId="7" priority="1348">
      <formula>LEN(TRIM(F225))=0</formula>
    </cfRule>
  </conditionalFormatting>
  <conditionalFormatting sqref="K225">
    <cfRule type="cellIs" dxfId="0" priority="1364" operator="equal">
      <formula>"读写 - 立即更改，立即生效"</formula>
    </cfRule>
    <cfRule type="cellIs" dxfId="1" priority="1365" operator="equal">
      <formula>"读写 - 立即更改，重启生效"</formula>
    </cfRule>
    <cfRule type="cellIs" dxfId="2" priority="1366" operator="equal">
      <formula>"读写 - 停机更改，立即生效"</formula>
    </cfRule>
  </conditionalFormatting>
  <conditionalFormatting sqref="L225">
    <cfRule type="cellIs" dxfId="3" priority="1362" operator="equal">
      <formula>"允许保存，不可恢复"</formula>
    </cfRule>
    <cfRule type="cellIs" dxfId="4" priority="1363" operator="equal">
      <formula>"允许保存，可恢复"</formula>
    </cfRule>
  </conditionalFormatting>
  <conditionalFormatting sqref="M225">
    <cfRule type="cellIs" dxfId="5" priority="1360" operator="equal">
      <formula>"User"</formula>
    </cfRule>
    <cfRule type="cellIs" dxfId="6" priority="1361" operator="equal">
      <formula>"Admin"</formula>
    </cfRule>
  </conditionalFormatting>
  <conditionalFormatting sqref="O225">
    <cfRule type="containsBlanks" dxfId="7" priority="1367">
      <formula>LEN(TRIM(O225))=0</formula>
    </cfRule>
  </conditionalFormatting>
  <conditionalFormatting sqref="E227">
    <cfRule type="cellIs" dxfId="13" priority="570" operator="equal">
      <formula>"f64"</formula>
    </cfRule>
    <cfRule type="cellIs" dxfId="13" priority="571" operator="equal">
      <formula>"f64"</formula>
    </cfRule>
    <cfRule type="cellIs" dxfId="12" priority="572" operator="equal">
      <formula>"f32"</formula>
    </cfRule>
    <cfRule type="cellIs" dxfId="13" priority="573" operator="equal">
      <formula>"f64"</formula>
    </cfRule>
    <cfRule type="cellIs" dxfId="12" priority="574" operator="equal">
      <formula>"f32"</formula>
    </cfRule>
    <cfRule type="cellIs" dxfId="11" priority="575" operator="equal">
      <formula>"u64"</formula>
    </cfRule>
    <cfRule type="cellIs" dxfId="10" priority="576" operator="equal">
      <formula>"u32"</formula>
    </cfRule>
    <cfRule type="cellIs" priority="577" operator="equal">
      <formula>"u16"</formula>
    </cfRule>
    <cfRule type="cellIs" dxfId="9" priority="578" operator="equal">
      <formula>"s64"</formula>
    </cfRule>
    <cfRule type="cellIs" dxfId="8" priority="579" operator="equal">
      <formula>"s32"</formula>
    </cfRule>
    <cfRule type="cellIs" priority="580" operator="equal">
      <formula>"s16"</formula>
    </cfRule>
  </conditionalFormatting>
  <conditionalFormatting sqref="F227">
    <cfRule type="containsBlanks" dxfId="7" priority="569">
      <formula>LEN(TRIM(F227))=0</formula>
    </cfRule>
  </conditionalFormatting>
  <conditionalFormatting sqref="K227">
    <cfRule type="cellIs" dxfId="0" priority="585" operator="equal">
      <formula>"读写 - 立即更改，立即生效"</formula>
    </cfRule>
    <cfRule type="cellIs" dxfId="1" priority="586" operator="equal">
      <formula>"读写 - 立即更改，重启生效"</formula>
    </cfRule>
    <cfRule type="cellIs" dxfId="2" priority="587" operator="equal">
      <formula>"读写 - 停机更改，立即生效"</formula>
    </cfRule>
  </conditionalFormatting>
  <conditionalFormatting sqref="L227">
    <cfRule type="cellIs" dxfId="3" priority="583" operator="equal">
      <formula>"允许保存，不可恢复"</formula>
    </cfRule>
    <cfRule type="cellIs" dxfId="4" priority="584" operator="equal">
      <formula>"允许保存，可恢复"</formula>
    </cfRule>
  </conditionalFormatting>
  <conditionalFormatting sqref="M227">
    <cfRule type="cellIs" dxfId="5" priority="581" operator="equal">
      <formula>"User"</formula>
    </cfRule>
    <cfRule type="cellIs" dxfId="6" priority="582" operator="equal">
      <formula>"Admin"</formula>
    </cfRule>
  </conditionalFormatting>
  <conditionalFormatting sqref="O227">
    <cfRule type="containsBlanks" dxfId="7" priority="588">
      <formula>LEN(TRIM(O227))=0</formula>
    </cfRule>
  </conditionalFormatting>
  <conditionalFormatting sqref="E228">
    <cfRule type="cellIs" dxfId="13" priority="550" operator="equal">
      <formula>"f64"</formula>
    </cfRule>
    <cfRule type="cellIs" dxfId="13" priority="551" operator="equal">
      <formula>"f64"</formula>
    </cfRule>
    <cfRule type="cellIs" dxfId="12" priority="552" operator="equal">
      <formula>"f32"</formula>
    </cfRule>
    <cfRule type="cellIs" dxfId="13" priority="553" operator="equal">
      <formula>"f64"</formula>
    </cfRule>
    <cfRule type="cellIs" dxfId="12" priority="554" operator="equal">
      <formula>"f32"</formula>
    </cfRule>
    <cfRule type="cellIs" dxfId="11" priority="555" operator="equal">
      <formula>"u64"</formula>
    </cfRule>
    <cfRule type="cellIs" dxfId="10" priority="556" operator="equal">
      <formula>"u32"</formula>
    </cfRule>
    <cfRule type="cellIs" priority="557" operator="equal">
      <formula>"u16"</formula>
    </cfRule>
    <cfRule type="cellIs" dxfId="9" priority="558" operator="equal">
      <formula>"s64"</formula>
    </cfRule>
    <cfRule type="cellIs" dxfId="8" priority="559" operator="equal">
      <formula>"s32"</formula>
    </cfRule>
    <cfRule type="cellIs" priority="560" operator="equal">
      <formula>"s16"</formula>
    </cfRule>
  </conditionalFormatting>
  <conditionalFormatting sqref="F228">
    <cfRule type="containsBlanks" dxfId="7" priority="549">
      <formula>LEN(TRIM(F228))=0</formula>
    </cfRule>
  </conditionalFormatting>
  <conditionalFormatting sqref="K228">
    <cfRule type="cellIs" dxfId="0" priority="565" operator="equal">
      <formula>"读写 - 立即更改，立即生效"</formula>
    </cfRule>
    <cfRule type="cellIs" dxfId="1" priority="566" operator="equal">
      <formula>"读写 - 立即更改，重启生效"</formula>
    </cfRule>
    <cfRule type="cellIs" dxfId="2" priority="567" operator="equal">
      <formula>"读写 - 停机更改，立即生效"</formula>
    </cfRule>
  </conditionalFormatting>
  <conditionalFormatting sqref="L228">
    <cfRule type="cellIs" dxfId="3" priority="563" operator="equal">
      <formula>"允许保存，不可恢复"</formula>
    </cfRule>
    <cfRule type="cellIs" dxfId="4" priority="564" operator="equal">
      <formula>"允许保存，可恢复"</formula>
    </cfRule>
  </conditionalFormatting>
  <conditionalFormatting sqref="M228">
    <cfRule type="cellIs" dxfId="5" priority="561" operator="equal">
      <formula>"User"</formula>
    </cfRule>
    <cfRule type="cellIs" dxfId="6" priority="562" operator="equal">
      <formula>"Admin"</formula>
    </cfRule>
  </conditionalFormatting>
  <conditionalFormatting sqref="O228">
    <cfRule type="containsBlanks" dxfId="7" priority="568">
      <formula>LEN(TRIM(O228))=0</formula>
    </cfRule>
  </conditionalFormatting>
  <conditionalFormatting sqref="E229">
    <cfRule type="cellIs" dxfId="13" priority="1115" operator="equal">
      <formula>"f64"</formula>
    </cfRule>
    <cfRule type="cellIs" dxfId="13" priority="1116" operator="equal">
      <formula>"f64"</formula>
    </cfRule>
    <cfRule type="cellIs" dxfId="12" priority="1117" operator="equal">
      <formula>"f32"</formula>
    </cfRule>
    <cfRule type="cellIs" dxfId="13" priority="1118" operator="equal">
      <formula>"f64"</formula>
    </cfRule>
    <cfRule type="cellIs" dxfId="12" priority="1119" operator="equal">
      <formula>"f32"</formula>
    </cfRule>
    <cfRule type="cellIs" dxfId="11" priority="1120" operator="equal">
      <formula>"u64"</formula>
    </cfRule>
    <cfRule type="cellIs" dxfId="10" priority="1121" operator="equal">
      <formula>"u32"</formula>
    </cfRule>
    <cfRule type="cellIs" priority="1122" operator="equal">
      <formula>"u16"</formula>
    </cfRule>
    <cfRule type="cellIs" dxfId="9" priority="1123" operator="equal">
      <formula>"s64"</formula>
    </cfRule>
    <cfRule type="cellIs" dxfId="8" priority="1124" operator="equal">
      <formula>"s32"</formula>
    </cfRule>
    <cfRule type="cellIs" priority="1125" operator="equal">
      <formula>"s16"</formula>
    </cfRule>
  </conditionalFormatting>
  <conditionalFormatting sqref="F229">
    <cfRule type="containsBlanks" dxfId="7" priority="1114">
      <formula>LEN(TRIM(F229))=0</formula>
    </cfRule>
  </conditionalFormatting>
  <conditionalFormatting sqref="K229">
    <cfRule type="cellIs" dxfId="0" priority="1130" operator="equal">
      <formula>"读写 - 立即更改，立即生效"</formula>
    </cfRule>
    <cfRule type="cellIs" dxfId="1" priority="1131" operator="equal">
      <formula>"读写 - 立即更改，重启生效"</formula>
    </cfRule>
    <cfRule type="cellIs" dxfId="2" priority="1132" operator="equal">
      <formula>"读写 - 停机更改，立即生效"</formula>
    </cfRule>
  </conditionalFormatting>
  <conditionalFormatting sqref="L229">
    <cfRule type="cellIs" dxfId="3" priority="1128" operator="equal">
      <formula>"允许保存，不可恢复"</formula>
    </cfRule>
    <cfRule type="cellIs" dxfId="4" priority="1129" operator="equal">
      <formula>"允许保存，可恢复"</formula>
    </cfRule>
  </conditionalFormatting>
  <conditionalFormatting sqref="M229">
    <cfRule type="cellIs" dxfId="5" priority="1126" operator="equal">
      <formula>"User"</formula>
    </cfRule>
    <cfRule type="cellIs" dxfId="6" priority="1127" operator="equal">
      <formula>"Admin"</formula>
    </cfRule>
  </conditionalFormatting>
  <conditionalFormatting sqref="O229">
    <cfRule type="containsBlanks" dxfId="7" priority="1133">
      <formula>LEN(TRIM(O229))=0</formula>
    </cfRule>
  </conditionalFormatting>
  <conditionalFormatting sqref="E230">
    <cfRule type="cellIs" dxfId="13" priority="1439" operator="equal">
      <formula>"f64"</formula>
    </cfRule>
    <cfRule type="cellIs" dxfId="13" priority="1440" operator="equal">
      <formula>"f64"</formula>
    </cfRule>
    <cfRule type="cellIs" dxfId="12" priority="1441" operator="equal">
      <formula>"f32"</formula>
    </cfRule>
    <cfRule type="cellIs" dxfId="13" priority="1442" operator="equal">
      <formula>"f64"</formula>
    </cfRule>
    <cfRule type="cellIs" dxfId="12" priority="1443" operator="equal">
      <formula>"f32"</formula>
    </cfRule>
    <cfRule type="cellIs" dxfId="11" priority="1444" operator="equal">
      <formula>"u64"</formula>
    </cfRule>
    <cfRule type="cellIs" dxfId="10" priority="1445" operator="equal">
      <formula>"u32"</formula>
    </cfRule>
    <cfRule type="cellIs" priority="1446" operator="equal">
      <formula>"u16"</formula>
    </cfRule>
    <cfRule type="cellIs" dxfId="9" priority="1447" operator="equal">
      <formula>"s64"</formula>
    </cfRule>
    <cfRule type="cellIs" dxfId="8" priority="1448" operator="equal">
      <formula>"s32"</formula>
    </cfRule>
    <cfRule type="cellIs" priority="1449" operator="equal">
      <formula>"s16"</formula>
    </cfRule>
  </conditionalFormatting>
  <conditionalFormatting sqref="F230">
    <cfRule type="containsBlanks" dxfId="7" priority="1438">
      <formula>LEN(TRIM(F230))=0</formula>
    </cfRule>
  </conditionalFormatting>
  <conditionalFormatting sqref="K230">
    <cfRule type="cellIs" dxfId="0" priority="1454" operator="equal">
      <formula>"读写 - 立即更改，立即生效"</formula>
    </cfRule>
    <cfRule type="cellIs" dxfId="1" priority="1455" operator="equal">
      <formula>"读写 - 立即更改，重启生效"</formula>
    </cfRule>
    <cfRule type="cellIs" dxfId="2" priority="1456" operator="equal">
      <formula>"读写 - 停机更改，立即生效"</formula>
    </cfRule>
  </conditionalFormatting>
  <conditionalFormatting sqref="L230">
    <cfRule type="cellIs" dxfId="3" priority="1452" operator="equal">
      <formula>"允许保存，不可恢复"</formula>
    </cfRule>
    <cfRule type="cellIs" dxfId="4" priority="1453" operator="equal">
      <formula>"允许保存，可恢复"</formula>
    </cfRule>
  </conditionalFormatting>
  <conditionalFormatting sqref="M230">
    <cfRule type="cellIs" dxfId="5" priority="1450" operator="equal">
      <formula>"User"</formula>
    </cfRule>
    <cfRule type="cellIs" dxfId="6" priority="1451" operator="equal">
      <formula>"Admin"</formula>
    </cfRule>
  </conditionalFormatting>
  <conditionalFormatting sqref="K231">
    <cfRule type="cellIs" dxfId="0" priority="776" operator="equal">
      <formula>"读写 - 立即更改，立即生效"</formula>
    </cfRule>
    <cfRule type="cellIs" dxfId="1" priority="777" operator="equal">
      <formula>"读写 - 立即更改，重启生效"</formula>
    </cfRule>
    <cfRule type="cellIs" dxfId="2" priority="778" operator="equal">
      <formula>"读写 - 停机更改，立即生效"</formula>
    </cfRule>
  </conditionalFormatting>
  <conditionalFormatting sqref="L231">
    <cfRule type="cellIs" dxfId="3" priority="774" operator="equal">
      <formula>"允许保存，不可恢复"</formula>
    </cfRule>
    <cfRule type="cellIs" dxfId="4" priority="775" operator="equal">
      <formula>"允许保存，可恢复"</formula>
    </cfRule>
  </conditionalFormatting>
  <conditionalFormatting sqref="O231">
    <cfRule type="containsBlanks" dxfId="7" priority="794">
      <formula>LEN(TRIM(O231))=0</formula>
    </cfRule>
  </conditionalFormatting>
  <conditionalFormatting sqref="K232">
    <cfRule type="cellIs" dxfId="0" priority="771" operator="equal">
      <formula>"读写 - 立即更改，立即生效"</formula>
    </cfRule>
    <cfRule type="cellIs" dxfId="1" priority="772" operator="equal">
      <formula>"读写 - 立即更改，重启生效"</formula>
    </cfRule>
    <cfRule type="cellIs" dxfId="2" priority="773" operator="equal">
      <formula>"读写 - 停机更改，立即生效"</formula>
    </cfRule>
  </conditionalFormatting>
  <conditionalFormatting sqref="L232">
    <cfRule type="cellIs" dxfId="3" priority="769" operator="equal">
      <formula>"允许保存，不可恢复"</formula>
    </cfRule>
    <cfRule type="cellIs" dxfId="4" priority="770" operator="equal">
      <formula>"允许保存，可恢复"</formula>
    </cfRule>
  </conditionalFormatting>
  <conditionalFormatting sqref="O232">
    <cfRule type="containsBlanks" dxfId="7" priority="793">
      <formula>LEN(TRIM(O232))=0</formula>
    </cfRule>
  </conditionalFormatting>
  <conditionalFormatting sqref="O233">
    <cfRule type="containsBlanks" dxfId="7" priority="1950">
      <formula>LEN(TRIM(O233))=0</formula>
    </cfRule>
  </conditionalFormatting>
  <conditionalFormatting sqref="K235">
    <cfRule type="cellIs" dxfId="0" priority="1319" operator="equal">
      <formula>"读写 - 立即更改，立即生效"</formula>
    </cfRule>
    <cfRule type="cellIs" dxfId="1" priority="1320" operator="equal">
      <formula>"读写 - 立即更改，重启生效"</formula>
    </cfRule>
    <cfRule type="cellIs" dxfId="2" priority="1321" operator="equal">
      <formula>"读写 - 停机更改，立即生效"</formula>
    </cfRule>
  </conditionalFormatting>
  <conditionalFormatting sqref="L235">
    <cfRule type="cellIs" dxfId="3" priority="1317" operator="equal">
      <formula>"允许保存，不可恢复"</formula>
    </cfRule>
    <cfRule type="cellIs" dxfId="4" priority="1318" operator="equal">
      <formula>"允许保存，可恢复"</formula>
    </cfRule>
  </conditionalFormatting>
  <conditionalFormatting sqref="O235">
    <cfRule type="containsBlanks" dxfId="7" priority="1963">
      <formula>LEN(TRIM(O235))=0</formula>
    </cfRule>
  </conditionalFormatting>
  <conditionalFormatting sqref="K236">
    <cfRule type="cellIs" dxfId="0" priority="1314" operator="equal">
      <formula>"读写 - 立即更改，立即生效"</formula>
    </cfRule>
    <cfRule type="cellIs" dxfId="1" priority="1315" operator="equal">
      <formula>"读写 - 立即更改，重启生效"</formula>
    </cfRule>
    <cfRule type="cellIs" dxfId="2" priority="1316" operator="equal">
      <formula>"读写 - 停机更改，立即生效"</formula>
    </cfRule>
  </conditionalFormatting>
  <conditionalFormatting sqref="L236">
    <cfRule type="cellIs" dxfId="3" priority="1312" operator="equal">
      <formula>"允许保存，不可恢复"</formula>
    </cfRule>
    <cfRule type="cellIs" dxfId="4" priority="1313" operator="equal">
      <formula>"允许保存，可恢复"</formula>
    </cfRule>
  </conditionalFormatting>
  <conditionalFormatting sqref="O236">
    <cfRule type="containsBlanks" dxfId="7" priority="1962">
      <formula>LEN(TRIM(O236))=0</formula>
    </cfRule>
  </conditionalFormatting>
  <conditionalFormatting sqref="O238">
    <cfRule type="containsBlanks" dxfId="7" priority="1964">
      <formula>LEN(TRIM(O238))=0</formula>
    </cfRule>
  </conditionalFormatting>
  <conditionalFormatting sqref="O239">
    <cfRule type="containsBlanks" dxfId="7" priority="1282">
      <formula>LEN(TRIM(O239))=0</formula>
    </cfRule>
  </conditionalFormatting>
  <conditionalFormatting sqref="K242">
    <cfRule type="cellIs" dxfId="0" priority="1304" operator="equal">
      <formula>"读写 - 立即更改，立即生效"</formula>
    </cfRule>
    <cfRule type="cellIs" dxfId="1" priority="1305" operator="equal">
      <formula>"读写 - 立即更改，重启生效"</formula>
    </cfRule>
    <cfRule type="cellIs" dxfId="2" priority="1306" operator="equal">
      <formula>"读写 - 停机更改，立即生效"</formula>
    </cfRule>
  </conditionalFormatting>
  <conditionalFormatting sqref="L242">
    <cfRule type="cellIs" dxfId="3" priority="1302" operator="equal">
      <formula>"允许保存，不可恢复"</formula>
    </cfRule>
    <cfRule type="cellIs" dxfId="4" priority="1303" operator="equal">
      <formula>"允许保存，可恢复"</formula>
    </cfRule>
  </conditionalFormatting>
  <conditionalFormatting sqref="K243">
    <cfRule type="cellIs" dxfId="0" priority="1309" operator="equal">
      <formula>"读写 - 立即更改，立即生效"</formula>
    </cfRule>
    <cfRule type="cellIs" dxfId="1" priority="1310" operator="equal">
      <formula>"读写 - 立即更改，重启生效"</formula>
    </cfRule>
    <cfRule type="cellIs" dxfId="2" priority="1311" operator="equal">
      <formula>"读写 - 停机更改，立即生效"</formula>
    </cfRule>
  </conditionalFormatting>
  <conditionalFormatting sqref="L243">
    <cfRule type="cellIs" dxfId="3" priority="1307" operator="equal">
      <formula>"允许保存，不可恢复"</formula>
    </cfRule>
    <cfRule type="cellIs" dxfId="4" priority="1308" operator="equal">
      <formula>"允许保存，可恢复"</formula>
    </cfRule>
  </conditionalFormatting>
  <conditionalFormatting sqref="O248">
    <cfRule type="containsBlanks" dxfId="7" priority="1278">
      <formula>LEN(TRIM(O248))=0</formula>
    </cfRule>
  </conditionalFormatting>
  <conditionalFormatting sqref="K249">
    <cfRule type="cellIs" dxfId="0" priority="1289" operator="equal">
      <formula>"读写 - 立即更改，立即生效"</formula>
    </cfRule>
    <cfRule type="cellIs" dxfId="1" priority="1290" operator="equal">
      <formula>"读写 - 立即更改，重启生效"</formula>
    </cfRule>
    <cfRule type="cellIs" dxfId="2" priority="1291" operator="equal">
      <formula>"读写 - 停机更改，立即生效"</formula>
    </cfRule>
  </conditionalFormatting>
  <conditionalFormatting sqref="L249">
    <cfRule type="cellIs" dxfId="3" priority="1287" operator="equal">
      <formula>"允许保存，不可恢复"</formula>
    </cfRule>
    <cfRule type="cellIs" dxfId="4" priority="1288" operator="equal">
      <formula>"允许保存，可恢复"</formula>
    </cfRule>
  </conditionalFormatting>
  <conditionalFormatting sqref="K250">
    <cfRule type="cellIs" dxfId="0" priority="1294" operator="equal">
      <formula>"读写 - 立即更改，立即生效"</formula>
    </cfRule>
    <cfRule type="cellIs" dxfId="1" priority="1295" operator="equal">
      <formula>"读写 - 立即更改，重启生效"</formula>
    </cfRule>
    <cfRule type="cellIs" dxfId="2" priority="1296" operator="equal">
      <formula>"读写 - 停机更改，立即生效"</formula>
    </cfRule>
  </conditionalFormatting>
  <conditionalFormatting sqref="L250">
    <cfRule type="cellIs" dxfId="3" priority="1292" operator="equal">
      <formula>"允许保存，不可恢复"</formula>
    </cfRule>
    <cfRule type="cellIs" dxfId="4" priority="1293" operator="equal">
      <formula>"允许保存，可恢复"</formula>
    </cfRule>
  </conditionalFormatting>
  <conditionalFormatting sqref="E264">
    <cfRule type="cellIs" dxfId="13" priority="1326" operator="equal">
      <formula>"f64"</formula>
    </cfRule>
    <cfRule type="cellIs" dxfId="13" priority="1327" operator="equal">
      <formula>"f64"</formula>
    </cfRule>
    <cfRule type="cellIs" dxfId="12" priority="1328" operator="equal">
      <formula>"f32"</formula>
    </cfRule>
    <cfRule type="cellIs" dxfId="13" priority="1329" operator="equal">
      <formula>"f64"</formula>
    </cfRule>
    <cfRule type="cellIs" dxfId="12" priority="1330" operator="equal">
      <formula>"f32"</formula>
    </cfRule>
    <cfRule type="cellIs" dxfId="11" priority="1331" operator="equal">
      <formula>"u64"</formula>
    </cfRule>
    <cfRule type="cellIs" dxfId="10" priority="1332" operator="equal">
      <formula>"u32"</formula>
    </cfRule>
    <cfRule type="cellIs" priority="1333" operator="equal">
      <formula>"u16"</formula>
    </cfRule>
    <cfRule type="cellIs" dxfId="9" priority="1334" operator="equal">
      <formula>"s64"</formula>
    </cfRule>
    <cfRule type="cellIs" dxfId="8" priority="1335" operator="equal">
      <formula>"s32"</formula>
    </cfRule>
    <cfRule type="cellIs" priority="1336" operator="equal">
      <formula>"s16"</formula>
    </cfRule>
  </conditionalFormatting>
  <conditionalFormatting sqref="F264">
    <cfRule type="containsBlanks" dxfId="7" priority="1325">
      <formula>LEN(TRIM(F264))=0</formula>
    </cfRule>
  </conditionalFormatting>
  <conditionalFormatting sqref="K264">
    <cfRule type="cellIs" dxfId="0" priority="1341" operator="equal">
      <formula>"读写 - 立即更改，立即生效"</formula>
    </cfRule>
    <cfRule type="cellIs" dxfId="1" priority="1342" operator="equal">
      <formula>"读写 - 立即更改，重启生效"</formula>
    </cfRule>
    <cfRule type="cellIs" dxfId="2" priority="1343" operator="equal">
      <formula>"读写 - 停机更改，立即生效"</formula>
    </cfRule>
  </conditionalFormatting>
  <conditionalFormatting sqref="L264">
    <cfRule type="cellIs" dxfId="3" priority="1339" operator="equal">
      <formula>"允许保存，不可恢复"</formula>
    </cfRule>
    <cfRule type="cellIs" dxfId="4" priority="1340" operator="equal">
      <formula>"允许保存，可恢复"</formula>
    </cfRule>
  </conditionalFormatting>
  <conditionalFormatting sqref="M264">
    <cfRule type="cellIs" dxfId="5" priority="1337" operator="equal">
      <formula>"User"</formula>
    </cfRule>
    <cfRule type="cellIs" dxfId="6" priority="1338" operator="equal">
      <formula>"Admin"</formula>
    </cfRule>
  </conditionalFormatting>
  <conditionalFormatting sqref="P265">
    <cfRule type="containsBlanks" dxfId="7" priority="388">
      <formula>LEN(TRIM(P265))=0</formula>
    </cfRule>
  </conditionalFormatting>
  <conditionalFormatting sqref="E266">
    <cfRule type="cellIs" dxfId="13" priority="996" operator="equal">
      <formula>"f64"</formula>
    </cfRule>
    <cfRule type="cellIs" dxfId="13" priority="997" operator="equal">
      <formula>"f64"</formula>
    </cfRule>
    <cfRule type="cellIs" dxfId="12" priority="998" operator="equal">
      <formula>"f32"</formula>
    </cfRule>
    <cfRule type="cellIs" dxfId="13" priority="999" operator="equal">
      <formula>"f64"</formula>
    </cfRule>
    <cfRule type="cellIs" dxfId="12" priority="1000" operator="equal">
      <formula>"f32"</formula>
    </cfRule>
    <cfRule type="cellIs" dxfId="11" priority="1001" operator="equal">
      <formula>"u64"</formula>
    </cfRule>
    <cfRule type="cellIs" dxfId="10" priority="1002" operator="equal">
      <formula>"u32"</formula>
    </cfRule>
    <cfRule type="cellIs" priority="1003" operator="equal">
      <formula>"u16"</formula>
    </cfRule>
    <cfRule type="cellIs" dxfId="9" priority="1004" operator="equal">
      <formula>"s64"</formula>
    </cfRule>
    <cfRule type="cellIs" dxfId="8" priority="1005" operator="equal">
      <formula>"s32"</formula>
    </cfRule>
    <cfRule type="cellIs" priority="1006" operator="equal">
      <formula>"s16"</formula>
    </cfRule>
  </conditionalFormatting>
  <conditionalFormatting sqref="F266">
    <cfRule type="containsBlanks" dxfId="7" priority="995">
      <formula>LEN(TRIM(F266))=0</formula>
    </cfRule>
  </conditionalFormatting>
  <conditionalFormatting sqref="K266">
    <cfRule type="cellIs" dxfId="0" priority="1011" operator="equal">
      <formula>"读写 - 立即更改，立即生效"</formula>
    </cfRule>
    <cfRule type="cellIs" dxfId="1" priority="1012" operator="equal">
      <formula>"读写 - 立即更改，重启生效"</formula>
    </cfRule>
    <cfRule type="cellIs" dxfId="2" priority="1013" operator="equal">
      <formula>"读写 - 停机更改，立即生效"</formula>
    </cfRule>
  </conditionalFormatting>
  <conditionalFormatting sqref="L266">
    <cfRule type="cellIs" dxfId="3" priority="1009" operator="equal">
      <formula>"允许保存，不可恢复"</formula>
    </cfRule>
    <cfRule type="cellIs" dxfId="4" priority="1010" operator="equal">
      <formula>"允许保存，可恢复"</formula>
    </cfRule>
  </conditionalFormatting>
  <conditionalFormatting sqref="M266">
    <cfRule type="cellIs" dxfId="5" priority="1007" operator="equal">
      <formula>"User"</formula>
    </cfRule>
    <cfRule type="cellIs" dxfId="6" priority="1008" operator="equal">
      <formula>"Admin"</formula>
    </cfRule>
  </conditionalFormatting>
  <conditionalFormatting sqref="O266">
    <cfRule type="containsBlanks" dxfId="7" priority="1014">
      <formula>LEN(TRIM(O266))=0</formula>
    </cfRule>
  </conditionalFormatting>
  <conditionalFormatting sqref="P266">
    <cfRule type="containsBlanks" dxfId="7" priority="1214">
      <formula>LEN(TRIM(P266))=0</formula>
    </cfRule>
  </conditionalFormatting>
  <conditionalFormatting sqref="E276">
    <cfRule type="cellIs" dxfId="13" priority="976" operator="equal">
      <formula>"f64"</formula>
    </cfRule>
    <cfRule type="cellIs" dxfId="13" priority="977" operator="equal">
      <formula>"f64"</formula>
    </cfRule>
    <cfRule type="cellIs" dxfId="12" priority="978" operator="equal">
      <formula>"f32"</formula>
    </cfRule>
    <cfRule type="cellIs" dxfId="13" priority="979" operator="equal">
      <formula>"f64"</formula>
    </cfRule>
    <cfRule type="cellIs" dxfId="12" priority="980" operator="equal">
      <formula>"f32"</formula>
    </cfRule>
    <cfRule type="cellIs" dxfId="11" priority="981" operator="equal">
      <formula>"u64"</formula>
    </cfRule>
    <cfRule type="cellIs" dxfId="10" priority="982" operator="equal">
      <formula>"u32"</formula>
    </cfRule>
    <cfRule type="cellIs" priority="983" operator="equal">
      <formula>"u16"</formula>
    </cfRule>
    <cfRule type="cellIs" dxfId="9" priority="984" operator="equal">
      <formula>"s64"</formula>
    </cfRule>
    <cfRule type="cellIs" dxfId="8" priority="985" operator="equal">
      <formula>"s32"</formula>
    </cfRule>
    <cfRule type="cellIs" priority="986" operator="equal">
      <formula>"s16"</formula>
    </cfRule>
  </conditionalFormatting>
  <conditionalFormatting sqref="F276">
    <cfRule type="containsBlanks" dxfId="7" priority="975">
      <formula>LEN(TRIM(F276))=0</formula>
    </cfRule>
  </conditionalFormatting>
  <conditionalFormatting sqref="K276">
    <cfRule type="cellIs" dxfId="0" priority="991" operator="equal">
      <formula>"读写 - 立即更改，立即生效"</formula>
    </cfRule>
    <cfRule type="cellIs" dxfId="1" priority="992" operator="equal">
      <formula>"读写 - 立即更改，重启生效"</formula>
    </cfRule>
    <cfRule type="cellIs" dxfId="2" priority="993" operator="equal">
      <formula>"读写 - 停机更改，立即生效"</formula>
    </cfRule>
  </conditionalFormatting>
  <conditionalFormatting sqref="L276">
    <cfRule type="cellIs" dxfId="3" priority="989" operator="equal">
      <formula>"允许保存，不可恢复"</formula>
    </cfRule>
    <cfRule type="cellIs" dxfId="4" priority="990" operator="equal">
      <formula>"允许保存，可恢复"</formula>
    </cfRule>
  </conditionalFormatting>
  <conditionalFormatting sqref="M276">
    <cfRule type="cellIs" dxfId="5" priority="987" operator="equal">
      <formula>"User"</formula>
    </cfRule>
    <cfRule type="cellIs" dxfId="6" priority="988" operator="equal">
      <formula>"Admin"</formula>
    </cfRule>
  </conditionalFormatting>
  <conditionalFormatting sqref="O276">
    <cfRule type="containsBlanks" dxfId="7" priority="994">
      <formula>LEN(TRIM(O276))=0</formula>
    </cfRule>
  </conditionalFormatting>
  <conditionalFormatting sqref="E281">
    <cfRule type="cellIs" dxfId="13" priority="1056" operator="equal">
      <formula>"f64"</formula>
    </cfRule>
    <cfRule type="cellIs" dxfId="13" priority="1057" operator="equal">
      <formula>"f64"</formula>
    </cfRule>
    <cfRule type="cellIs" dxfId="12" priority="1058" operator="equal">
      <formula>"f32"</formula>
    </cfRule>
    <cfRule type="cellIs" dxfId="13" priority="1059" operator="equal">
      <formula>"f64"</formula>
    </cfRule>
    <cfRule type="cellIs" dxfId="12" priority="1060" operator="equal">
      <formula>"f32"</formula>
    </cfRule>
    <cfRule type="cellIs" dxfId="11" priority="1061" operator="equal">
      <formula>"u64"</formula>
    </cfRule>
    <cfRule type="cellIs" dxfId="10" priority="1062" operator="equal">
      <formula>"u32"</formula>
    </cfRule>
    <cfRule type="cellIs" priority="1063" operator="equal">
      <formula>"u16"</formula>
    </cfRule>
    <cfRule type="cellIs" dxfId="9" priority="1064" operator="equal">
      <formula>"s64"</formula>
    </cfRule>
    <cfRule type="cellIs" dxfId="8" priority="1065" operator="equal">
      <formula>"s32"</formula>
    </cfRule>
    <cfRule type="cellIs" priority="1066" operator="equal">
      <formula>"s16"</formula>
    </cfRule>
  </conditionalFormatting>
  <conditionalFormatting sqref="F281">
    <cfRule type="containsBlanks" dxfId="7" priority="1055">
      <formula>LEN(TRIM(F281))=0</formula>
    </cfRule>
  </conditionalFormatting>
  <conditionalFormatting sqref="K281">
    <cfRule type="cellIs" dxfId="0" priority="1071" operator="equal">
      <formula>"读写 - 立即更改，立即生效"</formula>
    </cfRule>
    <cfRule type="cellIs" dxfId="1" priority="1072" operator="equal">
      <formula>"读写 - 立即更改，重启生效"</formula>
    </cfRule>
    <cfRule type="cellIs" dxfId="2" priority="1073" operator="equal">
      <formula>"读写 - 停机更改，立即生效"</formula>
    </cfRule>
  </conditionalFormatting>
  <conditionalFormatting sqref="L281">
    <cfRule type="cellIs" dxfId="3" priority="1069" operator="equal">
      <formula>"允许保存，不可恢复"</formula>
    </cfRule>
    <cfRule type="cellIs" dxfId="4" priority="1070" operator="equal">
      <formula>"允许保存，可恢复"</formula>
    </cfRule>
  </conditionalFormatting>
  <conditionalFormatting sqref="M281">
    <cfRule type="cellIs" dxfId="5" priority="1067" operator="equal">
      <formula>"User"</formula>
    </cfRule>
    <cfRule type="cellIs" dxfId="6" priority="1068" operator="equal">
      <formula>"Admin"</formula>
    </cfRule>
  </conditionalFormatting>
  <conditionalFormatting sqref="E282">
    <cfRule type="cellIs" dxfId="13" priority="1037" operator="equal">
      <formula>"f64"</formula>
    </cfRule>
    <cfRule type="cellIs" dxfId="13" priority="1038" operator="equal">
      <formula>"f64"</formula>
    </cfRule>
    <cfRule type="cellIs" dxfId="12" priority="1039" operator="equal">
      <formula>"f32"</formula>
    </cfRule>
    <cfRule type="cellIs" dxfId="13" priority="1040" operator="equal">
      <formula>"f64"</formula>
    </cfRule>
    <cfRule type="cellIs" dxfId="12" priority="1041" operator="equal">
      <formula>"f32"</formula>
    </cfRule>
    <cfRule type="cellIs" dxfId="11" priority="1042" operator="equal">
      <formula>"u64"</formula>
    </cfRule>
    <cfRule type="cellIs" dxfId="10" priority="1043" operator="equal">
      <formula>"u32"</formula>
    </cfRule>
    <cfRule type="cellIs" priority="1044" operator="equal">
      <formula>"u16"</formula>
    </cfRule>
    <cfRule type="cellIs" dxfId="9" priority="1045" operator="equal">
      <formula>"s64"</formula>
    </cfRule>
    <cfRule type="cellIs" dxfId="8" priority="1046" operator="equal">
      <formula>"s32"</formula>
    </cfRule>
    <cfRule type="cellIs" priority="1047" operator="equal">
      <formula>"s16"</formula>
    </cfRule>
  </conditionalFormatting>
  <conditionalFormatting sqref="F282">
    <cfRule type="containsBlanks" dxfId="7" priority="1036">
      <formula>LEN(TRIM(F282))=0</formula>
    </cfRule>
  </conditionalFormatting>
  <conditionalFormatting sqref="K282">
    <cfRule type="cellIs" dxfId="0" priority="1052" operator="equal">
      <formula>"读写 - 立即更改，立即生效"</formula>
    </cfRule>
    <cfRule type="cellIs" dxfId="1" priority="1053" operator="equal">
      <formula>"读写 - 立即更改，重启生效"</formula>
    </cfRule>
    <cfRule type="cellIs" dxfId="2" priority="1054" operator="equal">
      <formula>"读写 - 停机更改，立即生效"</formula>
    </cfRule>
  </conditionalFormatting>
  <conditionalFormatting sqref="L282">
    <cfRule type="cellIs" dxfId="3" priority="1050" operator="equal">
      <formula>"允许保存，不可恢复"</formula>
    </cfRule>
    <cfRule type="cellIs" dxfId="4" priority="1051" operator="equal">
      <formula>"允许保存，可恢复"</formula>
    </cfRule>
  </conditionalFormatting>
  <conditionalFormatting sqref="M282">
    <cfRule type="cellIs" dxfId="5" priority="1048" operator="equal">
      <formula>"User"</formula>
    </cfRule>
    <cfRule type="cellIs" dxfId="6" priority="1049" operator="equal">
      <formula>"Admin"</formula>
    </cfRule>
  </conditionalFormatting>
  <conditionalFormatting sqref="E283">
    <cfRule type="cellIs" dxfId="13" priority="956" operator="equal">
      <formula>"f64"</formula>
    </cfRule>
    <cfRule type="cellIs" dxfId="13" priority="957" operator="equal">
      <formula>"f64"</formula>
    </cfRule>
    <cfRule type="cellIs" dxfId="12" priority="958" operator="equal">
      <formula>"f32"</formula>
    </cfRule>
    <cfRule type="cellIs" dxfId="13" priority="959" operator="equal">
      <formula>"f64"</formula>
    </cfRule>
    <cfRule type="cellIs" dxfId="12" priority="960" operator="equal">
      <formula>"f32"</formula>
    </cfRule>
    <cfRule type="cellIs" dxfId="11" priority="961" operator="equal">
      <formula>"u64"</formula>
    </cfRule>
    <cfRule type="cellIs" dxfId="10" priority="962" operator="equal">
      <formula>"u32"</formula>
    </cfRule>
    <cfRule type="cellIs" priority="963" operator="equal">
      <formula>"u16"</formula>
    </cfRule>
    <cfRule type="cellIs" dxfId="9" priority="964" operator="equal">
      <formula>"s64"</formula>
    </cfRule>
    <cfRule type="cellIs" dxfId="8" priority="965" operator="equal">
      <formula>"s32"</formula>
    </cfRule>
    <cfRule type="cellIs" priority="966" operator="equal">
      <formula>"s16"</formula>
    </cfRule>
  </conditionalFormatting>
  <conditionalFormatting sqref="F283">
    <cfRule type="containsBlanks" dxfId="7" priority="955">
      <formula>LEN(TRIM(F283))=0</formula>
    </cfRule>
  </conditionalFormatting>
  <conditionalFormatting sqref="K283">
    <cfRule type="cellIs" dxfId="0" priority="971" operator="equal">
      <formula>"读写 - 立即更改，立即生效"</formula>
    </cfRule>
    <cfRule type="cellIs" dxfId="1" priority="972" operator="equal">
      <formula>"读写 - 立即更改，重启生效"</formula>
    </cfRule>
    <cfRule type="cellIs" dxfId="2" priority="973" operator="equal">
      <formula>"读写 - 停机更改，立即生效"</formula>
    </cfRule>
  </conditionalFormatting>
  <conditionalFormatting sqref="L283">
    <cfRule type="cellIs" dxfId="3" priority="969" operator="equal">
      <formula>"允许保存，不可恢复"</formula>
    </cfRule>
    <cfRule type="cellIs" dxfId="4" priority="970" operator="equal">
      <formula>"允许保存，可恢复"</formula>
    </cfRule>
  </conditionalFormatting>
  <conditionalFormatting sqref="M283">
    <cfRule type="cellIs" dxfId="5" priority="967" operator="equal">
      <formula>"User"</formula>
    </cfRule>
    <cfRule type="cellIs" dxfId="6" priority="968" operator="equal">
      <formula>"Admin"</formula>
    </cfRule>
  </conditionalFormatting>
  <conditionalFormatting sqref="O283">
    <cfRule type="containsBlanks" dxfId="7" priority="974">
      <formula>LEN(TRIM(O283))=0</formula>
    </cfRule>
  </conditionalFormatting>
  <conditionalFormatting sqref="E284">
    <cfRule type="cellIs" dxfId="13" priority="936" operator="equal">
      <formula>"f64"</formula>
    </cfRule>
    <cfRule type="cellIs" dxfId="13" priority="937" operator="equal">
      <formula>"f64"</formula>
    </cfRule>
    <cfRule type="cellIs" dxfId="12" priority="938" operator="equal">
      <formula>"f32"</formula>
    </cfRule>
    <cfRule type="cellIs" dxfId="13" priority="939" operator="equal">
      <formula>"f64"</formula>
    </cfRule>
    <cfRule type="cellIs" dxfId="12" priority="940" operator="equal">
      <formula>"f32"</formula>
    </cfRule>
    <cfRule type="cellIs" dxfId="11" priority="941" operator="equal">
      <formula>"u64"</formula>
    </cfRule>
    <cfRule type="cellIs" dxfId="10" priority="942" operator="equal">
      <formula>"u32"</formula>
    </cfRule>
    <cfRule type="cellIs" priority="943" operator="equal">
      <formula>"u16"</formula>
    </cfRule>
    <cfRule type="cellIs" dxfId="9" priority="944" operator="equal">
      <formula>"s64"</formula>
    </cfRule>
    <cfRule type="cellIs" dxfId="8" priority="945" operator="equal">
      <formula>"s32"</formula>
    </cfRule>
    <cfRule type="cellIs" priority="946" operator="equal">
      <formula>"s16"</formula>
    </cfRule>
  </conditionalFormatting>
  <conditionalFormatting sqref="F284">
    <cfRule type="containsBlanks" dxfId="7" priority="935">
      <formula>LEN(TRIM(F284))=0</formula>
    </cfRule>
  </conditionalFormatting>
  <conditionalFormatting sqref="K284">
    <cfRule type="cellIs" dxfId="0" priority="951" operator="equal">
      <formula>"读写 - 立即更改，立即生效"</formula>
    </cfRule>
    <cfRule type="cellIs" dxfId="1" priority="952" operator="equal">
      <formula>"读写 - 立即更改，重启生效"</formula>
    </cfRule>
    <cfRule type="cellIs" dxfId="2" priority="953" operator="equal">
      <formula>"读写 - 停机更改，立即生效"</formula>
    </cfRule>
  </conditionalFormatting>
  <conditionalFormatting sqref="L284">
    <cfRule type="cellIs" dxfId="3" priority="949" operator="equal">
      <formula>"允许保存，不可恢复"</formula>
    </cfRule>
    <cfRule type="cellIs" dxfId="4" priority="950" operator="equal">
      <formula>"允许保存，可恢复"</formula>
    </cfRule>
  </conditionalFormatting>
  <conditionalFormatting sqref="M284">
    <cfRule type="cellIs" dxfId="5" priority="947" operator="equal">
      <formula>"User"</formula>
    </cfRule>
    <cfRule type="cellIs" dxfId="6" priority="948" operator="equal">
      <formula>"Admin"</formula>
    </cfRule>
  </conditionalFormatting>
  <conditionalFormatting sqref="O284">
    <cfRule type="containsBlanks" dxfId="7" priority="954">
      <formula>LEN(TRIM(O284))=0</formula>
    </cfRule>
  </conditionalFormatting>
  <conditionalFormatting sqref="E285">
    <cfRule type="cellIs" dxfId="13" priority="916" operator="equal">
      <formula>"f64"</formula>
    </cfRule>
    <cfRule type="cellIs" dxfId="13" priority="917" operator="equal">
      <formula>"f64"</formula>
    </cfRule>
    <cfRule type="cellIs" dxfId="12" priority="918" operator="equal">
      <formula>"f32"</formula>
    </cfRule>
    <cfRule type="cellIs" dxfId="13" priority="919" operator="equal">
      <formula>"f64"</formula>
    </cfRule>
    <cfRule type="cellIs" dxfId="12" priority="920" operator="equal">
      <formula>"f32"</formula>
    </cfRule>
    <cfRule type="cellIs" dxfId="11" priority="921" operator="equal">
      <formula>"u64"</formula>
    </cfRule>
    <cfRule type="cellIs" dxfId="10" priority="922" operator="equal">
      <formula>"u32"</formula>
    </cfRule>
    <cfRule type="cellIs" priority="923" operator="equal">
      <formula>"u16"</formula>
    </cfRule>
    <cfRule type="cellIs" dxfId="9" priority="924" operator="equal">
      <formula>"s64"</formula>
    </cfRule>
    <cfRule type="cellIs" dxfId="8" priority="925" operator="equal">
      <formula>"s32"</formula>
    </cfRule>
    <cfRule type="cellIs" priority="926" operator="equal">
      <formula>"s16"</formula>
    </cfRule>
  </conditionalFormatting>
  <conditionalFormatting sqref="F285">
    <cfRule type="containsBlanks" dxfId="7" priority="915">
      <formula>LEN(TRIM(F285))=0</formula>
    </cfRule>
  </conditionalFormatting>
  <conditionalFormatting sqref="K285">
    <cfRule type="cellIs" dxfId="0" priority="931" operator="equal">
      <formula>"读写 - 立即更改，立即生效"</formula>
    </cfRule>
    <cfRule type="cellIs" dxfId="1" priority="932" operator="equal">
      <formula>"读写 - 立即更改，重启生效"</formula>
    </cfRule>
    <cfRule type="cellIs" dxfId="2" priority="933" operator="equal">
      <formula>"读写 - 停机更改，立即生效"</formula>
    </cfRule>
  </conditionalFormatting>
  <conditionalFormatting sqref="L285">
    <cfRule type="cellIs" dxfId="3" priority="929" operator="equal">
      <formula>"允许保存，不可恢复"</formula>
    </cfRule>
    <cfRule type="cellIs" dxfId="4" priority="930" operator="equal">
      <formula>"允许保存，可恢复"</formula>
    </cfRule>
  </conditionalFormatting>
  <conditionalFormatting sqref="M285">
    <cfRule type="cellIs" dxfId="5" priority="927" operator="equal">
      <formula>"User"</formula>
    </cfRule>
    <cfRule type="cellIs" dxfId="6" priority="928" operator="equal">
      <formula>"Admin"</formula>
    </cfRule>
  </conditionalFormatting>
  <conditionalFormatting sqref="O285">
    <cfRule type="containsBlanks" dxfId="7" priority="934">
      <formula>LEN(TRIM(O285))=0</formula>
    </cfRule>
  </conditionalFormatting>
  <conditionalFormatting sqref="E286">
    <cfRule type="cellIs" dxfId="13" priority="896" operator="equal">
      <formula>"f64"</formula>
    </cfRule>
    <cfRule type="cellIs" dxfId="13" priority="897" operator="equal">
      <formula>"f64"</formula>
    </cfRule>
    <cfRule type="cellIs" dxfId="12" priority="898" operator="equal">
      <formula>"f32"</formula>
    </cfRule>
    <cfRule type="cellIs" dxfId="13" priority="899" operator="equal">
      <formula>"f64"</formula>
    </cfRule>
    <cfRule type="cellIs" dxfId="12" priority="900" operator="equal">
      <formula>"f32"</formula>
    </cfRule>
    <cfRule type="cellIs" dxfId="11" priority="901" operator="equal">
      <formula>"u64"</formula>
    </cfRule>
    <cfRule type="cellIs" dxfId="10" priority="902" operator="equal">
      <formula>"u32"</formula>
    </cfRule>
    <cfRule type="cellIs" priority="903" operator="equal">
      <formula>"u16"</formula>
    </cfRule>
    <cfRule type="cellIs" dxfId="9" priority="904" operator="equal">
      <formula>"s64"</formula>
    </cfRule>
    <cfRule type="cellIs" dxfId="8" priority="905" operator="equal">
      <formula>"s32"</formula>
    </cfRule>
    <cfRule type="cellIs" priority="906" operator="equal">
      <formula>"s16"</formula>
    </cfRule>
  </conditionalFormatting>
  <conditionalFormatting sqref="F286">
    <cfRule type="containsBlanks" dxfId="7" priority="895">
      <formula>LEN(TRIM(F286))=0</formula>
    </cfRule>
  </conditionalFormatting>
  <conditionalFormatting sqref="K286">
    <cfRule type="cellIs" dxfId="0" priority="911" operator="equal">
      <formula>"读写 - 立即更改，立即生效"</formula>
    </cfRule>
    <cfRule type="cellIs" dxfId="1" priority="912" operator="equal">
      <formula>"读写 - 立即更改，重启生效"</formula>
    </cfRule>
    <cfRule type="cellIs" dxfId="2" priority="913" operator="equal">
      <formula>"读写 - 停机更改，立即生效"</formula>
    </cfRule>
  </conditionalFormatting>
  <conditionalFormatting sqref="L286">
    <cfRule type="cellIs" dxfId="3" priority="909" operator="equal">
      <formula>"允许保存，不可恢复"</formula>
    </cfRule>
    <cfRule type="cellIs" dxfId="4" priority="910" operator="equal">
      <formula>"允许保存，可恢复"</formula>
    </cfRule>
  </conditionalFormatting>
  <conditionalFormatting sqref="M286">
    <cfRule type="cellIs" dxfId="5" priority="907" operator="equal">
      <formula>"User"</formula>
    </cfRule>
    <cfRule type="cellIs" dxfId="6" priority="908" operator="equal">
      <formula>"Admin"</formula>
    </cfRule>
  </conditionalFormatting>
  <conditionalFormatting sqref="O286">
    <cfRule type="containsBlanks" dxfId="7" priority="914">
      <formula>LEN(TRIM(O286))=0</formula>
    </cfRule>
  </conditionalFormatting>
  <conditionalFormatting sqref="E287">
    <cfRule type="cellIs" dxfId="13" priority="816" operator="equal">
      <formula>"f64"</formula>
    </cfRule>
    <cfRule type="cellIs" dxfId="13" priority="817" operator="equal">
      <formula>"f64"</formula>
    </cfRule>
    <cfRule type="cellIs" dxfId="12" priority="818" operator="equal">
      <formula>"f32"</formula>
    </cfRule>
    <cfRule type="cellIs" dxfId="13" priority="819" operator="equal">
      <formula>"f64"</formula>
    </cfRule>
    <cfRule type="cellIs" dxfId="12" priority="820" operator="equal">
      <formula>"f32"</formula>
    </cfRule>
    <cfRule type="cellIs" dxfId="11" priority="821" operator="equal">
      <formula>"u64"</formula>
    </cfRule>
    <cfRule type="cellIs" dxfId="10" priority="822" operator="equal">
      <formula>"u32"</formula>
    </cfRule>
    <cfRule type="cellIs" priority="823" operator="equal">
      <formula>"u16"</formula>
    </cfRule>
    <cfRule type="cellIs" dxfId="9" priority="824" operator="equal">
      <formula>"s64"</formula>
    </cfRule>
    <cfRule type="cellIs" dxfId="8" priority="825" operator="equal">
      <formula>"s32"</formula>
    </cfRule>
    <cfRule type="cellIs" priority="826" operator="equal">
      <formula>"s16"</formula>
    </cfRule>
  </conditionalFormatting>
  <conditionalFormatting sqref="F287">
    <cfRule type="containsBlanks" dxfId="7" priority="815">
      <formula>LEN(TRIM(F287))=0</formula>
    </cfRule>
  </conditionalFormatting>
  <conditionalFormatting sqref="K287">
    <cfRule type="cellIs" dxfId="0" priority="831" operator="equal">
      <formula>"读写 - 立即更改，立即生效"</formula>
    </cfRule>
    <cfRule type="cellIs" dxfId="1" priority="832" operator="equal">
      <formula>"读写 - 立即更改，重启生效"</formula>
    </cfRule>
    <cfRule type="cellIs" dxfId="2" priority="833" operator="equal">
      <formula>"读写 - 停机更改，立即生效"</formula>
    </cfRule>
  </conditionalFormatting>
  <conditionalFormatting sqref="L287">
    <cfRule type="cellIs" dxfId="3" priority="829" operator="equal">
      <formula>"允许保存，不可恢复"</formula>
    </cfRule>
    <cfRule type="cellIs" dxfId="4" priority="830" operator="equal">
      <formula>"允许保存，可恢复"</formula>
    </cfRule>
  </conditionalFormatting>
  <conditionalFormatting sqref="M287">
    <cfRule type="cellIs" dxfId="5" priority="827" operator="equal">
      <formula>"User"</formula>
    </cfRule>
    <cfRule type="cellIs" dxfId="6" priority="828" operator="equal">
      <formula>"Admin"</formula>
    </cfRule>
  </conditionalFormatting>
  <conditionalFormatting sqref="O287">
    <cfRule type="containsBlanks" dxfId="7" priority="834">
      <formula>LEN(TRIM(O287))=0</formula>
    </cfRule>
  </conditionalFormatting>
  <conditionalFormatting sqref="E288">
    <cfRule type="cellIs" dxfId="13" priority="836" operator="equal">
      <formula>"f64"</formula>
    </cfRule>
    <cfRule type="cellIs" dxfId="13" priority="837" operator="equal">
      <formula>"f64"</formula>
    </cfRule>
    <cfRule type="cellIs" dxfId="12" priority="838" operator="equal">
      <formula>"f32"</formula>
    </cfRule>
    <cfRule type="cellIs" dxfId="13" priority="839" operator="equal">
      <formula>"f64"</formula>
    </cfRule>
    <cfRule type="cellIs" dxfId="12" priority="840" operator="equal">
      <formula>"f32"</formula>
    </cfRule>
    <cfRule type="cellIs" dxfId="11" priority="841" operator="equal">
      <formula>"u64"</formula>
    </cfRule>
    <cfRule type="cellIs" dxfId="10" priority="842" operator="equal">
      <formula>"u32"</formula>
    </cfRule>
    <cfRule type="cellIs" priority="843" operator="equal">
      <formula>"u16"</formula>
    </cfRule>
    <cfRule type="cellIs" dxfId="9" priority="844" operator="equal">
      <formula>"s64"</formula>
    </cfRule>
    <cfRule type="cellIs" dxfId="8" priority="845" operator="equal">
      <formula>"s32"</formula>
    </cfRule>
    <cfRule type="cellIs" priority="846" operator="equal">
      <formula>"s16"</formula>
    </cfRule>
  </conditionalFormatting>
  <conditionalFormatting sqref="F288">
    <cfRule type="containsBlanks" dxfId="7" priority="835">
      <formula>LEN(TRIM(F288))=0</formula>
    </cfRule>
  </conditionalFormatting>
  <conditionalFormatting sqref="K288">
    <cfRule type="cellIs" dxfId="0" priority="851" operator="equal">
      <formula>"读写 - 立即更改，立即生效"</formula>
    </cfRule>
    <cfRule type="cellIs" dxfId="1" priority="852" operator="equal">
      <formula>"读写 - 立即更改，重启生效"</formula>
    </cfRule>
    <cfRule type="cellIs" dxfId="2" priority="853" operator="equal">
      <formula>"读写 - 停机更改，立即生效"</formula>
    </cfRule>
  </conditionalFormatting>
  <conditionalFormatting sqref="L288">
    <cfRule type="cellIs" dxfId="3" priority="849" operator="equal">
      <formula>"允许保存，不可恢复"</formula>
    </cfRule>
    <cfRule type="cellIs" dxfId="4" priority="850" operator="equal">
      <formula>"允许保存，可恢复"</formula>
    </cfRule>
  </conditionalFormatting>
  <conditionalFormatting sqref="M288">
    <cfRule type="cellIs" dxfId="5" priority="847" operator="equal">
      <formula>"User"</formula>
    </cfRule>
    <cfRule type="cellIs" dxfId="6" priority="848" operator="equal">
      <formula>"Admin"</formula>
    </cfRule>
  </conditionalFormatting>
  <conditionalFormatting sqref="O288">
    <cfRule type="containsBlanks" dxfId="7" priority="854">
      <formula>LEN(TRIM(O288))=0</formula>
    </cfRule>
  </conditionalFormatting>
  <conditionalFormatting sqref="E293">
    <cfRule type="cellIs" dxfId="13" priority="1805" operator="equal">
      <formula>"f64"</formula>
    </cfRule>
    <cfRule type="cellIs" dxfId="13" priority="1806" operator="equal">
      <formula>"f64"</formula>
    </cfRule>
    <cfRule type="cellIs" dxfId="12" priority="1807" operator="equal">
      <formula>"f32"</formula>
    </cfRule>
    <cfRule type="cellIs" dxfId="13" priority="1808" operator="equal">
      <formula>"f64"</formula>
    </cfRule>
    <cfRule type="cellIs" dxfId="12" priority="1809" operator="equal">
      <formula>"f32"</formula>
    </cfRule>
    <cfRule type="cellIs" dxfId="11" priority="1810" operator="equal">
      <formula>"u64"</formula>
    </cfRule>
    <cfRule type="cellIs" dxfId="10" priority="1811" operator="equal">
      <formula>"u32"</formula>
    </cfRule>
    <cfRule type="cellIs" priority="1812" operator="equal">
      <formula>"u16"</formula>
    </cfRule>
    <cfRule type="cellIs" dxfId="9" priority="1813" operator="equal">
      <formula>"s64"</formula>
    </cfRule>
    <cfRule type="cellIs" dxfId="8" priority="1814" operator="equal">
      <formula>"s32"</formula>
    </cfRule>
    <cfRule type="cellIs" priority="1815" operator="equal">
      <formula>"s16"</formula>
    </cfRule>
  </conditionalFormatting>
  <conditionalFormatting sqref="F293">
    <cfRule type="containsBlanks" dxfId="7" priority="1736">
      <formula>LEN(TRIM(F293))=0</formula>
    </cfRule>
  </conditionalFormatting>
  <conditionalFormatting sqref="K293">
    <cfRule type="cellIs" dxfId="0" priority="1741" operator="equal">
      <formula>"读写 - 立即更改，立即生效"</formula>
    </cfRule>
    <cfRule type="cellIs" dxfId="1" priority="1742" operator="equal">
      <formula>"读写 - 立即更改，重启生效"</formula>
    </cfRule>
    <cfRule type="cellIs" dxfId="2" priority="1743" operator="equal">
      <formula>"读写 - 停机更改，立即生效"</formula>
    </cfRule>
  </conditionalFormatting>
  <conditionalFormatting sqref="L293">
    <cfRule type="cellIs" dxfId="3" priority="1739" operator="equal">
      <formula>"允许保存，不可恢复"</formula>
    </cfRule>
    <cfRule type="cellIs" dxfId="4" priority="1740" operator="equal">
      <formula>"允许保存，可恢复"</formula>
    </cfRule>
  </conditionalFormatting>
  <conditionalFormatting sqref="M293">
    <cfRule type="cellIs" dxfId="5" priority="1737" operator="equal">
      <formula>"User"</formula>
    </cfRule>
    <cfRule type="cellIs" dxfId="6" priority="1738" operator="equal">
      <formula>"Admin"</formula>
    </cfRule>
  </conditionalFormatting>
  <conditionalFormatting sqref="O293">
    <cfRule type="containsBlanks" dxfId="7" priority="1744">
      <formula>LEN(TRIM(O293))=0</formula>
    </cfRule>
  </conditionalFormatting>
  <conditionalFormatting sqref="O294:P294">
    <cfRule type="containsBlanks" dxfId="7" priority="1982">
      <formula>LEN(TRIM(O294))=0</formula>
    </cfRule>
  </conditionalFormatting>
  <conditionalFormatting sqref="O295">
    <cfRule type="containsBlanks" dxfId="7" priority="1804">
      <formula>LEN(TRIM(O295))=0</formula>
    </cfRule>
  </conditionalFormatting>
  <conditionalFormatting sqref="K299">
    <cfRule type="cellIs" dxfId="0" priority="1546" operator="equal">
      <formula>"读写 - 立即更改，立即生效"</formula>
    </cfRule>
    <cfRule type="cellIs" dxfId="1" priority="1547" operator="equal">
      <formula>"读写 - 立即更改，重启生效"</formula>
    </cfRule>
    <cfRule type="cellIs" dxfId="2" priority="1548" operator="equal">
      <formula>"读写 - 停机更改，立即生效"</formula>
    </cfRule>
  </conditionalFormatting>
  <conditionalFormatting sqref="L299">
    <cfRule type="cellIs" dxfId="3" priority="1549" operator="equal">
      <formula>"允许保存，不可恢复"</formula>
    </cfRule>
    <cfRule type="cellIs" dxfId="4" priority="1550" operator="equal">
      <formula>"允许保存，可恢复"</formula>
    </cfRule>
  </conditionalFormatting>
  <conditionalFormatting sqref="K301">
    <cfRule type="cellIs" dxfId="0" priority="1380" operator="equal">
      <formula>"读写 - 立即更改，立即生效"</formula>
    </cfRule>
    <cfRule type="cellIs" dxfId="1" priority="1381" operator="equal">
      <formula>"读写 - 立即更改，重启生效"</formula>
    </cfRule>
    <cfRule type="cellIs" dxfId="2" priority="1382" operator="equal">
      <formula>"读写 - 停机更改，立即生效"</formula>
    </cfRule>
  </conditionalFormatting>
  <conditionalFormatting sqref="L301">
    <cfRule type="cellIs" dxfId="3" priority="1368" operator="equal">
      <formula>"允许保存，不可恢复"</formula>
    </cfRule>
    <cfRule type="cellIs" dxfId="4" priority="1369" operator="equal">
      <formula>"允许保存，可恢复"</formula>
    </cfRule>
  </conditionalFormatting>
  <conditionalFormatting sqref="K302">
    <cfRule type="cellIs" dxfId="0" priority="1377" operator="equal">
      <formula>"读写 - 立即更改，立即生效"</formula>
    </cfRule>
    <cfRule type="cellIs" dxfId="1" priority="1378" operator="equal">
      <formula>"读写 - 立即更改，重启生效"</formula>
    </cfRule>
    <cfRule type="cellIs" dxfId="2" priority="1379" operator="equal">
      <formula>"读写 - 停机更改，立即生效"</formula>
    </cfRule>
  </conditionalFormatting>
  <conditionalFormatting sqref="L302">
    <cfRule type="cellIs" dxfId="3" priority="1370" operator="equal">
      <formula>"允许保存，不可恢复"</formula>
    </cfRule>
    <cfRule type="cellIs" dxfId="4" priority="1371" operator="equal">
      <formula>"允许保存，可恢复"</formula>
    </cfRule>
  </conditionalFormatting>
  <conditionalFormatting sqref="K303">
    <cfRule type="cellIs" dxfId="0" priority="1374" operator="equal">
      <formula>"读写 - 立即更改，立即生效"</formula>
    </cfRule>
    <cfRule type="cellIs" dxfId="1" priority="1375" operator="equal">
      <formula>"读写 - 立即更改，重启生效"</formula>
    </cfRule>
    <cfRule type="cellIs" dxfId="2" priority="1376" operator="equal">
      <formula>"读写 - 停机更改，立即生效"</formula>
    </cfRule>
  </conditionalFormatting>
  <conditionalFormatting sqref="L303">
    <cfRule type="cellIs" dxfId="3" priority="1372" operator="equal">
      <formula>"允许保存，不可恢复"</formula>
    </cfRule>
    <cfRule type="cellIs" dxfId="4" priority="1373" operator="equal">
      <formula>"允许保存，可恢复"</formula>
    </cfRule>
  </conditionalFormatting>
  <conditionalFormatting sqref="E307">
    <cfRule type="cellIs" dxfId="13" priority="1746" operator="equal">
      <formula>"f64"</formula>
    </cfRule>
    <cfRule type="cellIs" dxfId="13" priority="1747" operator="equal">
      <formula>"f64"</formula>
    </cfRule>
    <cfRule type="cellIs" dxfId="12" priority="1748" operator="equal">
      <formula>"f32"</formula>
    </cfRule>
    <cfRule type="cellIs" dxfId="13" priority="1749" operator="equal">
      <formula>"f64"</formula>
    </cfRule>
    <cfRule type="cellIs" dxfId="12" priority="1750" operator="equal">
      <formula>"f32"</formula>
    </cfRule>
    <cfRule type="cellIs" dxfId="11" priority="1751" operator="equal">
      <formula>"u64"</formula>
    </cfRule>
    <cfRule type="cellIs" dxfId="10" priority="1752" operator="equal">
      <formula>"u32"</formula>
    </cfRule>
    <cfRule type="cellIs" priority="1753" operator="equal">
      <formula>"u16"</formula>
    </cfRule>
    <cfRule type="cellIs" dxfId="9" priority="1754" operator="equal">
      <formula>"s64"</formula>
    </cfRule>
    <cfRule type="cellIs" dxfId="8" priority="1755" operator="equal">
      <formula>"s32"</formula>
    </cfRule>
    <cfRule type="cellIs" priority="1756" operator="equal">
      <formula>"s16"</formula>
    </cfRule>
  </conditionalFormatting>
  <conditionalFormatting sqref="F307">
    <cfRule type="containsBlanks" dxfId="7" priority="1745">
      <formula>LEN(TRIM(F307))=0</formula>
    </cfRule>
  </conditionalFormatting>
  <conditionalFormatting sqref="K307">
    <cfRule type="cellIs" dxfId="0" priority="1761" operator="equal">
      <formula>"读写 - 立即更改，立即生效"</formula>
    </cfRule>
    <cfRule type="cellIs" dxfId="1" priority="1762" operator="equal">
      <formula>"读写 - 立即更改，重启生效"</formula>
    </cfRule>
    <cfRule type="cellIs" dxfId="2" priority="1763" operator="equal">
      <formula>"读写 - 停机更改，立即生效"</formula>
    </cfRule>
  </conditionalFormatting>
  <conditionalFormatting sqref="L307">
    <cfRule type="cellIs" dxfId="3" priority="1759" operator="equal">
      <formula>"允许保存，不可恢复"</formula>
    </cfRule>
    <cfRule type="cellIs" dxfId="4" priority="1760" operator="equal">
      <formula>"允许保存，可恢复"</formula>
    </cfRule>
  </conditionalFormatting>
  <conditionalFormatting sqref="M307">
    <cfRule type="cellIs" dxfId="5" priority="1757" operator="equal">
      <formula>"User"</formula>
    </cfRule>
    <cfRule type="cellIs" dxfId="6" priority="1758" operator="equal">
      <formula>"Admin"</formula>
    </cfRule>
  </conditionalFormatting>
  <conditionalFormatting sqref="O307">
    <cfRule type="containsBlanks" dxfId="7" priority="1764">
      <formula>LEN(TRIM(O307))=0</formula>
    </cfRule>
  </conditionalFormatting>
  <conditionalFormatting sqref="E308">
    <cfRule type="cellIs" dxfId="13" priority="1574" operator="equal">
      <formula>"f64"</formula>
    </cfRule>
    <cfRule type="cellIs" dxfId="13" priority="1575" operator="equal">
      <formula>"f64"</formula>
    </cfRule>
    <cfRule type="cellIs" dxfId="12" priority="1576" operator="equal">
      <formula>"f32"</formula>
    </cfRule>
    <cfRule type="cellIs" dxfId="13" priority="1577" operator="equal">
      <formula>"f64"</formula>
    </cfRule>
    <cfRule type="cellIs" dxfId="12" priority="1578" operator="equal">
      <formula>"f32"</formula>
    </cfRule>
    <cfRule type="cellIs" dxfId="11" priority="1579" operator="equal">
      <formula>"u64"</formula>
    </cfRule>
    <cfRule type="cellIs" dxfId="10" priority="1580" operator="equal">
      <formula>"u32"</formula>
    </cfRule>
    <cfRule type="cellIs" priority="1581" operator="equal">
      <formula>"u16"</formula>
    </cfRule>
    <cfRule type="cellIs" dxfId="9" priority="1582" operator="equal">
      <formula>"s64"</formula>
    </cfRule>
    <cfRule type="cellIs" dxfId="8" priority="1583" operator="equal">
      <formula>"s32"</formula>
    </cfRule>
    <cfRule type="cellIs" priority="1584" operator="equal">
      <formula>"s16"</formula>
    </cfRule>
  </conditionalFormatting>
  <conditionalFormatting sqref="F308">
    <cfRule type="containsBlanks" dxfId="7" priority="1573">
      <formula>LEN(TRIM(F308))=0</formula>
    </cfRule>
  </conditionalFormatting>
  <conditionalFormatting sqref="K308">
    <cfRule type="cellIs" dxfId="0" priority="1589" operator="equal">
      <formula>"读写 - 立即更改，立即生效"</formula>
    </cfRule>
    <cfRule type="cellIs" dxfId="1" priority="1590" operator="equal">
      <formula>"读写 - 立即更改，重启生效"</formula>
    </cfRule>
    <cfRule type="cellIs" dxfId="2" priority="1591" operator="equal">
      <formula>"读写 - 停机更改，立即生效"</formula>
    </cfRule>
  </conditionalFormatting>
  <conditionalFormatting sqref="L308">
    <cfRule type="cellIs" dxfId="3" priority="1587" operator="equal">
      <formula>"允许保存，不可恢复"</formula>
    </cfRule>
    <cfRule type="cellIs" dxfId="4" priority="1588" operator="equal">
      <formula>"允许保存，可恢复"</formula>
    </cfRule>
  </conditionalFormatting>
  <conditionalFormatting sqref="M308">
    <cfRule type="cellIs" dxfId="5" priority="1585" operator="equal">
      <formula>"User"</formula>
    </cfRule>
    <cfRule type="cellIs" dxfId="6" priority="1586" operator="equal">
      <formula>"Admin"</formula>
    </cfRule>
  </conditionalFormatting>
  <conditionalFormatting sqref="O308">
    <cfRule type="containsBlanks" dxfId="7" priority="1592">
      <formula>LEN(TRIM(O308))=0</formula>
    </cfRule>
  </conditionalFormatting>
  <conditionalFormatting sqref="E404">
    <cfRule type="cellIs" dxfId="13" priority="1714" operator="equal">
      <formula>"f64"</formula>
    </cfRule>
    <cfRule type="cellIs" dxfId="13" priority="1715" operator="equal">
      <formula>"f64"</formula>
    </cfRule>
    <cfRule type="cellIs" dxfId="12" priority="1716" operator="equal">
      <formula>"f32"</formula>
    </cfRule>
    <cfRule type="cellIs" dxfId="13" priority="1717" operator="equal">
      <formula>"f64"</formula>
    </cfRule>
    <cfRule type="cellIs" dxfId="12" priority="1718" operator="equal">
      <formula>"f32"</formula>
    </cfRule>
    <cfRule type="cellIs" dxfId="11" priority="1719" operator="equal">
      <formula>"u64"</formula>
    </cfRule>
    <cfRule type="cellIs" dxfId="10" priority="1720" operator="equal">
      <formula>"u32"</formula>
    </cfRule>
    <cfRule type="cellIs" priority="1721" operator="equal">
      <formula>"u16"</formula>
    </cfRule>
    <cfRule type="cellIs" dxfId="9" priority="1722" operator="equal">
      <formula>"s64"</formula>
    </cfRule>
    <cfRule type="cellIs" dxfId="8" priority="1723" operator="equal">
      <formula>"s32"</formula>
    </cfRule>
    <cfRule type="cellIs" priority="1724" operator="equal">
      <formula>"s16"</formula>
    </cfRule>
  </conditionalFormatting>
  <conditionalFormatting sqref="F404">
    <cfRule type="containsBlanks" dxfId="7" priority="1713">
      <formula>LEN(TRIM(F404))=0</formula>
    </cfRule>
  </conditionalFormatting>
  <conditionalFormatting sqref="K404">
    <cfRule type="cellIs" dxfId="0" priority="1729" operator="equal">
      <formula>"读写 - 立即更改，立即生效"</formula>
    </cfRule>
    <cfRule type="cellIs" dxfId="1" priority="1730" operator="equal">
      <formula>"读写 - 立即更改，重启生效"</formula>
    </cfRule>
    <cfRule type="cellIs" dxfId="2" priority="1731" operator="equal">
      <formula>"读写 - 停机更改，立即生效"</formula>
    </cfRule>
  </conditionalFormatting>
  <conditionalFormatting sqref="L404">
    <cfRule type="cellIs" dxfId="3" priority="1727" operator="equal">
      <formula>"允许保存，不可恢复"</formula>
    </cfRule>
    <cfRule type="cellIs" dxfId="4" priority="1728" operator="equal">
      <formula>"允许保存，可恢复"</formula>
    </cfRule>
  </conditionalFormatting>
  <conditionalFormatting sqref="M404">
    <cfRule type="cellIs" dxfId="5" priority="1725" operator="equal">
      <formula>"User"</formula>
    </cfRule>
    <cfRule type="cellIs" dxfId="6" priority="1726" operator="equal">
      <formula>"Admin"</formula>
    </cfRule>
  </conditionalFormatting>
  <conditionalFormatting sqref="O404:P404">
    <cfRule type="containsBlanks" dxfId="7" priority="1732">
      <formula>LEN(TRIM(O404))=0</formula>
    </cfRule>
  </conditionalFormatting>
  <conditionalFormatting sqref="K407">
    <cfRule type="cellIs" dxfId="0" priority="1430" operator="equal">
      <formula>"读写 - 立即更改，立即生效"</formula>
    </cfRule>
    <cfRule type="cellIs" dxfId="1" priority="1431" operator="equal">
      <formula>"读写 - 立即更改，重启生效"</formula>
    </cfRule>
    <cfRule type="cellIs" dxfId="2" priority="1432" operator="equal">
      <formula>"读写 - 停机更改，立即生效"</formula>
    </cfRule>
  </conditionalFormatting>
  <conditionalFormatting sqref="L407">
    <cfRule type="cellIs" dxfId="3" priority="1428" operator="equal">
      <formula>"允许保存，不可恢复"</formula>
    </cfRule>
    <cfRule type="cellIs" dxfId="4" priority="1429" operator="equal">
      <formula>"允许保存，可恢复"</formula>
    </cfRule>
  </conditionalFormatting>
  <conditionalFormatting sqref="F429">
    <cfRule type="containsBlanks" dxfId="7" priority="1863">
      <formula>LEN(TRIM(F429))=0</formula>
    </cfRule>
  </conditionalFormatting>
  <conditionalFormatting sqref="K429">
    <cfRule type="cellIs" dxfId="0" priority="1866" operator="equal">
      <formula>"读写 - 立即更改，立即生效"</formula>
    </cfRule>
    <cfRule type="cellIs" dxfId="1" priority="1867" operator="equal">
      <formula>"读写 - 立即更改，重启生效"</formula>
    </cfRule>
    <cfRule type="cellIs" dxfId="2" priority="1868" operator="equal">
      <formula>"读写 - 停机更改，立即生效"</formula>
    </cfRule>
  </conditionalFormatting>
  <conditionalFormatting sqref="L429">
    <cfRule type="cellIs" dxfId="3" priority="1864" operator="equal">
      <formula>"允许保存，不可恢复"</formula>
    </cfRule>
    <cfRule type="cellIs" dxfId="4" priority="1865" operator="equal">
      <formula>"允许保存，可恢复"</formula>
    </cfRule>
  </conditionalFormatting>
  <conditionalFormatting sqref="E431">
    <cfRule type="cellIs" dxfId="13" priority="1847" operator="equal">
      <formula>"f64"</formula>
    </cfRule>
    <cfRule type="cellIs" dxfId="13" priority="1848" operator="equal">
      <formula>"f64"</formula>
    </cfRule>
    <cfRule type="cellIs" dxfId="12" priority="1849" operator="equal">
      <formula>"f32"</formula>
    </cfRule>
    <cfRule type="cellIs" dxfId="13" priority="1850" operator="equal">
      <formula>"f64"</formula>
    </cfRule>
    <cfRule type="cellIs" dxfId="12" priority="1851" operator="equal">
      <formula>"f32"</formula>
    </cfRule>
    <cfRule type="cellIs" dxfId="11" priority="1852" operator="equal">
      <formula>"u64"</formula>
    </cfRule>
    <cfRule type="cellIs" dxfId="10" priority="1853" operator="equal">
      <formula>"u32"</formula>
    </cfRule>
    <cfRule type="cellIs" priority="1854" operator="equal">
      <formula>"u16"</formula>
    </cfRule>
    <cfRule type="cellIs" dxfId="9" priority="1855" operator="equal">
      <formula>"s64"</formula>
    </cfRule>
    <cfRule type="cellIs" dxfId="8" priority="1856" operator="equal">
      <formula>"s32"</formula>
    </cfRule>
    <cfRule type="cellIs" priority="1857" operator="equal">
      <formula>"s16"</formula>
    </cfRule>
  </conditionalFormatting>
  <conditionalFormatting sqref="K431">
    <cfRule type="cellIs" dxfId="0" priority="1860" operator="equal">
      <formula>"读写 - 立即更改，立即生效"</formula>
    </cfRule>
    <cfRule type="cellIs" dxfId="1" priority="1861" operator="equal">
      <formula>"读写 - 立即更改，重启生效"</formula>
    </cfRule>
    <cfRule type="cellIs" dxfId="2" priority="1862" operator="equal">
      <formula>"读写 - 停机更改，立即生效"</formula>
    </cfRule>
  </conditionalFormatting>
  <conditionalFormatting sqref="L431">
    <cfRule type="cellIs" dxfId="3" priority="1858" operator="equal">
      <formula>"允许保存，不可恢复"</formula>
    </cfRule>
    <cfRule type="cellIs" dxfId="4" priority="1859" operator="equal">
      <formula>"允许保存，可恢复"</formula>
    </cfRule>
  </conditionalFormatting>
  <conditionalFormatting sqref="E435">
    <cfRule type="cellIs" dxfId="13" priority="1828" operator="equal">
      <formula>"f64"</formula>
    </cfRule>
    <cfRule type="cellIs" dxfId="13" priority="1829" operator="equal">
      <formula>"f64"</formula>
    </cfRule>
    <cfRule type="cellIs" dxfId="12" priority="1830" operator="equal">
      <formula>"f32"</formula>
    </cfRule>
    <cfRule type="cellIs" dxfId="13" priority="1831" operator="equal">
      <formula>"f64"</formula>
    </cfRule>
    <cfRule type="cellIs" dxfId="12" priority="1832" operator="equal">
      <formula>"f32"</formula>
    </cfRule>
    <cfRule type="cellIs" dxfId="11" priority="1833" operator="equal">
      <formula>"u64"</formula>
    </cfRule>
    <cfRule type="cellIs" dxfId="10" priority="1834" operator="equal">
      <formula>"u32"</formula>
    </cfRule>
    <cfRule type="cellIs" priority="1835" operator="equal">
      <formula>"u16"</formula>
    </cfRule>
    <cfRule type="cellIs" dxfId="9" priority="1836" operator="equal">
      <formula>"s64"</formula>
    </cfRule>
    <cfRule type="cellIs" dxfId="8" priority="1837" operator="equal">
      <formula>"s32"</formula>
    </cfRule>
    <cfRule type="cellIs" priority="1838" operator="equal">
      <formula>"s16"</formula>
    </cfRule>
  </conditionalFormatting>
  <conditionalFormatting sqref="F435">
    <cfRule type="containsBlanks" dxfId="7" priority="1827">
      <formula>LEN(TRIM(F435))=0</formula>
    </cfRule>
  </conditionalFormatting>
  <conditionalFormatting sqref="K435">
    <cfRule type="cellIs" dxfId="0" priority="1843" operator="equal">
      <formula>"读写 - 立即更改，立即生效"</formula>
    </cfRule>
    <cfRule type="cellIs" dxfId="1" priority="1844" operator="equal">
      <formula>"读写 - 立即更改，重启生效"</formula>
    </cfRule>
    <cfRule type="cellIs" dxfId="2" priority="1845" operator="equal">
      <formula>"读写 - 停机更改，立即生效"</formula>
    </cfRule>
  </conditionalFormatting>
  <conditionalFormatting sqref="L435">
    <cfRule type="cellIs" dxfId="3" priority="1841" operator="equal">
      <formula>"允许保存，不可恢复"</formula>
    </cfRule>
    <cfRule type="cellIs" dxfId="4" priority="1842" operator="equal">
      <formula>"允许保存，可恢复"</formula>
    </cfRule>
  </conditionalFormatting>
  <conditionalFormatting sqref="M435">
    <cfRule type="cellIs" dxfId="5" priority="1839" operator="equal">
      <formula>"User"</formula>
    </cfRule>
    <cfRule type="cellIs" dxfId="6" priority="1840" operator="equal">
      <formula>"Admin"</formula>
    </cfRule>
  </conditionalFormatting>
  <conditionalFormatting sqref="O435">
    <cfRule type="containsBlanks" dxfId="7" priority="1846">
      <formula>LEN(TRIM(O435))=0</formula>
    </cfRule>
  </conditionalFormatting>
  <conditionalFormatting sqref="F436">
    <cfRule type="containsBlanks" dxfId="7" priority="1818">
      <formula>LEN(TRIM(F436))=0</formula>
    </cfRule>
  </conditionalFormatting>
  <conditionalFormatting sqref="K436">
    <cfRule type="cellIs" dxfId="0" priority="1823" operator="equal">
      <formula>"读写 - 立即更改，立即生效"</formula>
    </cfRule>
    <cfRule type="cellIs" dxfId="1" priority="1824" operator="equal">
      <formula>"读写 - 立即更改，重启生效"</formula>
    </cfRule>
    <cfRule type="cellIs" dxfId="2" priority="1825" operator="equal">
      <formula>"读写 - 停机更改，立即生效"</formula>
    </cfRule>
  </conditionalFormatting>
  <conditionalFormatting sqref="L436">
    <cfRule type="cellIs" dxfId="3" priority="1821" operator="equal">
      <formula>"允许保存，不可恢复"</formula>
    </cfRule>
    <cfRule type="cellIs" dxfId="4" priority="1822" operator="equal">
      <formula>"允许保存，可恢复"</formula>
    </cfRule>
  </conditionalFormatting>
  <conditionalFormatting sqref="M436">
    <cfRule type="cellIs" dxfId="5" priority="1819" operator="equal">
      <formula>"User"</formula>
    </cfRule>
    <cfRule type="cellIs" dxfId="6" priority="1820" operator="equal">
      <formula>"Admin"</formula>
    </cfRule>
  </conditionalFormatting>
  <conditionalFormatting sqref="O436">
    <cfRule type="containsBlanks" dxfId="7" priority="1826">
      <formula>LEN(TRIM(O436))=0</formula>
    </cfRule>
  </conditionalFormatting>
  <conditionalFormatting sqref="F437">
    <cfRule type="containsBlanks" dxfId="7" priority="1817">
      <formula>LEN(TRIM(F437))=0</formula>
    </cfRule>
  </conditionalFormatting>
  <conditionalFormatting sqref="O437">
    <cfRule type="containsBlanks" dxfId="7" priority="1816">
      <formula>LEN(TRIM(O437))=0</formula>
    </cfRule>
  </conditionalFormatting>
  <conditionalFormatting sqref="E440">
    <cfRule type="cellIs" dxfId="13" priority="1890" operator="equal">
      <formula>"f64"</formula>
    </cfRule>
    <cfRule type="cellIs" dxfId="13" priority="1891" operator="equal">
      <formula>"f64"</formula>
    </cfRule>
    <cfRule type="cellIs" dxfId="12" priority="1892" operator="equal">
      <formula>"f32"</formula>
    </cfRule>
    <cfRule type="cellIs" dxfId="13" priority="1893" operator="equal">
      <formula>"f64"</formula>
    </cfRule>
    <cfRule type="cellIs" dxfId="12" priority="1894" operator="equal">
      <formula>"f32"</formula>
    </cfRule>
    <cfRule type="cellIs" dxfId="11" priority="1895" operator="equal">
      <formula>"u64"</formula>
    </cfRule>
    <cfRule type="cellIs" dxfId="10" priority="1896" operator="equal">
      <formula>"u32"</formula>
    </cfRule>
    <cfRule type="cellIs" priority="1897" operator="equal">
      <formula>"u16"</formula>
    </cfRule>
    <cfRule type="cellIs" dxfId="9" priority="1898" operator="equal">
      <formula>"s64"</formula>
    </cfRule>
    <cfRule type="cellIs" dxfId="8" priority="1899" operator="equal">
      <formula>"s32"</formula>
    </cfRule>
    <cfRule type="cellIs" priority="1900" operator="equal">
      <formula>"s16"</formula>
    </cfRule>
  </conditionalFormatting>
  <conditionalFormatting sqref="F440">
    <cfRule type="containsBlanks" dxfId="7" priority="1889">
      <formula>LEN(TRIM(F440))=0</formula>
    </cfRule>
  </conditionalFormatting>
  <conditionalFormatting sqref="K440">
    <cfRule type="cellIs" dxfId="0" priority="1905" operator="equal">
      <formula>"读写 - 立即更改，立即生效"</formula>
    </cfRule>
    <cfRule type="cellIs" dxfId="1" priority="1906" operator="equal">
      <formula>"读写 - 立即更改，重启生效"</formula>
    </cfRule>
    <cfRule type="cellIs" dxfId="2" priority="1907" operator="equal">
      <formula>"读写 - 停机更改，立即生效"</formula>
    </cfRule>
  </conditionalFormatting>
  <conditionalFormatting sqref="L440">
    <cfRule type="cellIs" dxfId="3" priority="1903" operator="equal">
      <formula>"允许保存，不可恢复"</formula>
    </cfRule>
    <cfRule type="cellIs" dxfId="4" priority="1904" operator="equal">
      <formula>"允许保存，可恢复"</formula>
    </cfRule>
  </conditionalFormatting>
  <conditionalFormatting sqref="M440">
    <cfRule type="cellIs" dxfId="5" priority="1901" operator="equal">
      <formula>"User"</formula>
    </cfRule>
    <cfRule type="cellIs" dxfId="6" priority="1902" operator="equal">
      <formula>"Admin"</formula>
    </cfRule>
  </conditionalFormatting>
  <conditionalFormatting sqref="O538">
    <cfRule type="containsBlanks" dxfId="7" priority="1985">
      <formula>LEN(TRIM(O538))=0</formula>
    </cfRule>
  </conditionalFormatting>
  <conditionalFormatting sqref="E539">
    <cfRule type="cellIs" dxfId="13" priority="1614" operator="equal">
      <formula>"f64"</formula>
    </cfRule>
    <cfRule type="cellIs" dxfId="13" priority="1615" operator="equal">
      <formula>"f64"</formula>
    </cfRule>
    <cfRule type="cellIs" dxfId="12" priority="1616" operator="equal">
      <formula>"f32"</formula>
    </cfRule>
    <cfRule type="cellIs" dxfId="13" priority="1617" operator="equal">
      <formula>"f64"</formula>
    </cfRule>
    <cfRule type="cellIs" dxfId="12" priority="1618" operator="equal">
      <formula>"f32"</formula>
    </cfRule>
    <cfRule type="cellIs" dxfId="11" priority="1619" operator="equal">
      <formula>"u64"</formula>
    </cfRule>
    <cfRule type="cellIs" dxfId="10" priority="1620" operator="equal">
      <formula>"u32"</formula>
    </cfRule>
    <cfRule type="cellIs" priority="1621" operator="equal">
      <formula>"u16"</formula>
    </cfRule>
    <cfRule type="cellIs" dxfId="9" priority="1622" operator="equal">
      <formula>"s64"</formula>
    </cfRule>
    <cfRule type="cellIs" dxfId="8" priority="1623" operator="equal">
      <formula>"s32"</formula>
    </cfRule>
    <cfRule type="cellIs" priority="1624" operator="equal">
      <formula>"s16"</formula>
    </cfRule>
  </conditionalFormatting>
  <conditionalFormatting sqref="F539">
    <cfRule type="containsBlanks" dxfId="7" priority="1613">
      <formula>LEN(TRIM(F539))=0</formula>
    </cfRule>
  </conditionalFormatting>
  <conditionalFormatting sqref="K539">
    <cfRule type="cellIs" dxfId="0" priority="1629" operator="equal">
      <formula>"读写 - 立即更改，立即生效"</formula>
    </cfRule>
    <cfRule type="cellIs" dxfId="1" priority="1630" operator="equal">
      <formula>"读写 - 立即更改，重启生效"</formula>
    </cfRule>
    <cfRule type="cellIs" dxfId="2" priority="1631" operator="equal">
      <formula>"读写 - 停机更改，立即生效"</formula>
    </cfRule>
  </conditionalFormatting>
  <conditionalFormatting sqref="L539">
    <cfRule type="cellIs" dxfId="3" priority="1627" operator="equal">
      <formula>"允许保存，不可恢复"</formula>
    </cfRule>
    <cfRule type="cellIs" dxfId="4" priority="1628" operator="equal">
      <formula>"允许保存，可恢复"</formula>
    </cfRule>
  </conditionalFormatting>
  <conditionalFormatting sqref="M539">
    <cfRule type="cellIs" dxfId="5" priority="1625" operator="equal">
      <formula>"User"</formula>
    </cfRule>
    <cfRule type="cellIs" dxfId="6" priority="1626" operator="equal">
      <formula>"Admin"</formula>
    </cfRule>
  </conditionalFormatting>
  <conditionalFormatting sqref="O539:P539">
    <cfRule type="containsBlanks" dxfId="7" priority="1632">
      <formula>LEN(TRIM(O539))=0</formula>
    </cfRule>
  </conditionalFormatting>
  <conditionalFormatting sqref="E542">
    <cfRule type="cellIs" dxfId="13" priority="1594" operator="equal">
      <formula>"f64"</formula>
    </cfRule>
    <cfRule type="cellIs" dxfId="13" priority="1595" operator="equal">
      <formula>"f64"</formula>
    </cfRule>
    <cfRule type="cellIs" dxfId="12" priority="1596" operator="equal">
      <formula>"f32"</formula>
    </cfRule>
    <cfRule type="cellIs" dxfId="13" priority="1597" operator="equal">
      <formula>"f64"</formula>
    </cfRule>
    <cfRule type="cellIs" dxfId="12" priority="1598" operator="equal">
      <formula>"f32"</formula>
    </cfRule>
    <cfRule type="cellIs" dxfId="11" priority="1599" operator="equal">
      <formula>"u64"</formula>
    </cfRule>
    <cfRule type="cellIs" dxfId="10" priority="1600" operator="equal">
      <formula>"u32"</formula>
    </cfRule>
    <cfRule type="cellIs" priority="1601" operator="equal">
      <formula>"u16"</formula>
    </cfRule>
    <cfRule type="cellIs" dxfId="9" priority="1602" operator="equal">
      <formula>"s64"</formula>
    </cfRule>
    <cfRule type="cellIs" dxfId="8" priority="1603" operator="equal">
      <formula>"s32"</formula>
    </cfRule>
    <cfRule type="cellIs" priority="1604" operator="equal">
      <formula>"s16"</formula>
    </cfRule>
  </conditionalFormatting>
  <conditionalFormatting sqref="F542">
    <cfRule type="containsBlanks" dxfId="7" priority="1593">
      <formula>LEN(TRIM(F542))=0</formula>
    </cfRule>
  </conditionalFormatting>
  <conditionalFormatting sqref="K542">
    <cfRule type="cellIs" dxfId="0" priority="1609" operator="equal">
      <formula>"读写 - 立即更改，立即生效"</formula>
    </cfRule>
    <cfRule type="cellIs" dxfId="1" priority="1610" operator="equal">
      <formula>"读写 - 立即更改，重启生效"</formula>
    </cfRule>
    <cfRule type="cellIs" dxfId="2" priority="1611" operator="equal">
      <formula>"读写 - 停机更改，立即生效"</formula>
    </cfRule>
  </conditionalFormatting>
  <conditionalFormatting sqref="L542">
    <cfRule type="cellIs" dxfId="3" priority="1607" operator="equal">
      <formula>"允许保存，不可恢复"</formula>
    </cfRule>
    <cfRule type="cellIs" dxfId="4" priority="1608" operator="equal">
      <formula>"允许保存，可恢复"</formula>
    </cfRule>
  </conditionalFormatting>
  <conditionalFormatting sqref="M542">
    <cfRule type="cellIs" dxfId="5" priority="1605" operator="equal">
      <formula>"User"</formula>
    </cfRule>
    <cfRule type="cellIs" dxfId="6" priority="1606" operator="equal">
      <formula>"Admin"</formula>
    </cfRule>
  </conditionalFormatting>
  <conditionalFormatting sqref="O542">
    <cfRule type="containsBlanks" dxfId="7" priority="1612">
      <formula>LEN(TRIM(O542))=0</formula>
    </cfRule>
  </conditionalFormatting>
  <conditionalFormatting sqref="E231:E232">
    <cfRule type="cellIs" dxfId="13" priority="780" operator="equal">
      <formula>"f64"</formula>
    </cfRule>
    <cfRule type="cellIs" dxfId="13" priority="781" operator="equal">
      <formula>"f64"</formula>
    </cfRule>
    <cfRule type="cellIs" dxfId="12" priority="782" operator="equal">
      <formula>"f32"</formula>
    </cfRule>
    <cfRule type="cellIs" dxfId="13" priority="783" operator="equal">
      <formula>"f64"</formula>
    </cfRule>
    <cfRule type="cellIs" dxfId="12" priority="784" operator="equal">
      <formula>"f32"</formula>
    </cfRule>
    <cfRule type="cellIs" dxfId="11" priority="785" operator="equal">
      <formula>"u64"</formula>
    </cfRule>
    <cfRule type="cellIs" dxfId="10" priority="786" operator="equal">
      <formula>"u32"</formula>
    </cfRule>
    <cfRule type="cellIs" priority="787" operator="equal">
      <formula>"u16"</formula>
    </cfRule>
    <cfRule type="cellIs" dxfId="9" priority="788" operator="equal">
      <formula>"s64"</formula>
    </cfRule>
    <cfRule type="cellIs" dxfId="8" priority="789" operator="equal">
      <formula>"s32"</formula>
    </cfRule>
    <cfRule type="cellIs" priority="790" operator="equal">
      <formula>"s16"</formula>
    </cfRule>
  </conditionalFormatting>
  <conditionalFormatting sqref="E261:E262">
    <cfRule type="cellIs" dxfId="13" priority="1237" operator="equal">
      <formula>"f64"</formula>
    </cfRule>
    <cfRule type="cellIs" dxfId="13" priority="1238" operator="equal">
      <formula>"f64"</formula>
    </cfRule>
    <cfRule type="cellIs" dxfId="12" priority="1239" operator="equal">
      <formula>"f32"</formula>
    </cfRule>
    <cfRule type="cellIs" dxfId="13" priority="1240" operator="equal">
      <formula>"f64"</formula>
    </cfRule>
    <cfRule type="cellIs" dxfId="12" priority="1241" operator="equal">
      <formula>"f32"</formula>
    </cfRule>
    <cfRule type="cellIs" dxfId="11" priority="1242" operator="equal">
      <formula>"u64"</formula>
    </cfRule>
    <cfRule type="cellIs" dxfId="10" priority="1243" operator="equal">
      <formula>"u32"</formula>
    </cfRule>
    <cfRule type="cellIs" priority="1244" operator="equal">
      <formula>"u16"</formula>
    </cfRule>
    <cfRule type="cellIs" dxfId="9" priority="1245" operator="equal">
      <formula>"s64"</formula>
    </cfRule>
    <cfRule type="cellIs" dxfId="8" priority="1246" operator="equal">
      <formula>"s32"</formula>
    </cfRule>
    <cfRule type="cellIs" priority="1247" operator="equal">
      <formula>"s16"</formula>
    </cfRule>
  </conditionalFormatting>
  <conditionalFormatting sqref="E463:E464">
    <cfRule type="cellIs" dxfId="13" priority="1635" operator="equal">
      <formula>"f64"</formula>
    </cfRule>
    <cfRule type="cellIs" dxfId="13" priority="1636" operator="equal">
      <formula>"f64"</formula>
    </cfRule>
    <cfRule type="cellIs" dxfId="12" priority="1637" operator="equal">
      <formula>"f32"</formula>
    </cfRule>
    <cfRule type="cellIs" dxfId="13" priority="1638" operator="equal">
      <formula>"f64"</formula>
    </cfRule>
    <cfRule type="cellIs" dxfId="12" priority="1639" operator="equal">
      <formula>"f32"</formula>
    </cfRule>
    <cfRule type="cellIs" dxfId="11" priority="1640" operator="equal">
      <formula>"u64"</formula>
    </cfRule>
    <cfRule type="cellIs" dxfId="10" priority="1641" operator="equal">
      <formula>"u32"</formula>
    </cfRule>
    <cfRule type="cellIs" priority="1642" operator="equal">
      <formula>"u16"</formula>
    </cfRule>
    <cfRule type="cellIs" dxfId="9" priority="1643" operator="equal">
      <formula>"s64"</formula>
    </cfRule>
    <cfRule type="cellIs" dxfId="8" priority="1644" operator="equal">
      <formula>"s32"</formula>
    </cfRule>
    <cfRule type="cellIs" priority="1645" operator="equal">
      <formula>"s16"</formula>
    </cfRule>
  </conditionalFormatting>
  <conditionalFormatting sqref="F139:F142">
    <cfRule type="containsBlanks" dxfId="7" priority="364">
      <formula>LEN(TRIM(F139))=0</formula>
    </cfRule>
  </conditionalFormatting>
  <conditionalFormatting sqref="F143:F144">
    <cfRule type="containsBlanks" dxfId="7" priority="365">
      <formula>LEN(TRIM(F143))=0</formula>
    </cfRule>
  </conditionalFormatting>
  <conditionalFormatting sqref="F146:F147">
    <cfRule type="containsBlanks" dxfId="7" priority="362">
      <formula>LEN(TRIM(F146))=0</formula>
    </cfRule>
  </conditionalFormatting>
  <conditionalFormatting sqref="F231:F232">
    <cfRule type="containsBlanks" dxfId="7" priority="779">
      <formula>LEN(TRIM(F231))=0</formula>
    </cfRule>
  </conditionalFormatting>
  <conditionalFormatting sqref="F261:F262">
    <cfRule type="containsBlanks" dxfId="7" priority="1236">
      <formula>LEN(TRIM(F261))=0</formula>
    </cfRule>
  </conditionalFormatting>
  <conditionalFormatting sqref="F463:F464">
    <cfRule type="containsBlanks" dxfId="7" priority="1634">
      <formula>LEN(TRIM(F463))=0</formula>
    </cfRule>
  </conditionalFormatting>
  <conditionalFormatting sqref="K261:K262">
    <cfRule type="cellIs" dxfId="0" priority="1252" operator="equal">
      <formula>"读写 - 立即更改，立即生效"</formula>
    </cfRule>
    <cfRule type="cellIs" dxfId="1" priority="1253" operator="equal">
      <formula>"读写 - 立即更改，重启生效"</formula>
    </cfRule>
    <cfRule type="cellIs" dxfId="2" priority="1254" operator="equal">
      <formula>"读写 - 停机更改，立即生效"</formula>
    </cfRule>
  </conditionalFormatting>
  <conditionalFormatting sqref="K297:K298">
    <cfRule type="cellIs" dxfId="0" priority="1551" operator="equal">
      <formula>"读写 - 立即更改，立即生效"</formula>
    </cfRule>
    <cfRule type="cellIs" dxfId="1" priority="1552" operator="equal">
      <formula>"读写 - 立即更改，重启生效"</formula>
    </cfRule>
    <cfRule type="cellIs" dxfId="2" priority="1553" operator="equal">
      <formula>"读写 - 停机更改，立即生效"</formula>
    </cfRule>
  </conditionalFormatting>
  <conditionalFormatting sqref="K463:K464">
    <cfRule type="cellIs" dxfId="0" priority="1650" operator="equal">
      <formula>"读写 - 立即更改，立即生效"</formula>
    </cfRule>
    <cfRule type="cellIs" dxfId="1" priority="1651" operator="equal">
      <formula>"读写 - 立即更改，重启生效"</formula>
    </cfRule>
    <cfRule type="cellIs" dxfId="2" priority="1652" operator="equal">
      <formula>"读写 - 停机更改，立即生效"</formula>
    </cfRule>
  </conditionalFormatting>
  <conditionalFormatting sqref="L8:L28">
    <cfRule type="cellIs" dxfId="3" priority="308" operator="equal">
      <formula>"允许保存，不可恢复"</formula>
    </cfRule>
    <cfRule type="cellIs" dxfId="4" priority="311" operator="equal">
      <formula>"允许保存，可恢复"</formula>
    </cfRule>
  </conditionalFormatting>
  <conditionalFormatting sqref="L261:L262">
    <cfRule type="cellIs" dxfId="3" priority="1250" operator="equal">
      <formula>"允许保存，不可恢复"</formula>
    </cfRule>
    <cfRule type="cellIs" dxfId="4" priority="1251" operator="equal">
      <formula>"允许保存，可恢复"</formula>
    </cfRule>
  </conditionalFormatting>
  <conditionalFormatting sqref="L463:L464">
    <cfRule type="cellIs" dxfId="3" priority="1648" operator="equal">
      <formula>"允许保存，不可恢复"</formula>
    </cfRule>
    <cfRule type="cellIs" dxfId="4" priority="1649" operator="equal">
      <formula>"允许保存，可恢复"</formula>
    </cfRule>
  </conditionalFormatting>
  <conditionalFormatting sqref="M231:M232">
    <cfRule type="cellIs" dxfId="5" priority="791" operator="equal">
      <formula>"User"</formula>
    </cfRule>
    <cfRule type="cellIs" dxfId="6" priority="792" operator="equal">
      <formula>"Admin"</formula>
    </cfRule>
  </conditionalFormatting>
  <conditionalFormatting sqref="M261:M262">
    <cfRule type="cellIs" dxfId="5" priority="1248" operator="equal">
      <formula>"User"</formula>
    </cfRule>
    <cfRule type="cellIs" dxfId="6" priority="1249" operator="equal">
      <formula>"Admin"</formula>
    </cfRule>
  </conditionalFormatting>
  <conditionalFormatting sqref="M463:M464">
    <cfRule type="cellIs" dxfId="5" priority="1646" operator="equal">
      <formula>"User"</formula>
    </cfRule>
    <cfRule type="cellIs" dxfId="6" priority="1647" operator="equal">
      <formula>"Admin"</formula>
    </cfRule>
  </conditionalFormatting>
  <conditionalFormatting sqref="N465:N534">
    <cfRule type="cellIs" dxfId="5" priority="1987" operator="equal">
      <formula>"User"</formula>
    </cfRule>
    <cfRule type="cellIs" dxfId="6" priority="1988" operator="equal">
      <formula>"Admin"</formula>
    </cfRule>
  </conditionalFormatting>
  <conditionalFormatting sqref="O128:O131">
    <cfRule type="containsBlanks" dxfId="7" priority="1257">
      <formula>LEN(TRIM(O128))=0</formula>
    </cfRule>
  </conditionalFormatting>
  <conditionalFormatting sqref="O132:O133">
    <cfRule type="containsBlanks" dxfId="7" priority="1970">
      <formula>LEN(TRIM(O132))=0</formula>
    </cfRule>
  </conditionalFormatting>
  <conditionalFormatting sqref="O139:O145">
    <cfRule type="containsBlanks" dxfId="7" priority="363">
      <formula>LEN(TRIM(O139))=0</formula>
    </cfRule>
  </conditionalFormatting>
  <conditionalFormatting sqref="O146:O148">
    <cfRule type="containsBlanks" dxfId="7" priority="361">
      <formula>LEN(TRIM(O146))=0</formula>
    </cfRule>
  </conditionalFormatting>
  <conditionalFormatting sqref="O203:O206">
    <cfRule type="containsBlanks" dxfId="7" priority="1459">
      <formula>LEN(TRIM(O203))=0</formula>
    </cfRule>
  </conditionalFormatting>
  <conditionalFormatting sqref="O217:O219">
    <cfRule type="containsBlanks" dxfId="7" priority="1973">
      <formula>LEN(TRIM(O217))=0</formula>
    </cfRule>
  </conditionalFormatting>
  <conditionalFormatting sqref="O242:O247">
    <cfRule type="containsBlanks" dxfId="7" priority="1281">
      <formula>LEN(TRIM(O242))=0</formula>
    </cfRule>
  </conditionalFormatting>
  <conditionalFormatting sqref="O249:O253">
    <cfRule type="containsBlanks" dxfId="7" priority="1280">
      <formula>LEN(TRIM(O249))=0</formula>
    </cfRule>
  </conditionalFormatting>
  <conditionalFormatting sqref="O261:O262">
    <cfRule type="containsBlanks" dxfId="7" priority="1235">
      <formula>LEN(TRIM(O261))=0</formula>
    </cfRule>
  </conditionalFormatting>
  <conditionalFormatting sqref="O281:O282">
    <cfRule type="containsBlanks" dxfId="7" priority="1035">
      <formula>LEN(TRIM(O281))=0</formula>
    </cfRule>
  </conditionalFormatting>
  <conditionalFormatting sqref="O296:O306">
    <cfRule type="containsBlanks" dxfId="7" priority="1784">
      <formula>LEN(TRIM(O296))=0</formula>
    </cfRule>
  </conditionalFormatting>
  <conditionalFormatting sqref="O463:O464">
    <cfRule type="containsBlanks" dxfId="7" priority="1672">
      <formula>LEN(TRIM(O463))=0</formula>
    </cfRule>
  </conditionalFormatting>
  <conditionalFormatting sqref="P132:P133">
    <cfRule type="containsBlanks" dxfId="7" priority="1971">
      <formula>LEN(TRIM(P132))=0</formula>
    </cfRule>
  </conditionalFormatting>
  <conditionalFormatting sqref="P287:P288">
    <cfRule type="containsBlanks" dxfId="7" priority="1346">
      <formula>LEN(TRIM(P287))=0</formula>
    </cfRule>
  </conditionalFormatting>
  <conditionalFormatting sqref="P465:P515">
    <cfRule type="containsBlanks" dxfId="7" priority="1734">
      <formula>LEN(TRIM(P465))=0</formula>
    </cfRule>
  </conditionalFormatting>
  <conditionalFormatting sqref="P516:P538">
    <cfRule type="containsBlanks" dxfId="7" priority="1733">
      <formula>LEN(TRIM(P516))=0</formula>
    </cfRule>
  </conditionalFormatting>
  <conditionalFormatting sqref="Q5:Q543">
    <cfRule type="cellIs" dxfId="14" priority="96" operator="equal">
      <formula>0</formula>
    </cfRule>
  </conditionalFormatting>
  <conditionalFormatting sqref="R5:R543">
    <cfRule type="containsBlanks" dxfId="7" priority="95">
      <formula>LEN(TRIM(R5))=0</formula>
    </cfRule>
  </conditionalFormatting>
  <conditionalFormatting sqref="E1:E4 E267:E275 E36 E277:E280 E222:E224 E203 E185:E186 E209:E219 E207 E171:E172 E205 E226 E179:E181 E198 E174:E177 E233:E260 E190 E196 E194 E192 E200 E340 E412 E410 E543:E1048576 E540:E541 E364:E403 E406:E408 E426:E428 E465:E538 E349 E443:E462 E359 E361 E357 E355 E353 E351 E430 E432:E434 E436 E347 E418 E416 E414 E345 E422 E424 E420 E439 E309:E336 E294 E342:E343 E289:E292 E338 E145 E116 E99:E102 E112 E110 E114 E120 E108 E106 E104 E118 E143 E141 E147:E169 E122:E139 E39:E69 E265 E71:E97 E29 E263 E32:E33">
    <cfRule type="cellIs" dxfId="13" priority="1930" operator="equal">
      <formula>"f64"</formula>
    </cfRule>
    <cfRule type="cellIs" dxfId="13" priority="1931" operator="equal">
      <formula>"f64"</formula>
    </cfRule>
    <cfRule type="cellIs" dxfId="12" priority="1932" operator="equal">
      <formula>"f32"</formula>
    </cfRule>
    <cfRule type="cellIs" dxfId="13" priority="1933" operator="equal">
      <formula>"f64"</formula>
    </cfRule>
    <cfRule type="cellIs" dxfId="12" priority="1934" operator="equal">
      <formula>"f32"</formula>
    </cfRule>
    <cfRule type="cellIs" dxfId="11" priority="1935" operator="equal">
      <formula>"u64"</formula>
    </cfRule>
    <cfRule type="cellIs" dxfId="10" priority="1936" operator="equal">
      <formula>"u32"</formula>
    </cfRule>
    <cfRule type="cellIs" priority="1937" operator="equal">
      <formula>"u16"</formula>
    </cfRule>
    <cfRule type="cellIs" dxfId="9" priority="1938" operator="equal">
      <formula>"s64"</formula>
    </cfRule>
    <cfRule type="cellIs" dxfId="8" priority="1939" operator="equal">
      <formula>"s32"</formula>
    </cfRule>
    <cfRule type="cellIs" priority="1940" operator="equal">
      <formula>"s16"</formula>
    </cfRule>
  </conditionalFormatting>
  <conditionalFormatting sqref="F1:F4 F263 F36 F203 F209:F219 F205 F222:F224 F207 F226 F185:F186 F171:F172 F179:F181 F233:F260 F192 F200:F201 F174:F177 F196 F198 F194 F190 F267:F275 F540:F541 F345 F443:F457 F364:F403 F543:F1048576 F430:F434 F353 F418 F416 F349 F347 F359 F361 F439 F465:F538 F426:F428 F424 F406:F408 F410 F412 F420 F422 F414 F351 F355 F357 F340 F338 F309:F336 F294 F342:F343 F289:F292 F112 F108 F110 F118 F120 F114 F116 F106 F99:F102 F148:F169 F122:F138 F104 F43:F69 F145 F39:F41 F277:F280 F71:F97 F29 F265 F32:F33">
    <cfRule type="containsBlanks" dxfId="7" priority="1929">
      <formula>LEN(TRIM(F1))=0</formula>
    </cfRule>
  </conditionalFormatting>
  <conditionalFormatting sqref="K1:K4 K263 K36 K277:K280 K267:K275 K209:K219 K226 K185:K186 K222:K224 K171:K172 K203 K207 K205 K237:K241 K198 K196 K233:K234 K192 K244:K248 K251:K260 K194 K179:K181 K174:K177 K200:K201 K190 K294 K439 K364:K403 K351 K353 K355 K357 K359 K420 K414 K416 K418 K410 K422 K424 K543:K1048576 K432:K434 K430 K465:K538 K540:K541 K412 K443:K462 K426:K428 K406 K408 K361 K347 K345 K349 K338 K340 K309:K336 K289:K292 K342:K343 K145 K112 K99:K102 K116 K104 K108 K114 K110 K120 K118 K106 K143 K141 K147:K169 K122:K139 K39:K67 K69 K71:K97 K265 K32:K33">
    <cfRule type="cellIs" dxfId="0" priority="1945" operator="equal">
      <formula>"读写 - 立即更改，立即生效"</formula>
    </cfRule>
    <cfRule type="cellIs" dxfId="1" priority="1946" operator="equal">
      <formula>"读写 - 立即更改，重启生效"</formula>
    </cfRule>
    <cfRule type="cellIs" dxfId="2" priority="1947" operator="equal">
      <formula>"读写 - 停机更改，立即生效"</formula>
    </cfRule>
  </conditionalFormatting>
  <conditionalFormatting sqref="L1:L4 L277:L280 L36 L267:L275 L209:L219 L226 L185:L186 L222:L224 L171:L172 L203 L207 L205 L237:L241 L198 L196 L233:L234 L192 L244:L248 L251:L260 L194 L179:L181 L174:L177 L200:L201 L190 L294 L439 L364:L403 L351 L353 L355 L357 L359 L420 L414 L416 L418 L410 L422 L424 L543:L1048576 L432:L434 L430 L465:L538 L540:L541 L412 L443:L462 L426:L428 L406 L408 L361 L347 L345 L349 L338 L340 L309:L336 L289:L292 L342:L343 L145 L112 L99:L102 L116 L104 L108 L114 L110 L120 L118 L106 L143 L141 L147:L169 L122:L139 L39:L67 L69 L265 L71:L97 L29 L263 L32:L33">
    <cfRule type="cellIs" dxfId="3" priority="1943" operator="equal">
      <formula>"允许保存，不可恢复"</formula>
    </cfRule>
    <cfRule type="cellIs" dxfId="4" priority="1944" operator="equal">
      <formula>"允许保存，可恢复"</formula>
    </cfRule>
  </conditionalFormatting>
  <conditionalFormatting sqref="M1:M4 M342:M343 M36 M289:M292 M203 M209:M219 M205 M222:M224 M207 M226 M185:M186 M171:M172 M179:M181 M233:M260 M196 M192 M200:M201 M198 M174:M177 M194 M190 M267:M275 M430:M434 M364:M403 M345 M543:M1048576 M439 M426:M428 M540:M541 M418 M416 M349 M347 M359 M361 M443:M462 M465:M538 M424 M406:M408 M410 M412 M420 M351 M422 M414 M353 M357 M355 M340 M338 M309:M336 M294 M277:M280 M145 M104 M99:M102 M106 M116 M108 M112 M118 M120 M114 M110 M143 M141 M147:M169 M122:M139 M39:M69 M76:M97 M265 M71:M72 M29 M263 M32:M33">
    <cfRule type="cellIs" dxfId="5" priority="1941" operator="equal">
      <formula>"User"</formula>
    </cfRule>
    <cfRule type="cellIs" dxfId="6" priority="1942" operator="equal">
      <formula>"Admin"</formula>
    </cfRule>
  </conditionalFormatting>
  <conditionalFormatting sqref="Q1:Q4 Q544:Q1048576">
    <cfRule type="cellIs" dxfId="14" priority="1735" operator="equal">
      <formula>0</formula>
    </cfRule>
  </conditionalFormatting>
  <conditionalFormatting sqref="P6:P7 O27:P27 O18:O24 O8:P15">
    <cfRule type="containsBlanks" dxfId="7" priority="303">
      <formula>LEN(TRIM(O6))=0</formula>
    </cfRule>
  </conditionalFormatting>
  <conditionalFormatting sqref="E24 E8:E15">
    <cfRule type="cellIs" dxfId="13" priority="304" operator="equal">
      <formula>"f64"</formula>
    </cfRule>
    <cfRule type="cellIs" dxfId="13" priority="312" operator="equal">
      <formula>"f64"</formula>
    </cfRule>
    <cfRule type="cellIs" dxfId="12" priority="313" operator="equal">
      <formula>"f32"</formula>
    </cfRule>
    <cfRule type="cellIs" dxfId="13" priority="314" operator="equal">
      <formula>"f64"</formula>
    </cfRule>
    <cfRule type="cellIs" dxfId="12" priority="315" operator="equal">
      <formula>"f32"</formula>
    </cfRule>
    <cfRule type="cellIs" dxfId="11" priority="316" operator="equal">
      <formula>"u64"</formula>
    </cfRule>
    <cfRule type="cellIs" dxfId="10" priority="317" operator="equal">
      <formula>"u32"</formula>
    </cfRule>
    <cfRule type="cellIs" priority="318" operator="equal">
      <formula>"u16"</formula>
    </cfRule>
    <cfRule type="cellIs" dxfId="9" priority="319" operator="equal">
      <formula>"s64"</formula>
    </cfRule>
    <cfRule type="cellIs" dxfId="8" priority="320" operator="equal">
      <formula>"s32"</formula>
    </cfRule>
    <cfRule type="cellIs" priority="321" operator="equal">
      <formula>"s16"</formula>
    </cfRule>
  </conditionalFormatting>
  <conditionalFormatting sqref="F8:F24 F30:F31 F27:F28">
    <cfRule type="containsBlanks" dxfId="7" priority="269">
      <formula>LEN(TRIM(F8))=0</formula>
    </cfRule>
  </conditionalFormatting>
  <conditionalFormatting sqref="K8:K15 K27:K28 K18:K24">
    <cfRule type="cellIs" dxfId="0" priority="305" operator="equal">
      <formula>"读写 - 立即更改，立即生效"</formula>
    </cfRule>
    <cfRule type="cellIs" dxfId="1" priority="306" operator="equal">
      <formula>"读写 - 立即更改，重启生效"</formula>
    </cfRule>
    <cfRule type="cellIs" dxfId="2" priority="307" operator="equal">
      <formula>"读写 - 停机更改，立即生效"</formula>
    </cfRule>
  </conditionalFormatting>
  <conditionalFormatting sqref="M8:M15 M30:M31 M27:M28 M18:M24">
    <cfRule type="cellIs" dxfId="5" priority="309" operator="equal">
      <formula>"User"</formula>
    </cfRule>
    <cfRule type="cellIs" dxfId="6" priority="310" operator="equal">
      <formula>"Admin"</formula>
    </cfRule>
  </conditionalFormatting>
  <conditionalFormatting sqref="E16:E23 E27">
    <cfRule type="cellIs" dxfId="13" priority="322" operator="equal">
      <formula>"f64"</formula>
    </cfRule>
    <cfRule type="cellIs" dxfId="13" priority="323" operator="equal">
      <formula>"f64"</formula>
    </cfRule>
    <cfRule type="cellIs" dxfId="12" priority="324" operator="equal">
      <formula>"f32"</formula>
    </cfRule>
    <cfRule type="cellIs" dxfId="13" priority="325" operator="equal">
      <formula>"f64"</formula>
    </cfRule>
    <cfRule type="cellIs" dxfId="12" priority="326" operator="equal">
      <formula>"f32"</formula>
    </cfRule>
    <cfRule type="cellIs" dxfId="11" priority="327" operator="equal">
      <formula>"u64"</formula>
    </cfRule>
    <cfRule type="cellIs" dxfId="10" priority="328" operator="equal">
      <formula>"u32"</formula>
    </cfRule>
    <cfRule type="cellIs" priority="329" operator="equal">
      <formula>"u16"</formula>
    </cfRule>
    <cfRule type="cellIs" dxfId="9" priority="330" operator="equal">
      <formula>"s64"</formula>
    </cfRule>
    <cfRule type="cellIs" dxfId="8" priority="331" operator="equal">
      <formula>"s32"</formula>
    </cfRule>
    <cfRule type="cellIs" priority="332" operator="equal">
      <formula>"s16"</formula>
    </cfRule>
  </conditionalFormatting>
  <conditionalFormatting sqref="E28 E31">
    <cfRule type="cellIs" dxfId="13" priority="287" operator="equal">
      <formula>"f64"</formula>
    </cfRule>
    <cfRule type="cellIs" dxfId="13" priority="293" operator="equal">
      <formula>"f64"</formula>
    </cfRule>
    <cfRule type="cellIs" dxfId="12" priority="294" operator="equal">
      <formula>"f32"</formula>
    </cfRule>
    <cfRule type="cellIs" dxfId="13" priority="295" operator="equal">
      <formula>"f64"</formula>
    </cfRule>
    <cfRule type="cellIs" dxfId="12" priority="296" operator="equal">
      <formula>"f32"</formula>
    </cfRule>
    <cfRule type="cellIs" dxfId="11" priority="297" operator="equal">
      <formula>"u64"</formula>
    </cfRule>
    <cfRule type="cellIs" dxfId="10" priority="298" operator="equal">
      <formula>"u32"</formula>
    </cfRule>
    <cfRule type="cellIs" priority="299" operator="equal">
      <formula>"u16"</formula>
    </cfRule>
    <cfRule type="cellIs" dxfId="9" priority="300" operator="equal">
      <formula>"s64"</formula>
    </cfRule>
    <cfRule type="cellIs" dxfId="8" priority="301" operator="equal">
      <formula>"s32"</formula>
    </cfRule>
    <cfRule type="cellIs" priority="302" operator="equal">
      <formula>"s16"</formula>
    </cfRule>
  </conditionalFormatting>
  <conditionalFormatting sqref="O28 O30:O31">
    <cfRule type="containsBlanks" dxfId="7" priority="270">
      <formula>LEN(TRIM(O28))=0</formula>
    </cfRule>
  </conditionalFormatting>
  <conditionalFormatting sqref="P37:P73 O36:P36 O265 O156:O157 O159:O160 O171:O172 O223 O209:O214 O168:O169 P202:P264 O174:O177 O255:O260 O179:O181 O291:O292 P271 P295:P342 O405:O424 O426:O434 O465:O535 O438:O462 O543 O343:P403 O540:O541 P426:P464 P540:P543 P289:P293 O267:O275 P267 O151:O152 P141 P143 P145 O149 O154 P147:P167 P169:P188 P118 P110 P102 P106 P108 P122:P124 P112 P114 P116 P104 O125:P127 P100 P120 P128:P130 P139 O99 O123 O97:P97 O95:O96 O39:O53 O74:P94 O73 O71 O61:O67 O69 O29 P269 O32:O33 P273:P286 O309:O342 O163:O166">
    <cfRule type="containsBlanks" dxfId="7" priority="1986">
      <formula>LEN(TRIM(O29))=0</formula>
    </cfRule>
  </conditionalFormatting>
  <conditionalFormatting sqref="O72 O60 O68">
    <cfRule type="containsBlanks" dxfId="7" priority="1954">
      <formula>LEN(TRIM(O60))=0</formula>
    </cfRule>
  </conditionalFormatting>
  <conditionalFormatting sqref="P95:P96 P99">
    <cfRule type="containsBlanks" dxfId="7" priority="1633">
      <formula>LEN(TRIM(P95))=0</formula>
    </cfRule>
  </conditionalFormatting>
  <conditionalFormatting sqref="O101:P101 O190 O196 O198 O215 O200:O201 O194 O167 O158 O185 O155 O161:O162 O153 O150 O108 O106 O104 O102 O124 O122 O120 O118 O116 O114 O112 O110">
    <cfRule type="containsBlanks" dxfId="7" priority="1953">
      <formula>LEN(TRIM(O101))=0</formula>
    </cfRule>
  </conditionalFormatting>
  <conditionalFormatting sqref="E103 E191 E193 E195 E197 E201 E189 E199 E107 E105 E121 E119 E117 E115 E113 E111 E109">
    <cfRule type="cellIs" dxfId="13" priority="1526" operator="equal">
      <formula>"f64"</formula>
    </cfRule>
    <cfRule type="cellIs" dxfId="13" priority="1527" operator="equal">
      <formula>"f64"</formula>
    </cfRule>
    <cfRule type="cellIs" dxfId="12" priority="1528" operator="equal">
      <formula>"f32"</formula>
    </cfRule>
    <cfRule type="cellIs" dxfId="13" priority="1529" operator="equal">
      <formula>"f64"</formula>
    </cfRule>
    <cfRule type="cellIs" dxfId="12" priority="1530" operator="equal">
      <formula>"f32"</formula>
    </cfRule>
    <cfRule type="cellIs" dxfId="11" priority="1531" operator="equal">
      <formula>"u64"</formula>
    </cfRule>
    <cfRule type="cellIs" dxfId="10" priority="1532" operator="equal">
      <formula>"u32"</formula>
    </cfRule>
    <cfRule type="cellIs" priority="1533" operator="equal">
      <formula>"u16"</formula>
    </cfRule>
    <cfRule type="cellIs" dxfId="9" priority="1534" operator="equal">
      <formula>"s64"</formula>
    </cfRule>
    <cfRule type="cellIs" dxfId="8" priority="1535" operator="equal">
      <formula>"s32"</formula>
    </cfRule>
    <cfRule type="cellIs" priority="1536" operator="equal">
      <formula>"s16"</formula>
    </cfRule>
  </conditionalFormatting>
  <conditionalFormatting sqref="F103 F197 F195 F193 F191 F189 F199 F119 F117 F115 F105 F107 F109 F111 F113 F121">
    <cfRule type="containsBlanks" dxfId="7" priority="1525">
      <formula>LEN(TRIM(F103))=0</formula>
    </cfRule>
  </conditionalFormatting>
  <conditionalFormatting sqref="K103 K197 K195 K193 K191 K189 K199 K119 K117 K115 K105 K107 K109 K111 K113 K121">
    <cfRule type="cellIs" dxfId="0" priority="1541" operator="equal">
      <formula>"读写 - 立即更改，立即生效"</formula>
    </cfRule>
    <cfRule type="cellIs" dxfId="1" priority="1542" operator="equal">
      <formula>"读写 - 立即更改，重启生效"</formula>
    </cfRule>
    <cfRule type="cellIs" dxfId="2" priority="1543" operator="equal">
      <formula>"读写 - 停机更改，立即生效"</formula>
    </cfRule>
  </conditionalFormatting>
  <conditionalFormatting sqref="L103 L197 L195 L193 L191 L189 L199 L119 L117 L115 L105 L107 L109 L111 L113 L121">
    <cfRule type="cellIs" dxfId="3" priority="1539" operator="equal">
      <formula>"允许保存，不可恢复"</formula>
    </cfRule>
    <cfRule type="cellIs" dxfId="4" priority="1540" operator="equal">
      <formula>"允许保存，可恢复"</formula>
    </cfRule>
  </conditionalFormatting>
  <conditionalFormatting sqref="M103 M197 M195 M193 M191 M189 M199 M119 M117 M115 M105 M107 M109 M111 M113 M121">
    <cfRule type="cellIs" dxfId="5" priority="1537" operator="equal">
      <formula>"User"</formula>
    </cfRule>
    <cfRule type="cellIs" dxfId="6" priority="1538" operator="equal">
      <formula>"Admin"</formula>
    </cfRule>
  </conditionalFormatting>
  <conditionalFormatting sqref="O103 O197 O195 O193 O191 O189 O199 O119 O117 O115 O105 O107 O109 O111 O113 O121">
    <cfRule type="containsBlanks" dxfId="7" priority="1544">
      <formula>LEN(TRIM(O103))=0</formula>
    </cfRule>
  </conditionalFormatting>
  <conditionalFormatting sqref="P103 P189:P201 P105 P117 P119 P121 P107 P109 P111 P113 P115">
    <cfRule type="containsBlanks" dxfId="7" priority="1545">
      <formula>LEN(TRIM(P103))=0</formula>
    </cfRule>
  </conditionalFormatting>
  <conditionalFormatting sqref="O134:P138">
    <cfRule type="containsBlanks" dxfId="7" priority="1969">
      <formula>LEN(TRIM(O134))=0</formula>
    </cfRule>
  </conditionalFormatting>
  <conditionalFormatting sqref="E140 E146 E144 E142">
    <cfRule type="cellIs" dxfId="13" priority="368" operator="equal">
      <formula>"f64"</formula>
    </cfRule>
    <cfRule type="cellIs" dxfId="13" priority="369" operator="equal">
      <formula>"f64"</formula>
    </cfRule>
    <cfRule type="cellIs" dxfId="12" priority="370" operator="equal">
      <formula>"f32"</formula>
    </cfRule>
    <cfRule type="cellIs" dxfId="13" priority="371" operator="equal">
      <formula>"f64"</formula>
    </cfRule>
    <cfRule type="cellIs" dxfId="12" priority="372" operator="equal">
      <formula>"f32"</formula>
    </cfRule>
    <cfRule type="cellIs" dxfId="11" priority="373" operator="equal">
      <formula>"u64"</formula>
    </cfRule>
    <cfRule type="cellIs" dxfId="10" priority="374" operator="equal">
      <formula>"u32"</formula>
    </cfRule>
    <cfRule type="cellIs" priority="375" operator="equal">
      <formula>"u16"</formula>
    </cfRule>
    <cfRule type="cellIs" dxfId="9" priority="376" operator="equal">
      <formula>"s64"</formula>
    </cfRule>
    <cfRule type="cellIs" dxfId="8" priority="377" operator="equal">
      <formula>"s32"</formula>
    </cfRule>
    <cfRule type="cellIs" priority="378" operator="equal">
      <formula>"s16"</formula>
    </cfRule>
  </conditionalFormatting>
  <conditionalFormatting sqref="K140 K146 K144 K142">
    <cfRule type="cellIs" dxfId="0" priority="383" operator="equal">
      <formula>"读写 - 立即更改，立即生效"</formula>
    </cfRule>
    <cfRule type="cellIs" dxfId="1" priority="384" operator="equal">
      <formula>"读写 - 立即更改，重启生效"</formula>
    </cfRule>
    <cfRule type="cellIs" dxfId="2" priority="385" operator="equal">
      <formula>"读写 - 停机更改，立即生效"</formula>
    </cfRule>
  </conditionalFormatting>
  <conditionalFormatting sqref="L140 L146 L144 L142">
    <cfRule type="cellIs" dxfId="3" priority="381" operator="equal">
      <formula>"允许保存，不可恢复"</formula>
    </cfRule>
    <cfRule type="cellIs" dxfId="4" priority="382" operator="equal">
      <formula>"允许保存，可恢复"</formula>
    </cfRule>
  </conditionalFormatting>
  <conditionalFormatting sqref="M140 M146 M144 M142">
    <cfRule type="cellIs" dxfId="5" priority="379" operator="equal">
      <formula>"User"</formula>
    </cfRule>
    <cfRule type="cellIs" dxfId="6" priority="380" operator="equal">
      <formula>"Admin"</formula>
    </cfRule>
  </conditionalFormatting>
  <conditionalFormatting sqref="P142 P144">
    <cfRule type="containsBlanks" dxfId="7" priority="386">
      <formula>LEN(TRIM(P142))=0</formula>
    </cfRule>
  </conditionalFormatting>
  <conditionalFormatting sqref="E170 E182 E178">
    <cfRule type="cellIs" dxfId="13" priority="470" operator="equal">
      <formula>"f64"</formula>
    </cfRule>
    <cfRule type="cellIs" dxfId="13" priority="471" operator="equal">
      <formula>"f64"</formula>
    </cfRule>
    <cfRule type="cellIs" dxfId="12" priority="472" operator="equal">
      <formula>"f32"</formula>
    </cfRule>
    <cfRule type="cellIs" dxfId="13" priority="473" operator="equal">
      <formula>"f64"</formula>
    </cfRule>
    <cfRule type="cellIs" dxfId="12" priority="474" operator="equal">
      <formula>"f32"</formula>
    </cfRule>
    <cfRule type="cellIs" dxfId="11" priority="475" operator="equal">
      <formula>"u64"</formula>
    </cfRule>
    <cfRule type="cellIs" dxfId="10" priority="476" operator="equal">
      <formula>"u32"</formula>
    </cfRule>
    <cfRule type="cellIs" priority="477" operator="equal">
      <formula>"u16"</formula>
    </cfRule>
    <cfRule type="cellIs" dxfId="9" priority="478" operator="equal">
      <formula>"s64"</formula>
    </cfRule>
    <cfRule type="cellIs" dxfId="8" priority="479" operator="equal">
      <formula>"s32"</formula>
    </cfRule>
    <cfRule type="cellIs" priority="480" operator="equal">
      <formula>"s16"</formula>
    </cfRule>
  </conditionalFormatting>
  <conditionalFormatting sqref="F170 F182 F178">
    <cfRule type="containsBlanks" dxfId="7" priority="469">
      <formula>LEN(TRIM(F170))=0</formula>
    </cfRule>
  </conditionalFormatting>
  <conditionalFormatting sqref="K170 K182 K178">
    <cfRule type="cellIs" dxfId="0" priority="485" operator="equal">
      <formula>"读写 - 立即更改，立即生效"</formula>
    </cfRule>
    <cfRule type="cellIs" dxfId="1" priority="486" operator="equal">
      <formula>"读写 - 立即更改，重启生效"</formula>
    </cfRule>
    <cfRule type="cellIs" dxfId="2" priority="487" operator="equal">
      <formula>"读写 - 停机更改，立即生效"</formula>
    </cfRule>
  </conditionalFormatting>
  <conditionalFormatting sqref="L170 L182 L178">
    <cfRule type="cellIs" dxfId="3" priority="483" operator="equal">
      <formula>"允许保存，不可恢复"</formula>
    </cfRule>
    <cfRule type="cellIs" dxfId="4" priority="484" operator="equal">
      <formula>"允许保存，可恢复"</formula>
    </cfRule>
  </conditionalFormatting>
  <conditionalFormatting sqref="M170 M182 M178">
    <cfRule type="cellIs" dxfId="5" priority="481" operator="equal">
      <formula>"User"</formula>
    </cfRule>
    <cfRule type="cellIs" dxfId="6" priority="482" operator="equal">
      <formula>"Admin"</formula>
    </cfRule>
  </conditionalFormatting>
  <conditionalFormatting sqref="O170 O182 O178">
    <cfRule type="containsBlanks" dxfId="7" priority="488">
      <formula>LEN(TRIM(O170))=0</formula>
    </cfRule>
  </conditionalFormatting>
  <conditionalFormatting sqref="O186 O289:O290">
    <cfRule type="containsBlanks" dxfId="7" priority="1949">
      <formula>LEN(TRIM(O186))=0</formula>
    </cfRule>
  </conditionalFormatting>
  <conditionalFormatting sqref="K187 K206 K204">
    <cfRule type="cellIs" dxfId="0" priority="1499" operator="equal">
      <formula>"读写 - 立即更改，立即生效"</formula>
    </cfRule>
    <cfRule type="cellIs" dxfId="1" priority="1500" operator="equal">
      <formula>"读写 - 立即更改，重启生效"</formula>
    </cfRule>
    <cfRule type="cellIs" dxfId="2" priority="1501" operator="equal">
      <formula>"读写 - 停机更改，立即生效"</formula>
    </cfRule>
  </conditionalFormatting>
  <conditionalFormatting sqref="L187 L206 L204">
    <cfRule type="cellIs" dxfId="3" priority="1497" operator="equal">
      <formula>"允许保存，不可恢复"</formula>
    </cfRule>
    <cfRule type="cellIs" dxfId="4" priority="1498" operator="equal">
      <formula>"允许保存，可恢复"</formula>
    </cfRule>
  </conditionalFormatting>
  <conditionalFormatting sqref="M187 M206 M204">
    <cfRule type="cellIs" dxfId="5" priority="1495" operator="equal">
      <formula>"User"</formula>
    </cfRule>
    <cfRule type="cellIs" dxfId="6" priority="1496" operator="equal">
      <formula>"Admin"</formula>
    </cfRule>
  </conditionalFormatting>
  <conditionalFormatting sqref="F204 F206">
    <cfRule type="containsBlanks" dxfId="7" priority="1483">
      <formula>LEN(TRIM(F204))=0</formula>
    </cfRule>
  </conditionalFormatting>
  <conditionalFormatting sqref="O216 O222 O537">
    <cfRule type="containsBlanks" dxfId="7" priority="1983">
      <formula>LEN(TRIM(O216))=0</formula>
    </cfRule>
  </conditionalFormatting>
  <conditionalFormatting sqref="O226 O536">
    <cfRule type="containsBlanks" dxfId="7" priority="1984">
      <formula>LEN(TRIM(O226))=0</formula>
    </cfRule>
  </conditionalFormatting>
  <conditionalFormatting sqref="O230 O263:O264 O277:O280">
    <cfRule type="containsBlanks" dxfId="7" priority="1255">
      <formula>LEN(TRIM(O230))=0</formula>
    </cfRule>
  </conditionalFormatting>
  <conditionalFormatting sqref="O240:O241 O234">
    <cfRule type="containsBlanks" dxfId="7" priority="1965">
      <formula>LEN(TRIM(O234))=0</formula>
    </cfRule>
  </conditionalFormatting>
  <conditionalFormatting sqref="O237 O254">
    <cfRule type="containsBlanks" dxfId="7" priority="1968">
      <formula>LEN(TRIM(O237))=0</formula>
    </cfRule>
  </conditionalFormatting>
  <conditionalFormatting sqref="P268 P272 P270">
    <cfRule type="containsBlanks" dxfId="7" priority="1503">
      <formula>LEN(TRIM(P268))=0</formula>
    </cfRule>
  </conditionalFormatting>
  <conditionalFormatting sqref="E295 E297 E299 E301 E303 E305">
    <cfRule type="cellIs" dxfId="13" priority="1786" operator="equal">
      <formula>"f64"</formula>
    </cfRule>
    <cfRule type="cellIs" dxfId="13" priority="1787" operator="equal">
      <formula>"f64"</formula>
    </cfRule>
    <cfRule type="cellIs" dxfId="12" priority="1788" operator="equal">
      <formula>"f32"</formula>
    </cfRule>
    <cfRule type="cellIs" dxfId="13" priority="1789" operator="equal">
      <formula>"f64"</formula>
    </cfRule>
    <cfRule type="cellIs" dxfId="12" priority="1790" operator="equal">
      <formula>"f32"</formula>
    </cfRule>
    <cfRule type="cellIs" dxfId="11" priority="1791" operator="equal">
      <formula>"u64"</formula>
    </cfRule>
    <cfRule type="cellIs" dxfId="10" priority="1792" operator="equal">
      <formula>"u32"</formula>
    </cfRule>
    <cfRule type="cellIs" priority="1793" operator="equal">
      <formula>"u16"</formula>
    </cfRule>
    <cfRule type="cellIs" dxfId="9" priority="1794" operator="equal">
      <formula>"s64"</formula>
    </cfRule>
    <cfRule type="cellIs" dxfId="8" priority="1795" operator="equal">
      <formula>"s32"</formula>
    </cfRule>
    <cfRule type="cellIs" priority="1796" operator="equal">
      <formula>"s16"</formula>
    </cfRule>
  </conditionalFormatting>
  <conditionalFormatting sqref="F295 F297 F299 F301 F303 F305">
    <cfRule type="containsBlanks" dxfId="7" priority="1785">
      <formula>LEN(TRIM(F295))=0</formula>
    </cfRule>
  </conditionalFormatting>
  <conditionalFormatting sqref="K295 K305">
    <cfRule type="cellIs" dxfId="0" priority="1801" operator="equal">
      <formula>"读写 - 立即更改，立即生效"</formula>
    </cfRule>
    <cfRule type="cellIs" dxfId="1" priority="1802" operator="equal">
      <formula>"读写 - 立即更改，重启生效"</formula>
    </cfRule>
    <cfRule type="cellIs" dxfId="2" priority="1803" operator="equal">
      <formula>"读写 - 停机更改，立即生效"</formula>
    </cfRule>
  </conditionalFormatting>
  <conditionalFormatting sqref="L295 L297 L305">
    <cfRule type="cellIs" dxfId="3" priority="1799" operator="equal">
      <formula>"允许保存，不可恢复"</formula>
    </cfRule>
    <cfRule type="cellIs" dxfId="4" priority="1800" operator="equal">
      <formula>"允许保存，可恢复"</formula>
    </cfRule>
  </conditionalFormatting>
  <conditionalFormatting sqref="M295 M297 M299 M301 M303 M305">
    <cfRule type="cellIs" dxfId="5" priority="1797" operator="equal">
      <formula>"User"</formula>
    </cfRule>
    <cfRule type="cellIs" dxfId="6" priority="1798" operator="equal">
      <formula>"Admin"</formula>
    </cfRule>
  </conditionalFormatting>
  <conditionalFormatting sqref="E296 E298 E300 E302 E304 E306">
    <cfRule type="cellIs" dxfId="13" priority="1766" operator="equal">
      <formula>"f64"</formula>
    </cfRule>
    <cfRule type="cellIs" dxfId="13" priority="1767" operator="equal">
      <formula>"f64"</formula>
    </cfRule>
    <cfRule type="cellIs" dxfId="12" priority="1768" operator="equal">
      <formula>"f32"</formula>
    </cfRule>
    <cfRule type="cellIs" dxfId="13" priority="1769" operator="equal">
      <formula>"f64"</formula>
    </cfRule>
    <cfRule type="cellIs" dxfId="12" priority="1770" operator="equal">
      <formula>"f32"</formula>
    </cfRule>
    <cfRule type="cellIs" dxfId="11" priority="1771" operator="equal">
      <formula>"u64"</formula>
    </cfRule>
    <cfRule type="cellIs" dxfId="10" priority="1772" operator="equal">
      <formula>"u32"</formula>
    </cfRule>
    <cfRule type="cellIs" priority="1773" operator="equal">
      <formula>"u16"</formula>
    </cfRule>
    <cfRule type="cellIs" dxfId="9" priority="1774" operator="equal">
      <formula>"s64"</formula>
    </cfRule>
    <cfRule type="cellIs" dxfId="8" priority="1775" operator="equal">
      <formula>"s32"</formula>
    </cfRule>
    <cfRule type="cellIs" priority="1776" operator="equal">
      <formula>"s16"</formula>
    </cfRule>
  </conditionalFormatting>
  <conditionalFormatting sqref="F296 F298 F300 F302 F304 F306">
    <cfRule type="containsBlanks" dxfId="7" priority="1765">
      <formula>LEN(TRIM(F296))=0</formula>
    </cfRule>
  </conditionalFormatting>
  <conditionalFormatting sqref="K296 K300 K304 K306">
    <cfRule type="cellIs" dxfId="0" priority="1781" operator="equal">
      <formula>"读写 - 立即更改，立即生效"</formula>
    </cfRule>
    <cfRule type="cellIs" dxfId="1" priority="1782" operator="equal">
      <formula>"读写 - 立即更改，重启生效"</formula>
    </cfRule>
    <cfRule type="cellIs" dxfId="2" priority="1783" operator="equal">
      <formula>"读写 - 停机更改，立即生效"</formula>
    </cfRule>
  </conditionalFormatting>
  <conditionalFormatting sqref="L296 L298 L300 L304 L306">
    <cfRule type="cellIs" dxfId="3" priority="1779" operator="equal">
      <formula>"允许保存，不可恢复"</formula>
    </cfRule>
    <cfRule type="cellIs" dxfId="4" priority="1780" operator="equal">
      <formula>"允许保存，可恢复"</formula>
    </cfRule>
  </conditionalFormatting>
  <conditionalFormatting sqref="M296 M298 M300 M302 M304 M306">
    <cfRule type="cellIs" dxfId="5" priority="1777" operator="equal">
      <formula>"User"</formula>
    </cfRule>
    <cfRule type="cellIs" dxfId="6" priority="1778" operator="equal">
      <formula>"Admin"</formula>
    </cfRule>
  </conditionalFormatting>
  <conditionalFormatting sqref="E339 E344 E346 E348 E350 E352 E354 E356 E358 E360 E362:E363 E341 E337">
    <cfRule type="cellIs" dxfId="13" priority="1555" operator="equal">
      <formula>"f64"</formula>
    </cfRule>
    <cfRule type="cellIs" dxfId="13" priority="1556" operator="equal">
      <formula>"f64"</formula>
    </cfRule>
    <cfRule type="cellIs" dxfId="12" priority="1557" operator="equal">
      <formula>"f32"</formula>
    </cfRule>
    <cfRule type="cellIs" dxfId="13" priority="1558" operator="equal">
      <formula>"f64"</formula>
    </cfRule>
    <cfRule type="cellIs" dxfId="12" priority="1559" operator="equal">
      <formula>"f32"</formula>
    </cfRule>
    <cfRule type="cellIs" dxfId="11" priority="1560" operator="equal">
      <formula>"u64"</formula>
    </cfRule>
    <cfRule type="cellIs" dxfId="10" priority="1561" operator="equal">
      <formula>"u32"</formula>
    </cfRule>
    <cfRule type="cellIs" priority="1562" operator="equal">
      <formula>"u16"</formula>
    </cfRule>
    <cfRule type="cellIs" dxfId="9" priority="1563" operator="equal">
      <formula>"s64"</formula>
    </cfRule>
    <cfRule type="cellIs" dxfId="8" priority="1564" operator="equal">
      <formula>"s32"</formula>
    </cfRule>
    <cfRule type="cellIs" priority="1565" operator="equal">
      <formula>"s16"</formula>
    </cfRule>
  </conditionalFormatting>
  <conditionalFormatting sqref="F339 F344 F346 F348 F350 F352 F354 F356 F358 F360 F362:F363 F341 F337">
    <cfRule type="containsBlanks" dxfId="7" priority="1554">
      <formula>LEN(TRIM(F337))=0</formula>
    </cfRule>
  </conditionalFormatting>
  <conditionalFormatting sqref="K339 K344 K346 K348 K350 K352 K354 K356 K358 K360 K362:K363 K341 K337">
    <cfRule type="cellIs" dxfId="0" priority="1570" operator="equal">
      <formula>"读写 - 立即更改，立即生效"</formula>
    </cfRule>
    <cfRule type="cellIs" dxfId="1" priority="1571" operator="equal">
      <formula>"读写 - 立即更改，重启生效"</formula>
    </cfRule>
    <cfRule type="cellIs" dxfId="2" priority="1572" operator="equal">
      <formula>"读写 - 停机更改，立即生效"</formula>
    </cfRule>
  </conditionalFormatting>
  <conditionalFormatting sqref="L339 L344 L346 L348 L350 L352 L354 L356 L358 L360 L362:L363 L341 L337">
    <cfRule type="cellIs" dxfId="3" priority="1568" operator="equal">
      <formula>"允许保存，不可恢复"</formula>
    </cfRule>
    <cfRule type="cellIs" dxfId="4" priority="1569" operator="equal">
      <formula>"允许保存，可恢复"</formula>
    </cfRule>
  </conditionalFormatting>
  <conditionalFormatting sqref="M339 M344 M346 M348 M350 M352 M354 M356 M358 M360 M362:M363 M341 M337">
    <cfRule type="cellIs" dxfId="5" priority="1566" operator="equal">
      <formula>"User"</formula>
    </cfRule>
    <cfRule type="cellIs" dxfId="6" priority="1567" operator="equal">
      <formula>"Admin"</formula>
    </cfRule>
  </conditionalFormatting>
  <conditionalFormatting sqref="E425 E423 E421 E419 E417 E415 E413 E411 E409 E437:E438 E405 E441:E442 E429">
    <cfRule type="cellIs" dxfId="13" priority="1870" operator="equal">
      <formula>"f64"</formula>
    </cfRule>
    <cfRule type="cellIs" dxfId="13" priority="1871" operator="equal">
      <formula>"f64"</formula>
    </cfRule>
    <cfRule type="cellIs" dxfId="12" priority="1872" operator="equal">
      <formula>"f32"</formula>
    </cfRule>
    <cfRule type="cellIs" dxfId="13" priority="1873" operator="equal">
      <formula>"f64"</formula>
    </cfRule>
    <cfRule type="cellIs" dxfId="12" priority="1874" operator="equal">
      <formula>"f32"</formula>
    </cfRule>
    <cfRule type="cellIs" dxfId="11" priority="1875" operator="equal">
      <formula>"u64"</formula>
    </cfRule>
    <cfRule type="cellIs" dxfId="10" priority="1876" operator="equal">
      <formula>"u32"</formula>
    </cfRule>
    <cfRule type="cellIs" priority="1877" operator="equal">
      <formula>"u16"</formula>
    </cfRule>
    <cfRule type="cellIs" dxfId="9" priority="1878" operator="equal">
      <formula>"s64"</formula>
    </cfRule>
    <cfRule type="cellIs" dxfId="8" priority="1879" operator="equal">
      <formula>"s32"</formula>
    </cfRule>
    <cfRule type="cellIs" priority="1880" operator="equal">
      <formula>"s16"</formula>
    </cfRule>
  </conditionalFormatting>
  <conditionalFormatting sqref="F425 F423 F421 F419 F417 F415 F413 F411 F409 F438 F405 F441:F442">
    <cfRule type="containsBlanks" dxfId="7" priority="1869">
      <formula>LEN(TRIM(F405))=0</formula>
    </cfRule>
  </conditionalFormatting>
  <conditionalFormatting sqref="K425 K423 K421 K419 K417 K415 K413 K411 K409 K437:K438 K405 K441:K442">
    <cfRule type="cellIs" dxfId="0" priority="1885" operator="equal">
      <formula>"读写 - 立即更改，立即生效"</formula>
    </cfRule>
    <cfRule type="cellIs" dxfId="1" priority="1886" operator="equal">
      <formula>"读写 - 立即更改，重启生效"</formula>
    </cfRule>
    <cfRule type="cellIs" dxfId="2" priority="1887" operator="equal">
      <formula>"读写 - 停机更改，立即生效"</formula>
    </cfRule>
  </conditionalFormatting>
  <conditionalFormatting sqref="L425 L423 L421 L419 L417 L415 L413 L411 L409 L437:L438 L405 L441:L442">
    <cfRule type="cellIs" dxfId="3" priority="1883" operator="equal">
      <formula>"允许保存，不可恢复"</formula>
    </cfRule>
    <cfRule type="cellIs" dxfId="4" priority="1884" operator="equal">
      <formula>"允许保存，可恢复"</formula>
    </cfRule>
  </conditionalFormatting>
  <conditionalFormatting sqref="M425 M423 M421 M419 M417 M415 M413 M411 M409 M437:M438 M405 M441:M442 M429">
    <cfRule type="cellIs" dxfId="5" priority="1881" operator="equal">
      <formula>"User"</formula>
    </cfRule>
    <cfRule type="cellIs" dxfId="6" priority="1882" operator="equal">
      <formula>"Admin"</formula>
    </cfRule>
  </conditionalFormatting>
  <conditionalFormatting sqref="O425:P425 P405:P424">
    <cfRule type="containsBlanks" dxfId="7" priority="1888">
      <formula>LEN(TRIM(O405))=0</formula>
    </cfRule>
  </conditionalFormatting>
  <dataValidations count="5">
    <dataValidation type="list" allowBlank="1" showInputMessage="1" showErrorMessage="1" sqref="E5 E6 E7 E8 E15 E16 E17 E18 E19 E20 E21 E22 E23 E24 E25 E26 E27 E28 E29 E30 E31 E32 E33 E34 E35 E36 E37 E38 E39 E40 E41 E42 E43 E53 E54 E55 E56 E57 E58 E59 E60 E61 E67 E68 E69 E70 E71 E72 E73 E74 E75 E76 E77 E78 E79 E80 E81 E82 E83 E84 E85 E86 E87 E88 E89 E90 E97 E98 E99 E100 E101 E102 E103 E104 E105 E106 E107 E108 E109 E110 E111 E112 E113 E114 E115 E116 E117 E118 E119 E120 E121 E122 E123 E124 E125 E131 E132 E133 E134 E135 E136 E137 E138 E139 E140 E141 E142 E143 E144 E145 E146 E147 E148 E149 E150 E151 E152 E153 E154 E155 E156 E157 E158 E159 E160 E161 E162 E163 E167 E168 E169 E170 E173 E178 E182 E183 E184 E185 E186 E187 E188 E202 E203 E204 E205 E206 E207 E208 E209 E210 E211 E212 E213 E214 E215 E216 E217 E218 E219 E220 E221 E222 E223 E224 E225 E226 E227 E228 E229 E230 E231 E232 E233 E234 E235 E236 E237 E238 E239 E240 E241 E242 E243 E244 E245 E254 E255 E256 E257 E258 E259 E260 E261 E262 E263 E264 E265 E266 E267 E276 E277 E278 E279 E280 E281 E282 E283 E284 E285 E286 E287 E288 E289 E290 E291 E292 E293 E294 E295 E296 E297 E298 E299 E300 E301 E302 E303 E304 E305 E306 E307 E308 E309 E310 E311 E312 E313 E314 E315 E316 E317 E318 E319 E337 E338 E339 E340 E341 E342 E343 E344 E345 E346 E347 E348 E349 E350 E351 E352 E353 E354 E355 E356 E357 E358 E359 E360 E361 E362 E363 E364 E365 E366 E367 E368 E369 E370 E371 E372 E373 E374 E375 E376 E387 E404 E405 E406 E407 E408 E409 E410 E411 E412 E413 E414 E415 E416 E417 E418 E419 E420 E421 E422 E423 E424 E425 E426 E429 E430 E431 E435 E436 E437 E438 E439 E440 E441 E442 E443 E444 E445 E446 E463 E464 E535 E536 E537 E538 E539 E540 E541 E542 E543 E9:E12 E13:E14 E44:E46 E47:E48 E49:E50 E51:E52 E62:E66 E91:E96 E126:E130 E164:E166 E171:E172 E174:E177 E179:E181 E189:E201 E246:E247 E248:E253 E268:E275 E320:E336 E377:E386 E388:E403 E427:E428 E432:E434 E447:E462 E465:E466 E467:E506 E507:E534">
      <formula1>"s16,u16,s32,u32,s64,u64,f32,f64"</formula1>
    </dataValidation>
    <dataValidation type="list" allowBlank="1" showInputMessage="1" showErrorMessage="1" sqref="L5 L6 L7 L29 L30 L31 L32 L33 L34 L35 L36 L37 L38 L39 L40 L41 L42 L43 L44 L53 L54 L55 L56 L57 L58 L59 L60 L67 L68 L69 L70 L71 L72 L73 L74 L75 L76 L77 L78 L79 L80 L81 L82 L83 L84 L85 L86 L87 L88 L89 L90 L91 L92 L93 L94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7 L168 L169 L170 L173 L178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76 L277 L278 L279 L280 L281 L282 L283 L284 L285 L286 L287 L288 L289 L290 L291 L292 L293 L294 L295 L296 L297 L298 L299 L300 L301 L302 L303 L304 L305 L306 L307 L308 L312 L313 L316 L320 L337 L338 L339 L340 L341 L342 L343 L344 L345 L346 L347 L348 L349 L350 L351 L352 L353 L354 L355 L356 L357 L358 L359 L360 L361 L362 L363 L364 L365 L366 L367 L368 L371 L372 L373 L374 L375 L376 L380 L387 L388 L389 L390 L391 L392 L393 L394 L395 L396 L397 L398 L399 L400 L401 L402 L403 L404 L405 L406 L407 L408 L409 L410 L411 L412 L413 L414 L415 L416 L417 L418 L419 L420 L421 L422 L423 L424 L425 L426 L427 L428 L429 L430 L431 L435 L436 L437 L438 L439 L440 L441 L442 L443 L444 L445 L446 L463 L464 L536 L537 L538 L539 L540 L541 L542 L543 L8:L28 L45:L46 L47:L48 L49:L50 L51:L52 L61:L66 L95:L96 L164:L166 L171:L172 L174:L177 L179:L181 L268:L275 L309:L311 L314:L315 L317:L319 L321:L336 L369:L370 L377:L379 L381:L382 L383:L384 L385:L386 L432:L434 L447:L462 L465:L535">
      <formula1>"允许保存，可恢复,允许保存，不可恢复,不允许保存，不可恢复"</formula1>
    </dataValidation>
    <dataValidation type="list" allowBlank="1" showInputMessage="1" showErrorMessage="1" sqref="J5 J6 J7 J8 J12 J16 J17 J18 J19 J20 J21 J22 J23 J24 J25 J26 J27 J28 J29 J30 J31 J32 J33 J34 J35 J36 J37 J38 J39 J40 J41 J42 J54 J55 J56 J57 J58 J59 J60 J61 J62 J63 J64 J65 J66 J67 J68 J69 J70 J71 J72 J73 J74 J75 J76 J77 J78 J79 J80 J81 J82 J83 J84 J85 J86 J87 J88 J89 J90 J91 J92 J93 J94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7 J168 J169 J170 J173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61 J262 J263 J264 J265 J266 J267 J268 J269 J270 J271 J276 J277 J278 J279 J280 J281 J282 J283 J284 J285 J286 J287 J288 J289 J290 J291 J292 J293 J294 J295 J296 J297 J298 J299 J300 J301 J302 J303 J304 J305 J306 J307 J308 J309 J312 J313 J314 J315 J316 J317 J318 J319 J320 J337 J338 J339 J340 J341 J342 J343 J344 J345 J346 J347 J348 J349 J350 J351 J352 J353 J354 J355 J356 J357 J358 J359 J360 J361 J362 J363 J364 J365 J366 J367 J368 J369 J370 J371 J372 J373 J374 J375 J376 J377 J378 J387 J404 J405 J406 J407 J408 J409 J410 J411 J412 J413 J414 J415 J416 J417 J418 J419 J420 J421 J422 J423 J424 J425 J426 J427 J428 J429 J430 J431 J432 J433 J434 J435 J436 J437 J438 J439 J440 J441 J442 J443 J444 J445 J446 J463 J464 J535 J536 J537 J538 J539 J540 J541 J542 J543 J9:J11 J13:J15 J43:J53 J95:J96 J164:J166 J171:J172 J174:J177 J255:J257 J258:J260 J272:J275 J310:J311 J321:J336 J379:J380 J381:J382 J383:J384 J385:J386 J388:J403 J447:J462 J465:J466 J467:J506 J507:J534">
      <formula1>Unit!$A$2:$A$62</formula1>
    </dataValidation>
    <dataValidation type="list" allowBlank="1" showInputMessage="1" showErrorMessage="1" sqref="K5 K6 K7 K8 K16 K17 K24 K25 K26 K27 K28 K29 K30 K31 K32 K33 K34 K35 K36 K37 K38 K39 K40 K41 K42 K43 K44 K53 K54 K55 K60 K61 K62 K63 K64 K65 K66 K67 K68 K69 K70 K71 K72 K73 K74 K75 K76 K77 K78 K79 K80 K81 K82 K83 K84 K85 K86 K87 K88 K89 K90 K91 K92 K93 K94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7 K168 K169 K170 K173 K178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76 K277 K278 K279 K280 K281 K282 K283 K284 K285 K286 K287 K288 K289 K290 K291 K292 K293 K294 K295 K296 K297 K298 K299 K300 K301 K302 K303 K304 K305 K306 K307 K308 K309 K310 K311 K312 K313 K316 K320 K337 K338 K339 K340 K341 K342 K343 K344 K345 K346 K347 K348 K349 K350 K351 K352 K353 K354 K355 K356 K357 K358 K359 K360 K361 K362 K363 K364 K365 K366 K367 K368 K371 K372 K373 K374 K375 K376 K380 K387 K388 K389 K390 K391 K392 K393 K394 K395 K396 K397 K398 K399 K400 K401 K402 K403 K404 K405 K406 K407 K408 K409 K410 K411 K412 K413 K414 K415 K416 K417 K418 K419 K420 K421 K422 K423 K424 K425 K426 K427 K428 K429 K430 K431 K435 K436 K437 K438 K439 K440 K441 K442 K443 K444 K445 K446 K463 K464 K535 K536 K537 K538 K539 K540 K541 K542 K543 K9:K12 K13:K15 K18:K23 K45:K46 K47:K48 K49:K50 K51:K52 K56:K57 K58:K59 K95:K96 K164:K166 K171:K172 K174:K177 K179:K181 K268:K275 K314:K315 K317:K319 K321:K336 K369:K370 K377:K379 K381:K382 K383:K384 K385:K386 K432:K434 K447:K462 K465:K466 K467:K506 K507:K534">
      <formula1>"只读,读写 - 立即更改，立即生效,读写 - 立即更改，重启生效,读写 - 停机更改，立即生效"</formula1>
    </dataValidation>
    <dataValidation type="list" allowBlank="1" showInputMessage="1" showErrorMessage="1" sqref="M5 M6 M7 M8 M15 M16 M17 M24 M25 M26 M27 M28 M29 M30 M31 M32 M33 M34 M35 M36 M37 M38 M39 M40 M41 M42 M43 M44 M53 M54 M55 M56 M57 M58 M59 M60 M61 M62 M63 M64 M65 M66 M67 M68 M69 M70 M71 M72 M73 M74 M75 M76 M77 M78 M79 M80 M81 M82 M83 M84 M85 M86 M87 M88 M89 M90 M91 M92 M93 M94 M97 M98 M99 M100 M101 M102 M103 M104 M105 M106 M107 M108 M109 M110 M111 M112 M113 M114 M115 M116 M117 M118 M119 M120 M121 M122 M123 M124 M125 M126 M127 M128 M129 M130 M131 M132 M133 M134 M135 M136 M139 M140 M141 M142 M143 M144 M145 M146 M147 M148 M149 M150 M151 M152 M153 M154 M155 M156 M157 M158 M159 M160 M161 M162 M163 M167 M168 M169 M170 M173 M178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76 M277 M278 M279 M280 M281 M282 M283 M284 M285 M286 M287 M288 M289 M290 M291 M292 M293 M294 M295 M296 M297 M298 M299 M300 M301 M302 M303 M304 M305 M306 M307 M308 M309 M310 M311 M312 M313 M314 M315 M316 M317 M318 M319 M337 M338 M339 M340 M341 M342 M343 M344 M345 M346 M347 M348 M349 M350 M351 M352 M353 M354 M355 M356 M357 M358 M359 M360 M361 M362 M363 M364 M365 M366 M367 M368 M369 M370 M371 M372 M373 M374 M375 M376 M387 M404 M405 M406 M407 M408 M409 M410 M411 M412 M413 M414 M415 M416 M417 M418 M419 M420 M421 M422 M423 M424 M425 M426 M427 M428 M429 M430 M431 M435 M436 M437 M438 M439 M440 M441 M442 M445 M446 M463 M464 M536 M537 M538 M539 M540 M541 M542 M543 M9:M12 M13:M14 M18:M23 M45:M46 M47:M48 M49:M50 M51:M52 M95:M96 M137:M138 M164:M166 M171:M172 M174:M177 M179:M181 M268:M275 M320:M336 M377:M380 M381:M382 M383:M384 M385:M386 M388:M403 M432:M434 M443:M444 M447:M462 M465:M535 N465:N466 N467:N506 N507:N534">
      <formula1>"Admin,User,Anyone"</formula1>
    </dataValidation>
  </dataValidations>
  <pageMargins left="0.700694444444445" right="0.700694444444445" top="0.751388888888889" bottom="0.751388888888889" header="0.298611111111111" footer="0.298611111111111"/>
  <pageSetup paperSize="8" scale="10" orientation="portrait" horizontalDpi="600"/>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2"/>
  <sheetViews>
    <sheetView workbookViewId="0">
      <selection activeCell="I4" sqref="I4"/>
    </sheetView>
  </sheetViews>
  <sheetFormatPr defaultColWidth="9" defaultRowHeight="14.4" outlineLevelCol="2"/>
  <cols>
    <col min="1" max="1" width="14" style="2" customWidth="1"/>
    <col min="2" max="2" width="9" style="2"/>
    <col min="3" max="16384" width="9" style="3"/>
  </cols>
  <sheetData>
    <row r="1" spans="1:1">
      <c r="A1" s="4" t="s">
        <v>1227</v>
      </c>
    </row>
    <row r="2" spans="1:3">
      <c r="A2" s="5" t="s">
        <v>25</v>
      </c>
      <c r="B2" s="5" t="s">
        <v>1228</v>
      </c>
      <c r="C2" s="6"/>
    </row>
    <row r="3" spans="1:3">
      <c r="A3" s="5" t="s">
        <v>1229</v>
      </c>
      <c r="B3" s="2" t="s">
        <v>1230</v>
      </c>
      <c r="C3" s="6"/>
    </row>
    <row r="4" spans="1:3">
      <c r="A4" s="5" t="s">
        <v>1231</v>
      </c>
      <c r="C4" s="6"/>
    </row>
    <row r="5" spans="1:3">
      <c r="A5" s="5" t="s">
        <v>124</v>
      </c>
      <c r="C5" s="6"/>
    </row>
    <row r="6" spans="1:3">
      <c r="A6" s="5" t="s">
        <v>473</v>
      </c>
      <c r="B6" s="2" t="s">
        <v>1232</v>
      </c>
      <c r="C6" s="6"/>
    </row>
    <row r="7" spans="1:3">
      <c r="A7" s="5" t="s">
        <v>129</v>
      </c>
      <c r="C7" s="6"/>
    </row>
    <row r="8" spans="1:3">
      <c r="A8" s="5" t="s">
        <v>1233</v>
      </c>
      <c r="C8" s="6"/>
    </row>
    <row r="9" spans="1:3">
      <c r="A9" s="5" t="s">
        <v>489</v>
      </c>
      <c r="C9" s="6"/>
    </row>
    <row r="10" spans="1:3">
      <c r="A10" s="5" t="s">
        <v>695</v>
      </c>
      <c r="C10" s="6"/>
    </row>
    <row r="11" spans="1:3">
      <c r="A11" s="5" t="s">
        <v>787</v>
      </c>
      <c r="C11" s="6"/>
    </row>
    <row r="12" spans="1:3">
      <c r="A12" s="5" t="s">
        <v>524</v>
      </c>
      <c r="C12" s="6"/>
    </row>
    <row r="13" spans="1:3">
      <c r="A13" s="5" t="s">
        <v>144</v>
      </c>
      <c r="C13" s="6"/>
    </row>
    <row r="14" spans="1:3">
      <c r="A14" s="5" t="s">
        <v>1234</v>
      </c>
      <c r="C14" s="6"/>
    </row>
    <row r="15" spans="1:3">
      <c r="A15" s="5" t="s">
        <v>1235</v>
      </c>
      <c r="C15" s="6"/>
    </row>
    <row r="16" spans="1:3">
      <c r="A16" s="5" t="s">
        <v>1236</v>
      </c>
      <c r="C16" s="6"/>
    </row>
    <row r="17" spans="1:3">
      <c r="A17" s="5" t="s">
        <v>1237</v>
      </c>
      <c r="C17" s="6"/>
    </row>
    <row r="18" spans="1:3">
      <c r="A18" s="5" t="s">
        <v>1238</v>
      </c>
      <c r="C18" s="6"/>
    </row>
    <row r="19" spans="1:3">
      <c r="A19" s="5" t="s">
        <v>1239</v>
      </c>
      <c r="B19" s="2" t="s">
        <v>1240</v>
      </c>
      <c r="C19" s="6"/>
    </row>
    <row r="20" spans="1:3">
      <c r="A20" s="5" t="s">
        <v>1241</v>
      </c>
      <c r="B20" s="2" t="s">
        <v>1240</v>
      </c>
      <c r="C20" s="6"/>
    </row>
    <row r="21" spans="1:3">
      <c r="A21" s="5" t="s">
        <v>1242</v>
      </c>
      <c r="B21" s="2" t="s">
        <v>1243</v>
      </c>
      <c r="C21" s="6"/>
    </row>
    <row r="22" spans="1:3">
      <c r="A22" s="5" t="s">
        <v>484</v>
      </c>
      <c r="C22" s="6"/>
    </row>
    <row r="23" spans="1:3">
      <c r="A23" s="5" t="s">
        <v>1244</v>
      </c>
      <c r="B23" s="2" t="s">
        <v>1245</v>
      </c>
      <c r="C23" s="6"/>
    </row>
    <row r="24" spans="1:3">
      <c r="A24" s="5" t="s">
        <v>1246</v>
      </c>
      <c r="B24" s="2" t="s">
        <v>1247</v>
      </c>
      <c r="C24" s="6"/>
    </row>
    <row r="25" spans="1:3">
      <c r="A25" s="5" t="s">
        <v>477</v>
      </c>
      <c r="C25" s="6"/>
    </row>
    <row r="26" spans="1:3">
      <c r="A26" s="5" t="s">
        <v>1248</v>
      </c>
      <c r="B26" s="2" t="s">
        <v>1249</v>
      </c>
      <c r="C26" s="6"/>
    </row>
    <row r="27" spans="1:3">
      <c r="A27" s="5" t="s">
        <v>1250</v>
      </c>
      <c r="B27" s="2" t="s">
        <v>1251</v>
      </c>
      <c r="C27" s="6"/>
    </row>
    <row r="28" spans="1:3">
      <c r="A28" s="5" t="s">
        <v>458</v>
      </c>
      <c r="B28" s="2" t="s">
        <v>1252</v>
      </c>
      <c r="C28" s="6"/>
    </row>
    <row r="29" spans="1:3">
      <c r="A29" s="5" t="s">
        <v>1253</v>
      </c>
      <c r="B29" s="2" t="s">
        <v>1254</v>
      </c>
      <c r="C29" s="6"/>
    </row>
    <row r="30" spans="1:3">
      <c r="A30" s="5" t="s">
        <v>461</v>
      </c>
      <c r="C30" s="6"/>
    </row>
    <row r="31" spans="1:3">
      <c r="A31" s="5" t="s">
        <v>1255</v>
      </c>
      <c r="B31" s="2" t="s">
        <v>1256</v>
      </c>
      <c r="C31" s="6"/>
    </row>
    <row r="32" spans="1:3">
      <c r="A32" s="5" t="s">
        <v>1257</v>
      </c>
      <c r="C32" s="6"/>
    </row>
    <row r="33" spans="1:3">
      <c r="A33" s="5" t="s">
        <v>1258</v>
      </c>
      <c r="B33" s="2" t="s">
        <v>1259</v>
      </c>
      <c r="C33" s="6"/>
    </row>
    <row r="34" spans="1:3">
      <c r="A34" s="5" t="s">
        <v>1260</v>
      </c>
      <c r="B34" s="2" t="s">
        <v>1261</v>
      </c>
      <c r="C34" s="6"/>
    </row>
    <row r="35" spans="1:3">
      <c r="A35" s="5" t="s">
        <v>1262</v>
      </c>
      <c r="C35" s="6"/>
    </row>
    <row r="36" spans="1:3">
      <c r="A36" s="5" t="s">
        <v>172</v>
      </c>
      <c r="B36" s="2" t="s">
        <v>1263</v>
      </c>
      <c r="C36" s="6"/>
    </row>
    <row r="37" spans="1:3">
      <c r="A37" s="5" t="s">
        <v>1264</v>
      </c>
      <c r="C37" s="6"/>
    </row>
    <row r="38" spans="1:3">
      <c r="A38" s="5" t="s">
        <v>470</v>
      </c>
      <c r="C38" s="6"/>
    </row>
    <row r="39" spans="1:3">
      <c r="A39" s="5" t="s">
        <v>1265</v>
      </c>
      <c r="B39" s="2" t="s">
        <v>1266</v>
      </c>
      <c r="C39" s="6"/>
    </row>
    <row r="40" spans="1:3">
      <c r="A40" s="5" t="s">
        <v>530</v>
      </c>
      <c r="B40" s="2" t="s">
        <v>1266</v>
      </c>
      <c r="C40" s="6"/>
    </row>
    <row r="41" spans="1:3">
      <c r="A41" s="5" t="s">
        <v>1267</v>
      </c>
      <c r="B41" s="2" t="s">
        <v>1268</v>
      </c>
      <c r="C41" s="6"/>
    </row>
    <row r="42" spans="1:3">
      <c r="A42" s="5" t="s">
        <v>455</v>
      </c>
      <c r="C42" s="6"/>
    </row>
    <row r="43" spans="1:3">
      <c r="A43" s="5" t="s">
        <v>580</v>
      </c>
      <c r="B43" s="2" t="s">
        <v>1269</v>
      </c>
      <c r="C43" s="6"/>
    </row>
    <row r="44" spans="1:3">
      <c r="A44" s="5" t="s">
        <v>89</v>
      </c>
      <c r="B44" s="2" t="s">
        <v>1270</v>
      </c>
      <c r="C44" s="6"/>
    </row>
    <row r="45" spans="1:3">
      <c r="A45" s="5" t="s">
        <v>1271</v>
      </c>
      <c r="C45" s="6"/>
    </row>
    <row r="46" spans="1:3">
      <c r="A46" s="5" t="s">
        <v>494</v>
      </c>
      <c r="B46" s="2" t="s">
        <v>1272</v>
      </c>
      <c r="C46" s="6"/>
    </row>
    <row r="47" spans="1:3">
      <c r="A47" s="5" t="s">
        <v>1273</v>
      </c>
      <c r="B47" s="2" t="s">
        <v>1274</v>
      </c>
      <c r="C47" s="6"/>
    </row>
    <row r="48" spans="1:3">
      <c r="A48" s="5" t="s">
        <v>1275</v>
      </c>
      <c r="B48" s="2" t="s">
        <v>1276</v>
      </c>
      <c r="C48" s="6"/>
    </row>
    <row r="49" spans="1:3">
      <c r="A49" s="5" t="s">
        <v>1277</v>
      </c>
      <c r="B49" s="2" t="s">
        <v>1278</v>
      </c>
      <c r="C49" s="6"/>
    </row>
    <row r="50" spans="1:3">
      <c r="A50" s="5" t="s">
        <v>1279</v>
      </c>
      <c r="C50" s="6"/>
    </row>
    <row r="51" spans="1:3">
      <c r="A51" s="5" t="s">
        <v>1280</v>
      </c>
      <c r="B51" s="2" t="s">
        <v>1281</v>
      </c>
      <c r="C51" s="6"/>
    </row>
    <row r="52" spans="1:3">
      <c r="A52" s="5" t="s">
        <v>1282</v>
      </c>
      <c r="C52" s="6"/>
    </row>
    <row r="53" spans="1:3">
      <c r="A53" s="5" t="s">
        <v>1283</v>
      </c>
      <c r="C53" s="6"/>
    </row>
    <row r="54" spans="1:3">
      <c r="A54" s="5" t="s">
        <v>1284</v>
      </c>
      <c r="C54" s="6"/>
    </row>
    <row r="55" spans="1:3">
      <c r="A55" s="5" t="s">
        <v>1285</v>
      </c>
      <c r="C55" s="6"/>
    </row>
    <row r="56" spans="1:3">
      <c r="A56" s="5" t="s">
        <v>1286</v>
      </c>
      <c r="C56" s="6"/>
    </row>
    <row r="57" spans="1:3">
      <c r="A57" s="5" t="s">
        <v>1287</v>
      </c>
      <c r="B57" s="2" t="s">
        <v>1288</v>
      </c>
      <c r="C57" s="6"/>
    </row>
    <row r="58" spans="1:3">
      <c r="A58" s="5" t="s">
        <v>387</v>
      </c>
      <c r="B58" s="2" t="s">
        <v>1289</v>
      </c>
      <c r="C58" s="6"/>
    </row>
    <row r="59" spans="1:3">
      <c r="A59" s="5" t="s">
        <v>664</v>
      </c>
      <c r="C59" s="6"/>
    </row>
    <row r="60" spans="1:3">
      <c r="A60" s="5" t="s">
        <v>669</v>
      </c>
      <c r="B60" s="2" t="s">
        <v>1290</v>
      </c>
      <c r="C60" s="6"/>
    </row>
    <row r="61" spans="1:3">
      <c r="A61" s="5" t="s">
        <v>365</v>
      </c>
      <c r="B61" s="2" t="s">
        <v>1291</v>
      </c>
      <c r="C61" s="6"/>
    </row>
    <row r="62" spans="1:2">
      <c r="A62" s="5" t="s">
        <v>1292</v>
      </c>
      <c r="B62" s="2" t="s">
        <v>1291</v>
      </c>
    </row>
  </sheetData>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Device</vt:lpstr>
      <vt:lpstr>Axis</vt:lpstr>
      <vt:lpstr>Unit</vt:lpstr>
      <vt:lpstr>Sheet2</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uYanki</cp:lastModifiedBy>
  <dcterms:created xsi:type="dcterms:W3CDTF">2015-01-15T16:55:00Z</dcterms:created>
  <dcterms:modified xsi:type="dcterms:W3CDTF">2024-12-22T16:27:14Z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E1123B6F8F5C4BA2A48F8C73712B1072</vt:lpwstr>
  </property>
  <property fmtid="{D5CDD505-2E9C-101B-9397-08002B2CF9AE}" pid="3" name="KSOProductBuildVer">
    <vt:lpwstr>2052-11.1.0.11365</vt:lpwstr>
  </property>
</Properties>
</file>