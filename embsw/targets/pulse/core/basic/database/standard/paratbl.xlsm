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6524" windowHeight="11664"/>
  </bookViews>
  <sheets>
    <sheet name="Device" sheetId="13" r:id="rId1"/>
    <sheet name="Unit" sheetId="15" r:id="rId2"/>
    <sheet name="Sheet2" sheetId="16" state="hidden" r:id="rId3"/>
    <sheet name="Sheet1" sheetId="17" state="hidden" r:id="rId4"/>
  </sheets>
  <definedNames>
    <definedName name="_xlnm._FilterDatabase" localSheetId="0" hidden="1">Device!$D$1:$Q$223</definedName>
  </definedNames>
  <calcPr calcId="144525"/>
</workbook>
</file>

<file path=xl/sharedStrings.xml><?xml version="1.0" encoding="utf-8"?>
<sst xmlns="http://schemas.openxmlformats.org/spreadsheetml/2006/main" count="2586" uniqueCount="554">
  <si>
    <r>
      <rPr>
        <b/>
        <sz val="10"/>
        <color theme="1"/>
        <rFont val="宋体"/>
        <charset val="134"/>
      </rPr>
      <t>组</t>
    </r>
  </si>
  <si>
    <r>
      <rPr>
        <b/>
        <sz val="10"/>
        <color theme="1"/>
        <rFont val="宋体"/>
        <charset val="134"/>
      </rPr>
      <t>参数</t>
    </r>
  </si>
  <si>
    <r>
      <rPr>
        <b/>
        <sz val="10"/>
        <color theme="1"/>
        <rFont val="宋体"/>
        <charset val="134"/>
      </rPr>
      <t>序号</t>
    </r>
  </si>
  <si>
    <r>
      <rPr>
        <b/>
        <sz val="10"/>
        <color theme="1"/>
        <rFont val="宋体"/>
        <charset val="134"/>
      </rPr>
      <t>名称</t>
    </r>
  </si>
  <si>
    <r>
      <rPr>
        <b/>
        <sz val="10"/>
        <color theme="1"/>
        <rFont val="宋体"/>
        <charset val="134"/>
      </rPr>
      <t>描述</t>
    </r>
  </si>
  <si>
    <r>
      <rPr>
        <b/>
        <sz val="10"/>
        <color theme="1"/>
        <rFont val="宋体"/>
        <charset val="134"/>
      </rPr>
      <t>地址</t>
    </r>
  </si>
  <si>
    <r>
      <rPr>
        <b/>
        <sz val="10"/>
        <color theme="1"/>
        <rFont val="宋体"/>
        <charset val="134"/>
      </rPr>
      <t>类型</t>
    </r>
  </si>
  <si>
    <r>
      <rPr>
        <b/>
        <sz val="10"/>
        <color theme="1"/>
        <rFont val="宋体"/>
        <charset val="134"/>
      </rPr>
      <t>默认值</t>
    </r>
  </si>
  <si>
    <r>
      <rPr>
        <b/>
        <sz val="10"/>
        <color theme="1"/>
        <rFont val="宋体"/>
        <charset val="134"/>
      </rPr>
      <t>下限值</t>
    </r>
  </si>
  <si>
    <r>
      <rPr>
        <b/>
        <sz val="10"/>
        <color theme="1"/>
        <rFont val="宋体"/>
        <charset val="134"/>
      </rPr>
      <t>上限值</t>
    </r>
  </si>
  <si>
    <r>
      <rPr>
        <b/>
        <sz val="10"/>
        <color theme="1"/>
        <rFont val="宋体"/>
        <charset val="134"/>
      </rPr>
      <t>属性</t>
    </r>
  </si>
  <si>
    <r>
      <rPr>
        <b/>
        <sz val="10"/>
        <color theme="1"/>
        <rFont val="宋体"/>
        <charset val="134"/>
      </rPr>
      <t>对象字典</t>
    </r>
  </si>
  <si>
    <r>
      <rPr>
        <b/>
        <sz val="10"/>
        <color theme="1"/>
        <rFont val="宋体"/>
        <charset val="134"/>
      </rPr>
      <t>参数名（中文）</t>
    </r>
  </si>
  <si>
    <r>
      <rPr>
        <b/>
        <sz val="10"/>
        <color theme="1"/>
        <rFont val="宋体"/>
        <charset val="134"/>
      </rPr>
      <t>值说明（中文）</t>
    </r>
  </si>
  <si>
    <r>
      <rPr>
        <b/>
        <sz val="10"/>
        <color theme="1"/>
        <rFont val="宋体"/>
        <charset val="134"/>
      </rPr>
      <t>物理单位</t>
    </r>
  </si>
  <si>
    <r>
      <rPr>
        <b/>
        <sz val="10"/>
        <color theme="1"/>
        <rFont val="宋体"/>
        <charset val="134"/>
      </rPr>
      <t>读写模式</t>
    </r>
  </si>
  <si>
    <r>
      <rPr>
        <b/>
        <sz val="10"/>
        <color theme="1"/>
        <rFont val="宋体"/>
        <charset val="134"/>
      </rPr>
      <t>同步模式</t>
    </r>
  </si>
  <si>
    <r>
      <rPr>
        <b/>
        <sz val="10"/>
        <color theme="1"/>
        <rFont val="宋体"/>
        <charset val="134"/>
      </rPr>
      <t>上下限关联</t>
    </r>
  </si>
  <si>
    <r>
      <rPr>
        <b/>
        <sz val="10"/>
        <color theme="1"/>
        <rFont val="宋体"/>
        <charset val="134"/>
      </rPr>
      <t>访问权限</t>
    </r>
  </si>
  <si>
    <t>DevSche</t>
  </si>
  <si>
    <r>
      <rPr>
        <sz val="10"/>
        <color theme="1"/>
        <rFont val="宋体"/>
        <charset val="134"/>
      </rPr>
      <t>设备方案</t>
    </r>
  </si>
  <si>
    <t>u32</t>
  </si>
  <si>
    <t>u32DevScheme</t>
  </si>
  <si>
    <t>40020600</t>
  </si>
  <si>
    <t>0</t>
  </si>
  <si>
    <t>U32_MAX</t>
  </si>
  <si>
    <t>-</t>
  </si>
  <si>
    <r>
      <rPr>
        <sz val="10"/>
        <color theme="1"/>
        <rFont val="宋体"/>
        <charset val="134"/>
      </rPr>
      <t>只读</t>
    </r>
  </si>
  <si>
    <r>
      <rPr>
        <sz val="10"/>
        <color theme="1"/>
        <rFont val="宋体"/>
        <charset val="134"/>
      </rPr>
      <t>允许保存，可恢复</t>
    </r>
  </si>
  <si>
    <r>
      <rPr>
        <sz val="10"/>
        <color theme="1"/>
        <rFont val="宋体"/>
        <charset val="134"/>
      </rPr>
      <t>无关联</t>
    </r>
  </si>
  <si>
    <t>Anyone</t>
  </si>
  <si>
    <t>u16</t>
  </si>
  <si>
    <t>u16McuSwVer0</t>
  </si>
  <si>
    <t>U16_MAX</t>
  </si>
  <si>
    <r>
      <rPr>
        <sz val="10"/>
        <color theme="1"/>
        <rFont val="宋体"/>
        <charset val="134"/>
      </rPr>
      <t>不允许保存，不可恢复</t>
    </r>
  </si>
  <si>
    <r>
      <rPr>
        <sz val="10"/>
        <color theme="1"/>
        <rFont val="Consolas"/>
        <charset val="134"/>
      </rPr>
      <t>MCU</t>
    </r>
    <r>
      <rPr>
        <sz val="10"/>
        <color theme="1"/>
        <rFont val="宋体"/>
        <charset val="134"/>
      </rPr>
      <t>软件主版本号</t>
    </r>
  </si>
  <si>
    <t>u16McuSwVer1</t>
  </si>
  <si>
    <r>
      <rPr>
        <sz val="10"/>
        <color theme="1"/>
        <rFont val="Consolas"/>
        <charset val="134"/>
      </rPr>
      <t>MCU</t>
    </r>
    <r>
      <rPr>
        <sz val="10"/>
        <color theme="1"/>
        <rFont val="宋体"/>
        <charset val="134"/>
      </rPr>
      <t>软件子版本号</t>
    </r>
  </si>
  <si>
    <t>u32McuSwBuildDate</t>
  </si>
  <si>
    <r>
      <rPr>
        <sz val="10"/>
        <color theme="1"/>
        <rFont val="Consolas"/>
        <charset val="134"/>
      </rPr>
      <t>MCU</t>
    </r>
    <r>
      <rPr>
        <sz val="10"/>
        <color theme="1"/>
        <rFont val="宋体"/>
        <charset val="134"/>
      </rPr>
      <t>软件构建日期</t>
    </r>
  </si>
  <si>
    <t>u32McuSwBuildTime</t>
  </si>
  <si>
    <r>
      <rPr>
        <sz val="10"/>
        <color theme="1"/>
        <rFont val="Consolas"/>
        <charset val="134"/>
      </rPr>
      <t>MCU</t>
    </r>
    <r>
      <rPr>
        <sz val="10"/>
        <color theme="1"/>
        <rFont val="宋体"/>
        <charset val="134"/>
      </rPr>
      <t>软件构建时间</t>
    </r>
  </si>
  <si>
    <t>u16FpgaSwVer0</t>
  </si>
  <si>
    <r>
      <rPr>
        <sz val="10"/>
        <color theme="1"/>
        <rFont val="Consolas"/>
        <charset val="134"/>
      </rPr>
      <t>FPGA</t>
    </r>
    <r>
      <rPr>
        <sz val="10"/>
        <color theme="1"/>
        <rFont val="宋体"/>
        <charset val="134"/>
      </rPr>
      <t>软件主版本号</t>
    </r>
  </si>
  <si>
    <t>u16FpgaSwVer1</t>
  </si>
  <si>
    <r>
      <rPr>
        <sz val="10"/>
        <color theme="1"/>
        <rFont val="Consolas"/>
        <charset val="134"/>
      </rPr>
      <t>FPGA</t>
    </r>
    <r>
      <rPr>
        <sz val="10"/>
        <color theme="1"/>
        <rFont val="宋体"/>
        <charset val="134"/>
      </rPr>
      <t>软件子版本号</t>
    </r>
  </si>
  <si>
    <t>u16LedNum</t>
  </si>
  <si>
    <r>
      <rPr>
        <sz val="10"/>
        <color theme="1"/>
        <rFont val="宋体"/>
        <charset val="134"/>
      </rPr>
      <t>指示灯个数</t>
    </r>
  </si>
  <si>
    <t>u16ExtDiNum</t>
  </si>
  <si>
    <r>
      <rPr>
        <sz val="10"/>
        <color theme="1"/>
        <rFont val="宋体"/>
        <charset val="134"/>
      </rPr>
      <t>外部数字量输入个数</t>
    </r>
  </si>
  <si>
    <t>u16ExtDoNum</t>
  </si>
  <si>
    <r>
      <rPr>
        <sz val="10"/>
        <color theme="1"/>
        <rFont val="宋体"/>
        <charset val="134"/>
      </rPr>
      <t>外部数字量输出个数</t>
    </r>
  </si>
  <si>
    <t>u16ExtHDiNum</t>
  </si>
  <si>
    <r>
      <rPr>
        <sz val="10"/>
        <color theme="1"/>
        <rFont val="宋体"/>
        <charset val="134"/>
      </rPr>
      <t>外部高速数字量输入个数</t>
    </r>
  </si>
  <si>
    <t>u16ExtHDoNum</t>
  </si>
  <si>
    <r>
      <rPr>
        <sz val="10"/>
        <color theme="1"/>
        <rFont val="宋体"/>
        <charset val="134"/>
      </rPr>
      <t>外部高速数字量输出个数</t>
    </r>
  </si>
  <si>
    <t>u16ExtAiNum</t>
  </si>
  <si>
    <r>
      <rPr>
        <sz val="10"/>
        <color theme="1"/>
        <rFont val="宋体"/>
        <charset val="134"/>
      </rPr>
      <t>外部模拟量输入个数</t>
    </r>
  </si>
  <si>
    <t>u16ExtAoNum</t>
  </si>
  <si>
    <r>
      <rPr>
        <sz val="10"/>
        <color theme="1"/>
        <rFont val="宋体"/>
        <charset val="134"/>
      </rPr>
      <t>外部模拟量输出个数</t>
    </r>
  </si>
  <si>
    <t>u16UaiHwCoeff</t>
  </si>
  <si>
    <t>330</t>
  </si>
  <si>
    <r>
      <rPr>
        <sz val="10"/>
        <color theme="1"/>
        <rFont val="宋体"/>
        <charset val="134"/>
      </rPr>
      <t>读写</t>
    </r>
    <r>
      <rPr>
        <sz val="10"/>
        <color theme="1"/>
        <rFont val="Consolas"/>
        <charset val="134"/>
      </rPr>
      <t xml:space="preserve"> - </t>
    </r>
    <r>
      <rPr>
        <sz val="10"/>
        <color theme="1"/>
        <rFont val="宋体"/>
        <charset val="134"/>
      </rPr>
      <t>立即更改，立即生效</t>
    </r>
  </si>
  <si>
    <t>允许保存，可恢复</t>
  </si>
  <si>
    <t>Admin</t>
  </si>
  <si>
    <r>
      <rPr>
        <sz val="10"/>
        <color theme="1"/>
        <rFont val="宋体"/>
        <charset val="134"/>
      </rPr>
      <t>模拟量输入</t>
    </r>
    <r>
      <rPr>
        <sz val="10"/>
        <color theme="1"/>
        <rFont val="Consolas"/>
        <charset val="134"/>
      </rPr>
      <t>AI</t>
    </r>
    <r>
      <rPr>
        <sz val="10"/>
        <color theme="1"/>
        <rFont val="宋体"/>
        <charset val="134"/>
      </rPr>
      <t>采样系数</t>
    </r>
  </si>
  <si>
    <t>u16SysPwd</t>
  </si>
  <si>
    <r>
      <rPr>
        <sz val="10"/>
        <color theme="1"/>
        <rFont val="宋体"/>
        <charset val="134"/>
      </rPr>
      <t>系统密码</t>
    </r>
  </si>
  <si>
    <t>u16SysAccess</t>
  </si>
  <si>
    <t>2</t>
  </si>
  <si>
    <r>
      <rPr>
        <sz val="10"/>
        <color theme="1"/>
        <rFont val="宋体"/>
        <charset val="134"/>
      </rPr>
      <t>当前系统权限</t>
    </r>
  </si>
  <si>
    <t>0-Admin
1-User
2-Anyone</t>
  </si>
  <si>
    <t>bSwRstCmd</t>
  </si>
  <si>
    <t>1</t>
  </si>
  <si>
    <r>
      <rPr>
        <sz val="10"/>
        <color theme="1"/>
        <rFont val="宋体"/>
        <charset val="134"/>
      </rPr>
      <t>软件复位</t>
    </r>
  </si>
  <si>
    <r>
      <rPr>
        <sz val="10"/>
        <color theme="1"/>
        <rFont val="宋体"/>
        <charset val="134"/>
      </rPr>
      <t>上升沿触发</t>
    </r>
  </si>
  <si>
    <t>eParaTblCmd</t>
  </si>
  <si>
    <t>5</t>
  </si>
  <si>
    <r>
      <rPr>
        <sz val="10"/>
        <color theme="1"/>
        <rFont val="宋体"/>
        <charset val="134"/>
      </rPr>
      <t>参数表操作命令字</t>
    </r>
  </si>
  <si>
    <r>
      <rPr>
        <sz val="10"/>
        <color theme="1"/>
        <rFont val="Consolas"/>
        <charset val="134"/>
      </rPr>
      <t>0-</t>
    </r>
    <r>
      <rPr>
        <sz val="10"/>
        <color theme="1"/>
        <rFont val="宋体"/>
        <charset val="134"/>
      </rPr>
      <t>保留</t>
    </r>
    <r>
      <rPr>
        <sz val="10"/>
        <color theme="1"/>
        <rFont val="Consolas"/>
        <charset val="134"/>
      </rPr>
      <t xml:space="preserve">
1-</t>
    </r>
    <r>
      <rPr>
        <sz val="10"/>
        <color theme="1"/>
        <rFont val="宋体"/>
        <charset val="134"/>
      </rPr>
      <t>所有可恢复出厂参数恢复出厂</t>
    </r>
    <r>
      <rPr>
        <sz val="10"/>
        <color theme="1"/>
        <rFont val="Consolas"/>
        <charset val="134"/>
      </rPr>
      <t xml:space="preserve">
2-</t>
    </r>
    <r>
      <rPr>
        <sz val="10"/>
        <color theme="1"/>
        <rFont val="宋体"/>
        <charset val="134"/>
      </rPr>
      <t>所有可恢复及不可恢复出厂参数恢复出厂</t>
    </r>
    <r>
      <rPr>
        <sz val="10"/>
        <color theme="1"/>
        <rFont val="Consolas"/>
        <charset val="134"/>
      </rPr>
      <t xml:space="preserve">
5-</t>
    </r>
    <r>
      <rPr>
        <sz val="10"/>
        <color theme="1"/>
        <rFont val="宋体"/>
        <charset val="134"/>
      </rPr>
      <t>保存所有可保存参数到</t>
    </r>
    <r>
      <rPr>
        <sz val="10"/>
        <color theme="1"/>
        <rFont val="Consolas"/>
        <charset val="134"/>
      </rPr>
      <t>EEPROM</t>
    </r>
  </si>
  <si>
    <t>eParaTblSts</t>
  </si>
  <si>
    <t>3</t>
  </si>
  <si>
    <r>
      <rPr>
        <sz val="10"/>
        <color theme="1"/>
        <rFont val="宋体"/>
        <charset val="134"/>
      </rPr>
      <t>参数表操作状态</t>
    </r>
  </si>
  <si>
    <r>
      <rPr>
        <sz val="10"/>
        <color theme="1"/>
        <rFont val="Consolas"/>
        <charset val="134"/>
      </rPr>
      <t>0-</t>
    </r>
    <r>
      <rPr>
        <sz val="10"/>
        <color theme="1"/>
        <rFont val="宋体"/>
        <charset val="134"/>
      </rPr>
      <t>空闲</t>
    </r>
    <r>
      <rPr>
        <sz val="10"/>
        <color theme="1"/>
        <rFont val="Consolas"/>
        <charset val="134"/>
      </rPr>
      <t xml:space="preserve">
1-</t>
    </r>
    <r>
      <rPr>
        <sz val="10"/>
        <color theme="1"/>
        <rFont val="宋体"/>
        <charset val="134"/>
      </rPr>
      <t>忙碌</t>
    </r>
    <r>
      <rPr>
        <sz val="10"/>
        <color theme="1"/>
        <rFont val="Consolas"/>
        <charset val="134"/>
      </rPr>
      <t xml:space="preserve">
2-</t>
    </r>
    <r>
      <rPr>
        <sz val="10"/>
        <color theme="1"/>
        <rFont val="宋体"/>
        <charset val="134"/>
      </rPr>
      <t>成功</t>
    </r>
    <r>
      <rPr>
        <sz val="10"/>
        <color theme="1"/>
        <rFont val="Consolas"/>
        <charset val="134"/>
      </rPr>
      <t xml:space="preserve">
3-</t>
    </r>
    <r>
      <rPr>
        <sz val="10"/>
        <color theme="1"/>
        <rFont val="宋体"/>
        <charset val="134"/>
      </rPr>
      <t>失败</t>
    </r>
  </si>
  <si>
    <t>u16DiState</t>
  </si>
  <si>
    <r>
      <rPr>
        <sz val="10"/>
        <color theme="1"/>
        <rFont val="Consolas"/>
        <charset val="134"/>
      </rPr>
      <t>DI</t>
    </r>
    <r>
      <rPr>
        <sz val="10"/>
        <color theme="1"/>
        <rFont val="宋体"/>
        <charset val="134"/>
      </rPr>
      <t>输入端子电平状态</t>
    </r>
  </si>
  <si>
    <t>u16DoState</t>
  </si>
  <si>
    <r>
      <rPr>
        <sz val="10"/>
        <color theme="1"/>
        <rFont val="Consolas"/>
        <charset val="134"/>
      </rPr>
      <t>DO</t>
    </r>
    <r>
      <rPr>
        <sz val="10"/>
        <color theme="1"/>
        <rFont val="宋体"/>
        <charset val="134"/>
      </rPr>
      <t>输出端子电平状态</t>
    </r>
  </si>
  <si>
    <t>s16</t>
  </si>
  <si>
    <t>s16Uai0Si</t>
  </si>
  <si>
    <t>S16_MIN</t>
  </si>
  <si>
    <t>S16_MAX</t>
  </si>
  <si>
    <t>0.01V</t>
  </si>
  <si>
    <r>
      <rPr>
        <sz val="10"/>
        <color theme="1"/>
        <rFont val="Consolas"/>
        <charset val="134"/>
      </rPr>
      <t>AI0</t>
    </r>
    <r>
      <rPr>
        <sz val="10"/>
        <color theme="1"/>
        <rFont val="宋体"/>
        <charset val="134"/>
      </rPr>
      <t>输入电压物理值</t>
    </r>
  </si>
  <si>
    <t>s16Uai1Si</t>
  </si>
  <si>
    <r>
      <rPr>
        <sz val="10"/>
        <color theme="1"/>
        <rFont val="Consolas"/>
        <charset val="134"/>
      </rPr>
      <t>AI1</t>
    </r>
    <r>
      <rPr>
        <sz val="10"/>
        <color theme="1"/>
        <rFont val="宋体"/>
        <charset val="134"/>
      </rPr>
      <t>输入电压物理值</t>
    </r>
  </si>
  <si>
    <t>s16Uai2Si</t>
  </si>
  <si>
    <r>
      <rPr>
        <sz val="10"/>
        <color theme="1"/>
        <rFont val="Consolas"/>
        <charset val="134"/>
      </rPr>
      <t>AI2</t>
    </r>
    <r>
      <rPr>
        <sz val="10"/>
        <color theme="1"/>
        <rFont val="宋体"/>
        <charset val="134"/>
      </rPr>
      <t>输入电压物理值</t>
    </r>
  </si>
  <si>
    <t>s16Uai3Si</t>
  </si>
  <si>
    <r>
      <rPr>
        <sz val="10"/>
        <color theme="1"/>
        <rFont val="Consolas"/>
        <charset val="134"/>
      </rPr>
      <t>AI3</t>
    </r>
    <r>
      <rPr>
        <sz val="10"/>
        <color theme="1"/>
        <rFont val="宋体"/>
        <charset val="134"/>
      </rPr>
      <t>输入电压物理值</t>
    </r>
  </si>
  <si>
    <t>u16Uai0FltrTime</t>
  </si>
  <si>
    <t>0.01ms</t>
  </si>
  <si>
    <r>
      <rPr>
        <sz val="10"/>
        <color theme="1"/>
        <rFont val="Consolas"/>
        <charset val="134"/>
      </rPr>
      <t>AI0</t>
    </r>
    <r>
      <rPr>
        <sz val="10"/>
        <color theme="1"/>
        <rFont val="宋体"/>
        <charset val="134"/>
      </rPr>
      <t>滤波时间常数</t>
    </r>
  </si>
  <si>
    <t>u16Uai0Zoom</t>
  </si>
  <si>
    <t>1000</t>
  </si>
  <si>
    <t>‰</t>
  </si>
  <si>
    <r>
      <rPr>
        <sz val="10"/>
        <color theme="1"/>
        <rFont val="Consolas"/>
        <charset val="134"/>
      </rPr>
      <t>AI0</t>
    </r>
    <r>
      <rPr>
        <sz val="10"/>
        <color theme="1"/>
        <rFont val="宋体"/>
        <charset val="134"/>
      </rPr>
      <t>采样缩放系数</t>
    </r>
  </si>
  <si>
    <t>s16Uai0Offset</t>
  </si>
  <si>
    <r>
      <rPr>
        <sz val="10"/>
        <color theme="1"/>
        <rFont val="Consolas"/>
        <charset val="134"/>
      </rPr>
      <t>AI0</t>
    </r>
    <r>
      <rPr>
        <sz val="10"/>
        <color theme="1"/>
        <rFont val="宋体"/>
        <charset val="134"/>
      </rPr>
      <t>采样偏置</t>
    </r>
  </si>
  <si>
    <t>u16Uai0DeadZone</t>
  </si>
  <si>
    <r>
      <rPr>
        <sz val="10"/>
        <color theme="1"/>
        <rFont val="Consolas"/>
        <charset val="134"/>
      </rPr>
      <t>AI0</t>
    </r>
    <r>
      <rPr>
        <sz val="10"/>
        <color theme="1"/>
        <rFont val="宋体"/>
        <charset val="134"/>
      </rPr>
      <t>输入死区</t>
    </r>
  </si>
  <si>
    <t>u16Uai1FltrTime</t>
  </si>
  <si>
    <r>
      <rPr>
        <sz val="10"/>
        <color theme="1"/>
        <rFont val="Consolas"/>
        <charset val="134"/>
      </rPr>
      <t>AI1</t>
    </r>
    <r>
      <rPr>
        <sz val="10"/>
        <color theme="1"/>
        <rFont val="宋体"/>
        <charset val="134"/>
      </rPr>
      <t>滤波时间常数</t>
    </r>
  </si>
  <si>
    <t>u16Uai1Zoom</t>
  </si>
  <si>
    <r>
      <rPr>
        <sz val="10"/>
        <color theme="1"/>
        <rFont val="Consolas"/>
        <charset val="134"/>
      </rPr>
      <t>AI1</t>
    </r>
    <r>
      <rPr>
        <sz val="10"/>
        <color theme="1"/>
        <rFont val="宋体"/>
        <charset val="134"/>
      </rPr>
      <t>采样缩放系数</t>
    </r>
  </si>
  <si>
    <t>s16Uai1Offset</t>
  </si>
  <si>
    <r>
      <rPr>
        <sz val="10"/>
        <color theme="1"/>
        <rFont val="Consolas"/>
        <charset val="134"/>
      </rPr>
      <t>AI1</t>
    </r>
    <r>
      <rPr>
        <sz val="10"/>
        <color theme="1"/>
        <rFont val="宋体"/>
        <charset val="134"/>
      </rPr>
      <t>采样偏置</t>
    </r>
  </si>
  <si>
    <t>u16Uai1DeadZone</t>
  </si>
  <si>
    <r>
      <rPr>
        <sz val="10"/>
        <color theme="1"/>
        <rFont val="Consolas"/>
        <charset val="134"/>
      </rPr>
      <t>AI1</t>
    </r>
    <r>
      <rPr>
        <sz val="10"/>
        <color theme="1"/>
        <rFont val="宋体"/>
        <charset val="134"/>
      </rPr>
      <t>输入死区</t>
    </r>
  </si>
  <si>
    <t>u16Uai2FltrTime</t>
  </si>
  <si>
    <r>
      <rPr>
        <sz val="10"/>
        <color theme="1"/>
        <rFont val="Consolas"/>
        <charset val="134"/>
      </rPr>
      <t>AI2</t>
    </r>
    <r>
      <rPr>
        <sz val="10"/>
        <color theme="1"/>
        <rFont val="宋体"/>
        <charset val="134"/>
      </rPr>
      <t>滤波时间常数</t>
    </r>
  </si>
  <si>
    <t>u16Uai2Zoom</t>
  </si>
  <si>
    <r>
      <rPr>
        <sz val="10"/>
        <color theme="1"/>
        <rFont val="Consolas"/>
        <charset val="134"/>
      </rPr>
      <t>AI2</t>
    </r>
    <r>
      <rPr>
        <sz val="10"/>
        <color theme="1"/>
        <rFont val="宋体"/>
        <charset val="134"/>
      </rPr>
      <t>采样缩放系数</t>
    </r>
  </si>
  <si>
    <t>s16Uai2Offset</t>
  </si>
  <si>
    <r>
      <rPr>
        <sz val="10"/>
        <color theme="1"/>
        <rFont val="Consolas"/>
        <charset val="134"/>
      </rPr>
      <t>AI2</t>
    </r>
    <r>
      <rPr>
        <sz val="10"/>
        <color theme="1"/>
        <rFont val="宋体"/>
        <charset val="134"/>
      </rPr>
      <t>采样偏置</t>
    </r>
  </si>
  <si>
    <t>u16Uai2DeadZone</t>
  </si>
  <si>
    <r>
      <rPr>
        <sz val="10"/>
        <color theme="1"/>
        <rFont val="Consolas"/>
        <charset val="134"/>
      </rPr>
      <t>AI2</t>
    </r>
    <r>
      <rPr>
        <sz val="10"/>
        <color theme="1"/>
        <rFont val="宋体"/>
        <charset val="134"/>
      </rPr>
      <t>输入死区</t>
    </r>
  </si>
  <si>
    <t>u16Uai3FltrTime</t>
  </si>
  <si>
    <r>
      <rPr>
        <sz val="10"/>
        <color theme="1"/>
        <rFont val="Consolas"/>
        <charset val="134"/>
      </rPr>
      <t>AI3</t>
    </r>
    <r>
      <rPr>
        <sz val="10"/>
        <color theme="1"/>
        <rFont val="宋体"/>
        <charset val="134"/>
      </rPr>
      <t>滤波时间常数</t>
    </r>
  </si>
  <si>
    <t>u16Uai3Zoom</t>
  </si>
  <si>
    <r>
      <rPr>
        <sz val="10"/>
        <color theme="1"/>
        <rFont val="Consolas"/>
        <charset val="134"/>
      </rPr>
      <t>AI3</t>
    </r>
    <r>
      <rPr>
        <sz val="10"/>
        <color theme="1"/>
        <rFont val="宋体"/>
        <charset val="134"/>
      </rPr>
      <t>采样缩放系数</t>
    </r>
  </si>
  <si>
    <t>s16Uai3Offset</t>
  </si>
  <si>
    <r>
      <rPr>
        <sz val="10"/>
        <color theme="1"/>
        <rFont val="Consolas"/>
        <charset val="134"/>
      </rPr>
      <t>AI3</t>
    </r>
    <r>
      <rPr>
        <sz val="10"/>
        <color theme="1"/>
        <rFont val="宋体"/>
        <charset val="134"/>
      </rPr>
      <t>采样偏置</t>
    </r>
  </si>
  <si>
    <t>u16Uai3DeadZone</t>
  </si>
  <si>
    <r>
      <rPr>
        <sz val="10"/>
        <color theme="1"/>
        <rFont val="Consolas"/>
        <charset val="134"/>
      </rPr>
      <t>AI3</t>
    </r>
    <r>
      <rPr>
        <sz val="10"/>
        <color theme="1"/>
        <rFont val="宋体"/>
        <charset val="134"/>
      </rPr>
      <t>输入死区</t>
    </r>
  </si>
  <si>
    <t>bPulOutEn</t>
  </si>
  <si>
    <r>
      <rPr>
        <sz val="10"/>
        <color theme="1"/>
        <rFont val="宋体"/>
        <charset val="134"/>
      </rPr>
      <t>高速脉冲输出使能</t>
    </r>
  </si>
  <si>
    <t>u32PulOutCnt</t>
  </si>
  <si>
    <r>
      <rPr>
        <sz val="10"/>
        <color theme="1"/>
        <rFont val="宋体"/>
        <charset val="134"/>
      </rPr>
      <t>读写</t>
    </r>
    <r>
      <rPr>
        <sz val="10"/>
        <color theme="1"/>
        <rFont val="Consolas"/>
        <charset val="134"/>
      </rPr>
      <t xml:space="preserve"> - </t>
    </r>
    <r>
      <rPr>
        <sz val="10"/>
        <color theme="1"/>
        <rFont val="宋体"/>
        <charset val="134"/>
      </rPr>
      <t>停机更改，立即生效</t>
    </r>
  </si>
  <si>
    <r>
      <rPr>
        <sz val="10"/>
        <color theme="1"/>
        <rFont val="宋体"/>
        <charset val="134"/>
      </rPr>
      <t>高速脉冲输出个数</t>
    </r>
  </si>
  <si>
    <t>u32PulOutFreq</t>
  </si>
  <si>
    <t>10000</t>
  </si>
  <si>
    <t>40000000</t>
  </si>
  <si>
    <t>0.1Hz</t>
  </si>
  <si>
    <r>
      <rPr>
        <sz val="10"/>
        <color theme="1"/>
        <rFont val="宋体"/>
        <charset val="134"/>
      </rPr>
      <t>高速脉冲输出频率</t>
    </r>
  </si>
  <si>
    <t>u16PulOutDuty</t>
  </si>
  <si>
    <t>500</t>
  </si>
  <si>
    <r>
      <rPr>
        <sz val="10"/>
        <color theme="1"/>
        <rFont val="宋体"/>
        <charset val="134"/>
      </rPr>
      <t>高速脉冲输出占空比</t>
    </r>
  </si>
  <si>
    <t>bPulInEn</t>
  </si>
  <si>
    <r>
      <rPr>
        <sz val="10"/>
        <color theme="1"/>
        <rFont val="宋体"/>
        <charset val="134"/>
      </rPr>
      <t>高速脉冲输入使能</t>
    </r>
  </si>
  <si>
    <t>u16PulInMode</t>
  </si>
  <si>
    <r>
      <rPr>
        <sz val="10"/>
        <color theme="1"/>
        <rFont val="宋体"/>
        <charset val="134"/>
      </rPr>
      <t>高速脉冲输入模式</t>
    </r>
  </si>
  <si>
    <r>
      <rPr>
        <sz val="10"/>
        <color theme="1"/>
        <rFont val="宋体"/>
        <charset val="134"/>
      </rPr>
      <t>外部高速脉冲输入工作模式选择</t>
    </r>
    <r>
      <rPr>
        <sz val="10"/>
        <color theme="1"/>
        <rFont val="Consolas"/>
        <charset val="134"/>
      </rPr>
      <t xml:space="preserve">
// 0-P+D</t>
    </r>
    <r>
      <rPr>
        <sz val="10"/>
        <color theme="1"/>
        <rFont val="宋体"/>
        <charset val="134"/>
      </rPr>
      <t>脉冲输入模式</t>
    </r>
    <r>
      <rPr>
        <sz val="10"/>
        <color theme="1"/>
        <rFont val="Consolas"/>
        <charset val="134"/>
      </rPr>
      <t xml:space="preserve">
1-A+B</t>
    </r>
    <r>
      <rPr>
        <sz val="10"/>
        <color theme="1"/>
        <rFont val="宋体"/>
        <charset val="134"/>
      </rPr>
      <t>正交脉冲输入模式</t>
    </r>
    <r>
      <rPr>
        <sz val="10"/>
        <color theme="1"/>
        <rFont val="Consolas"/>
        <charset val="134"/>
      </rPr>
      <t xml:space="preserve">
// 2-CW-CCW</t>
    </r>
    <r>
      <rPr>
        <sz val="10"/>
        <color theme="1"/>
        <rFont val="宋体"/>
        <charset val="134"/>
      </rPr>
      <t>脉冲输入模式</t>
    </r>
    <r>
      <rPr>
        <sz val="10"/>
        <color theme="1"/>
        <rFont val="Consolas"/>
        <charset val="134"/>
      </rPr>
      <t xml:space="preserve">
// 3-UVW</t>
    </r>
    <r>
      <rPr>
        <sz val="10"/>
        <color theme="1"/>
        <rFont val="宋体"/>
        <charset val="134"/>
      </rPr>
      <t>霍尔信号输入</t>
    </r>
  </si>
  <si>
    <t>s64</t>
  </si>
  <si>
    <t>s64PulInCnt</t>
  </si>
  <si>
    <t>S64_MIN</t>
  </si>
  <si>
    <t>S64_MAX</t>
  </si>
  <si>
    <r>
      <rPr>
        <sz val="10"/>
        <color theme="1"/>
        <rFont val="宋体"/>
        <charset val="134"/>
      </rPr>
      <t>高速脉冲输入计数</t>
    </r>
  </si>
  <si>
    <t>u32EncRes</t>
  </si>
  <si>
    <t>2500</t>
  </si>
  <si>
    <r>
      <rPr>
        <sz val="10"/>
        <color theme="1"/>
        <rFont val="宋体"/>
        <charset val="134"/>
      </rPr>
      <t>编码器分辨率</t>
    </r>
  </si>
  <si>
    <t>u32EncPos</t>
  </si>
  <si>
    <r>
      <rPr>
        <sz val="10"/>
        <color theme="1"/>
        <rFont val="宋体"/>
        <charset val="134"/>
      </rPr>
      <t>编码器单圈位置</t>
    </r>
  </si>
  <si>
    <t>s32</t>
  </si>
  <si>
    <t>s32EncTurns</t>
  </si>
  <si>
    <t>S32_MIN</t>
  </si>
  <si>
    <t>S32_MAX</t>
  </si>
  <si>
    <r>
      <rPr>
        <sz val="10"/>
        <color theme="1"/>
        <rFont val="宋体"/>
        <charset val="134"/>
      </rPr>
      <t>编码器圈数</t>
    </r>
  </si>
  <si>
    <t>bFlexPulOutEn</t>
  </si>
  <si>
    <r>
      <rPr>
        <sz val="10"/>
        <color theme="1"/>
        <rFont val="宋体"/>
        <charset val="134"/>
      </rPr>
      <t>可编程脉冲输出使能</t>
    </r>
  </si>
  <si>
    <t>u32FlexPulOutFreq</t>
  </si>
  <si>
    <t>50000000</t>
  </si>
  <si>
    <r>
      <rPr>
        <sz val="10"/>
        <color theme="1"/>
        <rFont val="宋体"/>
        <charset val="134"/>
      </rPr>
      <t>可编程脉冲输出更新频率</t>
    </r>
  </si>
  <si>
    <t>u16FlexPulStartIndex</t>
  </si>
  <si>
    <r>
      <rPr>
        <sz val="10"/>
        <color theme="1"/>
        <rFont val="宋体"/>
        <charset val="134"/>
      </rPr>
      <t>上限关联</t>
    </r>
  </si>
  <si>
    <r>
      <rPr>
        <sz val="10"/>
        <color theme="1"/>
        <rFont val="宋体"/>
        <charset val="134"/>
      </rPr>
      <t>可编程脉冲数据点起始索引</t>
    </r>
  </si>
  <si>
    <t>u16FlexPulStopIndex</t>
  </si>
  <si>
    <t>63</t>
  </si>
  <si>
    <r>
      <rPr>
        <sz val="10"/>
        <color theme="1"/>
        <rFont val="宋体"/>
        <charset val="134"/>
      </rPr>
      <t>下限关联</t>
    </r>
  </si>
  <si>
    <r>
      <rPr>
        <sz val="10"/>
        <color theme="1"/>
        <rFont val="宋体"/>
        <charset val="134"/>
      </rPr>
      <t>可编程脉冲数据点结束索引</t>
    </r>
  </si>
  <si>
    <t>u16FlexPulData00</t>
  </si>
  <si>
    <t>15</t>
  </si>
  <si>
    <r>
      <rPr>
        <sz val="10"/>
        <color theme="1"/>
        <rFont val="宋体"/>
        <charset val="134"/>
      </rPr>
      <t>可编程脉冲数据点</t>
    </r>
    <r>
      <rPr>
        <sz val="10"/>
        <color theme="1"/>
        <rFont val="Consolas"/>
        <charset val="134"/>
      </rPr>
      <t>00</t>
    </r>
  </si>
  <si>
    <r>
      <rPr>
        <sz val="10"/>
        <color theme="1"/>
        <rFont val="Consolas"/>
        <charset val="134"/>
      </rPr>
      <t xml:space="preserve">bit0: </t>
    </r>
    <r>
      <rPr>
        <sz val="10"/>
        <color theme="1"/>
        <rFont val="宋体"/>
        <charset val="134"/>
      </rPr>
      <t>通道</t>
    </r>
    <r>
      <rPr>
        <sz val="10"/>
        <color theme="1"/>
        <rFont val="Consolas"/>
        <charset val="134"/>
      </rPr>
      <t xml:space="preserve">0
bit1: </t>
    </r>
    <r>
      <rPr>
        <sz val="10"/>
        <color theme="1"/>
        <rFont val="宋体"/>
        <charset val="134"/>
      </rPr>
      <t>通道</t>
    </r>
    <r>
      <rPr>
        <sz val="10"/>
        <color theme="1"/>
        <rFont val="Consolas"/>
        <charset val="134"/>
      </rPr>
      <t xml:space="preserve">1
bit2: </t>
    </r>
    <r>
      <rPr>
        <sz val="10"/>
        <color theme="1"/>
        <rFont val="宋体"/>
        <charset val="134"/>
      </rPr>
      <t>通道</t>
    </r>
    <r>
      <rPr>
        <sz val="10"/>
        <color theme="1"/>
        <rFont val="Consolas"/>
        <charset val="134"/>
      </rPr>
      <t xml:space="preserve">2
bit3: </t>
    </r>
    <r>
      <rPr>
        <sz val="10"/>
        <color theme="1"/>
        <rFont val="宋体"/>
        <charset val="134"/>
      </rPr>
      <t>通道</t>
    </r>
    <r>
      <rPr>
        <sz val="10"/>
        <color theme="1"/>
        <rFont val="Consolas"/>
        <charset val="134"/>
      </rPr>
      <t>3</t>
    </r>
  </si>
  <si>
    <t>u16FlexPulData01</t>
  </si>
  <si>
    <r>
      <rPr>
        <sz val="10"/>
        <color theme="1"/>
        <rFont val="宋体"/>
        <charset val="134"/>
      </rPr>
      <t>可编程脉冲数据点</t>
    </r>
    <r>
      <rPr>
        <sz val="10"/>
        <color theme="1"/>
        <rFont val="Consolas"/>
        <charset val="134"/>
      </rPr>
      <t>01</t>
    </r>
  </si>
  <si>
    <t>u16FlexPulData02</t>
  </si>
  <si>
    <r>
      <rPr>
        <sz val="10"/>
        <color theme="1"/>
        <rFont val="宋体"/>
        <charset val="134"/>
      </rPr>
      <t>可编程脉冲数据点</t>
    </r>
    <r>
      <rPr>
        <sz val="10"/>
        <color theme="1"/>
        <rFont val="Consolas"/>
        <charset val="134"/>
      </rPr>
      <t>02</t>
    </r>
  </si>
  <si>
    <t>u16FlexPulData03</t>
  </si>
  <si>
    <r>
      <rPr>
        <sz val="10"/>
        <color theme="1"/>
        <rFont val="宋体"/>
        <charset val="134"/>
      </rPr>
      <t>可编程脉冲数据点</t>
    </r>
    <r>
      <rPr>
        <sz val="10"/>
        <color theme="1"/>
        <rFont val="Consolas"/>
        <charset val="134"/>
      </rPr>
      <t>03</t>
    </r>
  </si>
  <si>
    <t>u16FlexPulData04</t>
  </si>
  <si>
    <r>
      <rPr>
        <sz val="10"/>
        <color theme="1"/>
        <rFont val="宋体"/>
        <charset val="134"/>
      </rPr>
      <t>可编程脉冲数据点</t>
    </r>
    <r>
      <rPr>
        <sz val="10"/>
        <color theme="1"/>
        <rFont val="Consolas"/>
        <charset val="134"/>
      </rPr>
      <t>04</t>
    </r>
  </si>
  <si>
    <t>u16FlexPulData05</t>
  </si>
  <si>
    <r>
      <rPr>
        <sz val="10"/>
        <color theme="1"/>
        <rFont val="宋体"/>
        <charset val="134"/>
      </rPr>
      <t>可编程脉冲数据点</t>
    </r>
    <r>
      <rPr>
        <sz val="10"/>
        <color theme="1"/>
        <rFont val="Consolas"/>
        <charset val="134"/>
      </rPr>
      <t>05</t>
    </r>
  </si>
  <si>
    <t>u16FlexPulData06</t>
  </si>
  <si>
    <r>
      <rPr>
        <sz val="10"/>
        <color theme="1"/>
        <rFont val="宋体"/>
        <charset val="134"/>
      </rPr>
      <t>可编程脉冲数据点</t>
    </r>
    <r>
      <rPr>
        <sz val="10"/>
        <color theme="1"/>
        <rFont val="Consolas"/>
        <charset val="134"/>
      </rPr>
      <t>06</t>
    </r>
  </si>
  <si>
    <t>u16FlexPulData07</t>
  </si>
  <si>
    <r>
      <rPr>
        <sz val="10"/>
        <color theme="1"/>
        <rFont val="宋体"/>
        <charset val="134"/>
      </rPr>
      <t>可编程脉冲数据点</t>
    </r>
    <r>
      <rPr>
        <sz val="10"/>
        <color theme="1"/>
        <rFont val="Consolas"/>
        <charset val="134"/>
      </rPr>
      <t>07</t>
    </r>
  </si>
  <si>
    <t>u16FlexPulData08</t>
  </si>
  <si>
    <r>
      <rPr>
        <sz val="10"/>
        <color theme="1"/>
        <rFont val="宋体"/>
        <charset val="134"/>
      </rPr>
      <t>可编程脉冲数据点</t>
    </r>
    <r>
      <rPr>
        <sz val="10"/>
        <color theme="1"/>
        <rFont val="Consolas"/>
        <charset val="134"/>
      </rPr>
      <t>08</t>
    </r>
  </si>
  <si>
    <t>u16FlexPulData09</t>
  </si>
  <si>
    <r>
      <rPr>
        <sz val="10"/>
        <color theme="1"/>
        <rFont val="宋体"/>
        <charset val="134"/>
      </rPr>
      <t>可编程脉冲数据点</t>
    </r>
    <r>
      <rPr>
        <sz val="10"/>
        <color theme="1"/>
        <rFont val="Consolas"/>
        <charset val="134"/>
      </rPr>
      <t>09</t>
    </r>
  </si>
  <si>
    <t>u16FlexPulData10</t>
  </si>
  <si>
    <r>
      <rPr>
        <sz val="10"/>
        <color theme="1"/>
        <rFont val="宋体"/>
        <charset val="134"/>
      </rPr>
      <t>可编程脉冲数据点</t>
    </r>
    <r>
      <rPr>
        <sz val="10"/>
        <color theme="1"/>
        <rFont val="Consolas"/>
        <charset val="134"/>
      </rPr>
      <t>10</t>
    </r>
  </si>
  <si>
    <t>u16FlexPulData11</t>
  </si>
  <si>
    <r>
      <rPr>
        <sz val="10"/>
        <color theme="1"/>
        <rFont val="宋体"/>
        <charset val="134"/>
      </rPr>
      <t>可编程脉冲数据点</t>
    </r>
    <r>
      <rPr>
        <sz val="10"/>
        <color theme="1"/>
        <rFont val="Consolas"/>
        <charset val="134"/>
      </rPr>
      <t>11</t>
    </r>
  </si>
  <si>
    <t>u16FlexPulData12</t>
  </si>
  <si>
    <r>
      <rPr>
        <sz val="10"/>
        <color theme="1"/>
        <rFont val="宋体"/>
        <charset val="134"/>
      </rPr>
      <t>可编程脉冲数据点</t>
    </r>
    <r>
      <rPr>
        <sz val="10"/>
        <color theme="1"/>
        <rFont val="Consolas"/>
        <charset val="134"/>
      </rPr>
      <t>12</t>
    </r>
  </si>
  <si>
    <t>u16FlexPulData13</t>
  </si>
  <si>
    <r>
      <rPr>
        <sz val="10"/>
        <color theme="1"/>
        <rFont val="宋体"/>
        <charset val="134"/>
      </rPr>
      <t>可编程脉冲数据点</t>
    </r>
    <r>
      <rPr>
        <sz val="10"/>
        <color theme="1"/>
        <rFont val="Consolas"/>
        <charset val="134"/>
      </rPr>
      <t>13</t>
    </r>
  </si>
  <si>
    <t>u16FlexPulData14</t>
  </si>
  <si>
    <r>
      <rPr>
        <sz val="10"/>
        <color theme="1"/>
        <rFont val="宋体"/>
        <charset val="134"/>
      </rPr>
      <t>可编程脉冲数据点</t>
    </r>
    <r>
      <rPr>
        <sz val="10"/>
        <color theme="1"/>
        <rFont val="Consolas"/>
        <charset val="134"/>
      </rPr>
      <t>14</t>
    </r>
  </si>
  <si>
    <t>u16FlexPulData15</t>
  </si>
  <si>
    <r>
      <rPr>
        <sz val="10"/>
        <color theme="1"/>
        <rFont val="宋体"/>
        <charset val="134"/>
      </rPr>
      <t>可编程脉冲数据点</t>
    </r>
    <r>
      <rPr>
        <sz val="10"/>
        <color theme="1"/>
        <rFont val="Consolas"/>
        <charset val="134"/>
      </rPr>
      <t>15</t>
    </r>
  </si>
  <si>
    <t>u16FlexPulData16</t>
  </si>
  <si>
    <r>
      <rPr>
        <sz val="10"/>
        <color theme="1"/>
        <rFont val="宋体"/>
        <charset val="134"/>
      </rPr>
      <t>可编程脉冲数据点</t>
    </r>
    <r>
      <rPr>
        <sz val="10"/>
        <color theme="1"/>
        <rFont val="Consolas"/>
        <charset val="134"/>
      </rPr>
      <t>16</t>
    </r>
  </si>
  <si>
    <t>u16FlexPulData17</t>
  </si>
  <si>
    <r>
      <rPr>
        <sz val="10"/>
        <color theme="1"/>
        <rFont val="宋体"/>
        <charset val="134"/>
      </rPr>
      <t>可编程脉冲数据点</t>
    </r>
    <r>
      <rPr>
        <sz val="10"/>
        <color theme="1"/>
        <rFont val="Consolas"/>
        <charset val="134"/>
      </rPr>
      <t>17</t>
    </r>
  </si>
  <si>
    <t>u16FlexPulData18</t>
  </si>
  <si>
    <r>
      <rPr>
        <sz val="10"/>
        <color theme="1"/>
        <rFont val="宋体"/>
        <charset val="134"/>
      </rPr>
      <t>可编程脉冲数据点</t>
    </r>
    <r>
      <rPr>
        <sz val="10"/>
        <color theme="1"/>
        <rFont val="Consolas"/>
        <charset val="134"/>
      </rPr>
      <t>18</t>
    </r>
  </si>
  <si>
    <t>u16FlexPulData19</t>
  </si>
  <si>
    <r>
      <rPr>
        <sz val="10"/>
        <color theme="1"/>
        <rFont val="宋体"/>
        <charset val="134"/>
      </rPr>
      <t>可编程脉冲数据点</t>
    </r>
    <r>
      <rPr>
        <sz val="10"/>
        <color theme="1"/>
        <rFont val="Consolas"/>
        <charset val="134"/>
      </rPr>
      <t>19</t>
    </r>
  </si>
  <si>
    <t>u16FlexPulData20</t>
  </si>
  <si>
    <r>
      <rPr>
        <sz val="10"/>
        <color theme="1"/>
        <rFont val="宋体"/>
        <charset val="134"/>
      </rPr>
      <t>可编程脉冲数据点</t>
    </r>
    <r>
      <rPr>
        <sz val="10"/>
        <color theme="1"/>
        <rFont val="Consolas"/>
        <charset val="134"/>
      </rPr>
      <t>20</t>
    </r>
  </si>
  <si>
    <t>u16FlexPulData21</t>
  </si>
  <si>
    <r>
      <rPr>
        <sz val="10"/>
        <color theme="1"/>
        <rFont val="宋体"/>
        <charset val="134"/>
      </rPr>
      <t>可编程脉冲数据点</t>
    </r>
    <r>
      <rPr>
        <sz val="10"/>
        <color theme="1"/>
        <rFont val="Consolas"/>
        <charset val="134"/>
      </rPr>
      <t>21</t>
    </r>
  </si>
  <si>
    <t>u16FlexPulData22</t>
  </si>
  <si>
    <r>
      <rPr>
        <sz val="10"/>
        <color theme="1"/>
        <rFont val="宋体"/>
        <charset val="134"/>
      </rPr>
      <t>可编程脉冲数据点</t>
    </r>
    <r>
      <rPr>
        <sz val="10"/>
        <color theme="1"/>
        <rFont val="Consolas"/>
        <charset val="134"/>
      </rPr>
      <t>22</t>
    </r>
  </si>
  <si>
    <t>u16FlexPulData23</t>
  </si>
  <si>
    <r>
      <rPr>
        <sz val="10"/>
        <color theme="1"/>
        <rFont val="宋体"/>
        <charset val="134"/>
      </rPr>
      <t>可编程脉冲数据点</t>
    </r>
    <r>
      <rPr>
        <sz val="10"/>
        <color theme="1"/>
        <rFont val="Consolas"/>
        <charset val="134"/>
      </rPr>
      <t>23</t>
    </r>
  </si>
  <si>
    <t>u16FlexPulData24</t>
  </si>
  <si>
    <r>
      <rPr>
        <sz val="10"/>
        <color theme="1"/>
        <rFont val="宋体"/>
        <charset val="134"/>
      </rPr>
      <t>可编程脉冲数据点</t>
    </r>
    <r>
      <rPr>
        <sz val="10"/>
        <color theme="1"/>
        <rFont val="Consolas"/>
        <charset val="134"/>
      </rPr>
      <t>24</t>
    </r>
  </si>
  <si>
    <t>u16FlexPulData25</t>
  </si>
  <si>
    <r>
      <rPr>
        <sz val="10"/>
        <color theme="1"/>
        <rFont val="宋体"/>
        <charset val="134"/>
      </rPr>
      <t>可编程脉冲数据点</t>
    </r>
    <r>
      <rPr>
        <sz val="10"/>
        <color theme="1"/>
        <rFont val="Consolas"/>
        <charset val="134"/>
      </rPr>
      <t>25</t>
    </r>
  </si>
  <si>
    <t>u16FlexPulData26</t>
  </si>
  <si>
    <r>
      <rPr>
        <sz val="10"/>
        <color theme="1"/>
        <rFont val="宋体"/>
        <charset val="134"/>
      </rPr>
      <t>可编程脉冲数据点</t>
    </r>
    <r>
      <rPr>
        <sz val="10"/>
        <color theme="1"/>
        <rFont val="Consolas"/>
        <charset val="134"/>
      </rPr>
      <t>26</t>
    </r>
  </si>
  <si>
    <t>u16FlexPulData27</t>
  </si>
  <si>
    <r>
      <rPr>
        <sz val="10"/>
        <color theme="1"/>
        <rFont val="宋体"/>
        <charset val="134"/>
      </rPr>
      <t>可编程脉冲数据点</t>
    </r>
    <r>
      <rPr>
        <sz val="10"/>
        <color theme="1"/>
        <rFont val="Consolas"/>
        <charset val="134"/>
      </rPr>
      <t>27</t>
    </r>
  </si>
  <si>
    <t>u16FlexPulData28</t>
  </si>
  <si>
    <r>
      <rPr>
        <sz val="10"/>
        <color theme="1"/>
        <rFont val="宋体"/>
        <charset val="134"/>
      </rPr>
      <t>可编程脉冲数据点</t>
    </r>
    <r>
      <rPr>
        <sz val="10"/>
        <color theme="1"/>
        <rFont val="Consolas"/>
        <charset val="134"/>
      </rPr>
      <t>28</t>
    </r>
  </si>
  <si>
    <t>u16FlexPulData29</t>
  </si>
  <si>
    <r>
      <rPr>
        <sz val="10"/>
        <color theme="1"/>
        <rFont val="宋体"/>
        <charset val="134"/>
      </rPr>
      <t>可编程脉冲数据点</t>
    </r>
    <r>
      <rPr>
        <sz val="10"/>
        <color theme="1"/>
        <rFont val="Consolas"/>
        <charset val="134"/>
      </rPr>
      <t>29</t>
    </r>
  </si>
  <si>
    <t>u16FlexPulData30</t>
  </si>
  <si>
    <r>
      <rPr>
        <sz val="10"/>
        <color theme="1"/>
        <rFont val="宋体"/>
        <charset val="134"/>
      </rPr>
      <t>可编程脉冲数据点</t>
    </r>
    <r>
      <rPr>
        <sz val="10"/>
        <color theme="1"/>
        <rFont val="Consolas"/>
        <charset val="134"/>
      </rPr>
      <t>30</t>
    </r>
  </si>
  <si>
    <t>u16FlexPulData31</t>
  </si>
  <si>
    <r>
      <rPr>
        <sz val="10"/>
        <color theme="1"/>
        <rFont val="宋体"/>
        <charset val="134"/>
      </rPr>
      <t>可编程脉冲数据点</t>
    </r>
    <r>
      <rPr>
        <sz val="10"/>
        <color theme="1"/>
        <rFont val="Consolas"/>
        <charset val="134"/>
      </rPr>
      <t>31</t>
    </r>
  </si>
  <si>
    <t>u16FlexPulData32</t>
  </si>
  <si>
    <r>
      <rPr>
        <sz val="10"/>
        <color theme="1"/>
        <rFont val="宋体"/>
        <charset val="134"/>
      </rPr>
      <t>可编程脉冲数据点</t>
    </r>
    <r>
      <rPr>
        <sz val="10"/>
        <color theme="1"/>
        <rFont val="Consolas"/>
        <charset val="134"/>
      </rPr>
      <t>32</t>
    </r>
  </si>
  <si>
    <t>u16FlexPulData33</t>
  </si>
  <si>
    <r>
      <rPr>
        <sz val="10"/>
        <color theme="1"/>
        <rFont val="宋体"/>
        <charset val="134"/>
      </rPr>
      <t>可编程脉冲数据点</t>
    </r>
    <r>
      <rPr>
        <sz val="10"/>
        <color theme="1"/>
        <rFont val="Consolas"/>
        <charset val="134"/>
      </rPr>
      <t>33</t>
    </r>
  </si>
  <si>
    <t>u16FlexPulData34</t>
  </si>
  <si>
    <r>
      <rPr>
        <sz val="10"/>
        <color theme="1"/>
        <rFont val="宋体"/>
        <charset val="134"/>
      </rPr>
      <t>可编程脉冲数据点</t>
    </r>
    <r>
      <rPr>
        <sz val="10"/>
        <color theme="1"/>
        <rFont val="Consolas"/>
        <charset val="134"/>
      </rPr>
      <t>34</t>
    </r>
  </si>
  <si>
    <t>u16FlexPulData35</t>
  </si>
  <si>
    <r>
      <rPr>
        <sz val="10"/>
        <color theme="1"/>
        <rFont val="宋体"/>
        <charset val="134"/>
      </rPr>
      <t>可编程脉冲数据点</t>
    </r>
    <r>
      <rPr>
        <sz val="10"/>
        <color theme="1"/>
        <rFont val="Consolas"/>
        <charset val="134"/>
      </rPr>
      <t>35</t>
    </r>
  </si>
  <si>
    <t>u16FlexPulData36</t>
  </si>
  <si>
    <r>
      <rPr>
        <sz val="10"/>
        <color theme="1"/>
        <rFont val="宋体"/>
        <charset val="134"/>
      </rPr>
      <t>可编程脉冲数据点</t>
    </r>
    <r>
      <rPr>
        <sz val="10"/>
        <color theme="1"/>
        <rFont val="Consolas"/>
        <charset val="134"/>
      </rPr>
      <t>36</t>
    </r>
  </si>
  <si>
    <t>u16FlexPulData37</t>
  </si>
  <si>
    <r>
      <rPr>
        <sz val="10"/>
        <color theme="1"/>
        <rFont val="宋体"/>
        <charset val="134"/>
      </rPr>
      <t>可编程脉冲数据点</t>
    </r>
    <r>
      <rPr>
        <sz val="10"/>
        <color theme="1"/>
        <rFont val="Consolas"/>
        <charset val="134"/>
      </rPr>
      <t>37</t>
    </r>
  </si>
  <si>
    <t>u16FlexPulData38</t>
  </si>
  <si>
    <r>
      <rPr>
        <sz val="10"/>
        <color theme="1"/>
        <rFont val="宋体"/>
        <charset val="134"/>
      </rPr>
      <t>可编程脉冲数据点</t>
    </r>
    <r>
      <rPr>
        <sz val="10"/>
        <color theme="1"/>
        <rFont val="Consolas"/>
        <charset val="134"/>
      </rPr>
      <t>38</t>
    </r>
  </si>
  <si>
    <t>u16FlexPulData39</t>
  </si>
  <si>
    <r>
      <rPr>
        <sz val="10"/>
        <color theme="1"/>
        <rFont val="宋体"/>
        <charset val="134"/>
      </rPr>
      <t>可编程脉冲数据点</t>
    </r>
    <r>
      <rPr>
        <sz val="10"/>
        <color theme="1"/>
        <rFont val="Consolas"/>
        <charset val="134"/>
      </rPr>
      <t>39</t>
    </r>
  </si>
  <si>
    <t>u16FlexPulData40</t>
  </si>
  <si>
    <r>
      <rPr>
        <sz val="10"/>
        <color theme="1"/>
        <rFont val="宋体"/>
        <charset val="134"/>
      </rPr>
      <t>可编程脉冲数据点</t>
    </r>
    <r>
      <rPr>
        <sz val="10"/>
        <color theme="1"/>
        <rFont val="Consolas"/>
        <charset val="134"/>
      </rPr>
      <t>40</t>
    </r>
  </si>
  <si>
    <t>u16FlexPulData41</t>
  </si>
  <si>
    <r>
      <rPr>
        <sz val="10"/>
        <color theme="1"/>
        <rFont val="宋体"/>
        <charset val="134"/>
      </rPr>
      <t>可编程脉冲数据点</t>
    </r>
    <r>
      <rPr>
        <sz val="10"/>
        <color theme="1"/>
        <rFont val="Consolas"/>
        <charset val="134"/>
      </rPr>
      <t>41</t>
    </r>
  </si>
  <si>
    <t>u16FlexPulData42</t>
  </si>
  <si>
    <r>
      <rPr>
        <sz val="10"/>
        <color theme="1"/>
        <rFont val="宋体"/>
        <charset val="134"/>
      </rPr>
      <t>可编程脉冲数据点</t>
    </r>
    <r>
      <rPr>
        <sz val="10"/>
        <color theme="1"/>
        <rFont val="Consolas"/>
        <charset val="134"/>
      </rPr>
      <t>42</t>
    </r>
  </si>
  <si>
    <t>u16FlexPulData43</t>
  </si>
  <si>
    <r>
      <rPr>
        <sz val="10"/>
        <color theme="1"/>
        <rFont val="宋体"/>
        <charset val="134"/>
      </rPr>
      <t>可编程脉冲数据点</t>
    </r>
    <r>
      <rPr>
        <sz val="10"/>
        <color theme="1"/>
        <rFont val="Consolas"/>
        <charset val="134"/>
      </rPr>
      <t>43</t>
    </r>
  </si>
  <si>
    <t>u16FlexPulData44</t>
  </si>
  <si>
    <r>
      <rPr>
        <sz val="10"/>
        <color theme="1"/>
        <rFont val="宋体"/>
        <charset val="134"/>
      </rPr>
      <t>可编程脉冲数据点</t>
    </r>
    <r>
      <rPr>
        <sz val="10"/>
        <color theme="1"/>
        <rFont val="Consolas"/>
        <charset val="134"/>
      </rPr>
      <t>44</t>
    </r>
  </si>
  <si>
    <t>u16FlexPulData45</t>
  </si>
  <si>
    <r>
      <rPr>
        <sz val="10"/>
        <color theme="1"/>
        <rFont val="宋体"/>
        <charset val="134"/>
      </rPr>
      <t>可编程脉冲数据点</t>
    </r>
    <r>
      <rPr>
        <sz val="10"/>
        <color theme="1"/>
        <rFont val="Consolas"/>
        <charset val="134"/>
      </rPr>
      <t>45</t>
    </r>
  </si>
  <si>
    <t>u16FlexPulData46</t>
  </si>
  <si>
    <r>
      <rPr>
        <sz val="10"/>
        <color theme="1"/>
        <rFont val="宋体"/>
        <charset val="134"/>
      </rPr>
      <t>可编程脉冲数据点</t>
    </r>
    <r>
      <rPr>
        <sz val="10"/>
        <color theme="1"/>
        <rFont val="Consolas"/>
        <charset val="134"/>
      </rPr>
      <t>46</t>
    </r>
  </si>
  <si>
    <t>u16FlexPulData47</t>
  </si>
  <si>
    <r>
      <rPr>
        <sz val="10"/>
        <color theme="1"/>
        <rFont val="宋体"/>
        <charset val="134"/>
      </rPr>
      <t>可编程脉冲数据点</t>
    </r>
    <r>
      <rPr>
        <sz val="10"/>
        <color theme="1"/>
        <rFont val="Consolas"/>
        <charset val="134"/>
      </rPr>
      <t>47</t>
    </r>
  </si>
  <si>
    <t>u16FlexPulData48</t>
  </si>
  <si>
    <r>
      <rPr>
        <sz val="10"/>
        <color theme="1"/>
        <rFont val="宋体"/>
        <charset val="134"/>
      </rPr>
      <t>可编程脉冲数据点</t>
    </r>
    <r>
      <rPr>
        <sz val="10"/>
        <color theme="1"/>
        <rFont val="Consolas"/>
        <charset val="134"/>
      </rPr>
      <t>48</t>
    </r>
  </si>
  <si>
    <t>u16FlexPulData49</t>
  </si>
  <si>
    <r>
      <rPr>
        <sz val="10"/>
        <color theme="1"/>
        <rFont val="宋体"/>
        <charset val="134"/>
      </rPr>
      <t>可编程脉冲数据点</t>
    </r>
    <r>
      <rPr>
        <sz val="10"/>
        <color theme="1"/>
        <rFont val="Consolas"/>
        <charset val="134"/>
      </rPr>
      <t>49</t>
    </r>
  </si>
  <si>
    <t>u16FlexPulData50</t>
  </si>
  <si>
    <r>
      <rPr>
        <sz val="10"/>
        <color theme="1"/>
        <rFont val="宋体"/>
        <charset val="134"/>
      </rPr>
      <t>可编程脉冲数据点</t>
    </r>
    <r>
      <rPr>
        <sz val="10"/>
        <color theme="1"/>
        <rFont val="Consolas"/>
        <charset val="134"/>
      </rPr>
      <t>50</t>
    </r>
  </si>
  <si>
    <t>u16FlexPulData51</t>
  </si>
  <si>
    <r>
      <rPr>
        <sz val="10"/>
        <color theme="1"/>
        <rFont val="宋体"/>
        <charset val="134"/>
      </rPr>
      <t>可编程脉冲数据点</t>
    </r>
    <r>
      <rPr>
        <sz val="10"/>
        <color theme="1"/>
        <rFont val="Consolas"/>
        <charset val="134"/>
      </rPr>
      <t>51</t>
    </r>
  </si>
  <si>
    <t>u16FlexPulData52</t>
  </si>
  <si>
    <r>
      <rPr>
        <sz val="10"/>
        <color theme="1"/>
        <rFont val="宋体"/>
        <charset val="134"/>
      </rPr>
      <t>可编程脉冲数据点</t>
    </r>
    <r>
      <rPr>
        <sz val="10"/>
        <color theme="1"/>
        <rFont val="Consolas"/>
        <charset val="134"/>
      </rPr>
      <t>52</t>
    </r>
  </si>
  <si>
    <t>u16FlexPulData53</t>
  </si>
  <si>
    <r>
      <rPr>
        <sz val="10"/>
        <color theme="1"/>
        <rFont val="宋体"/>
        <charset val="134"/>
      </rPr>
      <t>可编程脉冲数据点</t>
    </r>
    <r>
      <rPr>
        <sz val="10"/>
        <color theme="1"/>
        <rFont val="Consolas"/>
        <charset val="134"/>
      </rPr>
      <t>53</t>
    </r>
  </si>
  <si>
    <t>u16FlexPulData54</t>
  </si>
  <si>
    <r>
      <rPr>
        <sz val="10"/>
        <color theme="1"/>
        <rFont val="宋体"/>
        <charset val="134"/>
      </rPr>
      <t>可编程脉冲数据点</t>
    </r>
    <r>
      <rPr>
        <sz val="10"/>
        <color theme="1"/>
        <rFont val="Consolas"/>
        <charset val="134"/>
      </rPr>
      <t>54</t>
    </r>
  </si>
  <si>
    <t>u16FlexPulData55</t>
  </si>
  <si>
    <r>
      <rPr>
        <sz val="10"/>
        <color theme="1"/>
        <rFont val="宋体"/>
        <charset val="134"/>
      </rPr>
      <t>可编程脉冲数据点</t>
    </r>
    <r>
      <rPr>
        <sz val="10"/>
        <color theme="1"/>
        <rFont val="Consolas"/>
        <charset val="134"/>
      </rPr>
      <t>55</t>
    </r>
  </si>
  <si>
    <t>u16FlexPulData56</t>
  </si>
  <si>
    <r>
      <rPr>
        <sz val="10"/>
        <color theme="1"/>
        <rFont val="宋体"/>
        <charset val="134"/>
      </rPr>
      <t>可编程脉冲数据点</t>
    </r>
    <r>
      <rPr>
        <sz val="10"/>
        <color theme="1"/>
        <rFont val="Consolas"/>
        <charset val="134"/>
      </rPr>
      <t>56</t>
    </r>
  </si>
  <si>
    <t>u16FlexPulData57</t>
  </si>
  <si>
    <r>
      <rPr>
        <sz val="10"/>
        <color theme="1"/>
        <rFont val="宋体"/>
        <charset val="134"/>
      </rPr>
      <t>可编程脉冲数据点</t>
    </r>
    <r>
      <rPr>
        <sz val="10"/>
        <color theme="1"/>
        <rFont val="Consolas"/>
        <charset val="134"/>
      </rPr>
      <t>57</t>
    </r>
  </si>
  <si>
    <t>u16FlexPulData58</t>
  </si>
  <si>
    <r>
      <rPr>
        <sz val="10"/>
        <color theme="1"/>
        <rFont val="宋体"/>
        <charset val="134"/>
      </rPr>
      <t>可编程脉冲数据点</t>
    </r>
    <r>
      <rPr>
        <sz val="10"/>
        <color theme="1"/>
        <rFont val="Consolas"/>
        <charset val="134"/>
      </rPr>
      <t>58</t>
    </r>
  </si>
  <si>
    <t>u16FlexPulData59</t>
  </si>
  <si>
    <r>
      <rPr>
        <sz val="10"/>
        <color theme="1"/>
        <rFont val="宋体"/>
        <charset val="134"/>
      </rPr>
      <t>可编程脉冲数据点</t>
    </r>
    <r>
      <rPr>
        <sz val="10"/>
        <color theme="1"/>
        <rFont val="Consolas"/>
        <charset val="134"/>
      </rPr>
      <t>59</t>
    </r>
  </si>
  <si>
    <t>u16FlexPulData60</t>
  </si>
  <si>
    <r>
      <rPr>
        <sz val="10"/>
        <color theme="1"/>
        <rFont val="宋体"/>
        <charset val="134"/>
      </rPr>
      <t>可编程脉冲数据点</t>
    </r>
    <r>
      <rPr>
        <sz val="10"/>
        <color theme="1"/>
        <rFont val="Consolas"/>
        <charset val="134"/>
      </rPr>
      <t>60</t>
    </r>
  </si>
  <si>
    <t>u16FlexPulData61</t>
  </si>
  <si>
    <r>
      <rPr>
        <sz val="10"/>
        <color theme="1"/>
        <rFont val="宋体"/>
        <charset val="134"/>
      </rPr>
      <t>可编程脉冲数据点</t>
    </r>
    <r>
      <rPr>
        <sz val="10"/>
        <color theme="1"/>
        <rFont val="Consolas"/>
        <charset val="134"/>
      </rPr>
      <t>61</t>
    </r>
  </si>
  <si>
    <t>u16FlexPulData62</t>
  </si>
  <si>
    <r>
      <rPr>
        <sz val="10"/>
        <color theme="1"/>
        <rFont val="宋体"/>
        <charset val="134"/>
      </rPr>
      <t>可编程脉冲数据点</t>
    </r>
    <r>
      <rPr>
        <sz val="10"/>
        <color theme="1"/>
        <rFont val="Consolas"/>
        <charset val="134"/>
      </rPr>
      <t>62</t>
    </r>
  </si>
  <si>
    <t>u16FlexPulData63</t>
  </si>
  <si>
    <r>
      <rPr>
        <sz val="10"/>
        <color theme="1"/>
        <rFont val="宋体"/>
        <charset val="134"/>
      </rPr>
      <t>可编程脉冲数据点</t>
    </r>
    <r>
      <rPr>
        <sz val="10"/>
        <color theme="1"/>
        <rFont val="Consolas"/>
        <charset val="134"/>
      </rPr>
      <t>63</t>
    </r>
  </si>
  <si>
    <t>eDi0FuncSel</t>
  </si>
  <si>
    <r>
      <rPr>
        <sz val="10"/>
        <color theme="1"/>
        <rFont val="Consolas"/>
        <charset val="134"/>
      </rPr>
      <t>DI0</t>
    </r>
    <r>
      <rPr>
        <sz val="10"/>
        <color theme="1"/>
        <rFont val="宋体"/>
        <charset val="134"/>
      </rPr>
      <t>功能选择</t>
    </r>
  </si>
  <si>
    <r>
      <rPr>
        <sz val="10"/>
        <color theme="1"/>
        <rFont val="Consolas"/>
        <charset val="134"/>
      </rPr>
      <t>0-</t>
    </r>
    <r>
      <rPr>
        <sz val="10"/>
        <color theme="1"/>
        <rFont val="宋体"/>
        <charset val="134"/>
      </rPr>
      <t>无功能</t>
    </r>
    <r>
      <rPr>
        <sz val="10"/>
        <color theme="1"/>
        <rFont val="Consolas"/>
        <charset val="134"/>
      </rPr>
      <t xml:space="preserve">
1-</t>
    </r>
    <r>
      <rPr>
        <sz val="10"/>
        <color theme="1"/>
        <rFont val="宋体"/>
        <charset val="134"/>
      </rPr>
      <t>信号输入点</t>
    </r>
  </si>
  <si>
    <t>u16Di0FltrTime</t>
  </si>
  <si>
    <r>
      <rPr>
        <sz val="10"/>
        <color theme="1"/>
        <rFont val="Consolas"/>
        <charset val="134"/>
      </rPr>
      <t>DI0</t>
    </r>
    <r>
      <rPr>
        <sz val="10"/>
        <color theme="1"/>
        <rFont val="宋体"/>
        <charset val="134"/>
      </rPr>
      <t>滤波时间</t>
    </r>
  </si>
  <si>
    <t>eDi0LogicLvl</t>
  </si>
  <si>
    <r>
      <rPr>
        <sz val="10"/>
        <color theme="1"/>
        <rFont val="Consolas"/>
        <charset val="134"/>
      </rPr>
      <t>DI0</t>
    </r>
    <r>
      <rPr>
        <sz val="10"/>
        <color theme="1"/>
        <rFont val="宋体"/>
        <charset val="134"/>
      </rPr>
      <t>逻辑电平</t>
    </r>
  </si>
  <si>
    <r>
      <rPr>
        <sz val="10"/>
        <color theme="1"/>
        <rFont val="Consolas"/>
        <charset val="134"/>
      </rPr>
      <t>0-</t>
    </r>
    <r>
      <rPr>
        <sz val="10"/>
        <color theme="1"/>
        <rFont val="宋体"/>
        <charset val="134"/>
      </rPr>
      <t>高电平为有效电平</t>
    </r>
    <r>
      <rPr>
        <sz val="10"/>
        <color theme="1"/>
        <rFont val="Consolas"/>
        <charset val="134"/>
      </rPr>
      <t xml:space="preserve">
1-</t>
    </r>
    <r>
      <rPr>
        <sz val="10"/>
        <color theme="1"/>
        <rFont val="宋体"/>
        <charset val="134"/>
      </rPr>
      <t>低电平为有效电平</t>
    </r>
  </si>
  <si>
    <t>eDi1FuncSel</t>
  </si>
  <si>
    <r>
      <rPr>
        <sz val="10"/>
        <color theme="1"/>
        <rFont val="Consolas"/>
        <charset val="134"/>
      </rPr>
      <t>DI1</t>
    </r>
    <r>
      <rPr>
        <sz val="10"/>
        <color theme="1"/>
        <rFont val="宋体"/>
        <charset val="134"/>
      </rPr>
      <t>功能选择</t>
    </r>
  </si>
  <si>
    <t>u16Di1FltrTime</t>
  </si>
  <si>
    <r>
      <rPr>
        <sz val="10"/>
        <color theme="1"/>
        <rFont val="Consolas"/>
        <charset val="134"/>
      </rPr>
      <t>DI1</t>
    </r>
    <r>
      <rPr>
        <sz val="10"/>
        <color theme="1"/>
        <rFont val="宋体"/>
        <charset val="134"/>
      </rPr>
      <t>滤波时间</t>
    </r>
  </si>
  <si>
    <t>eDi1LogicLvl</t>
  </si>
  <si>
    <r>
      <rPr>
        <sz val="10"/>
        <color theme="1"/>
        <rFont val="Consolas"/>
        <charset val="134"/>
      </rPr>
      <t>DI1</t>
    </r>
    <r>
      <rPr>
        <sz val="10"/>
        <color theme="1"/>
        <rFont val="宋体"/>
        <charset val="134"/>
      </rPr>
      <t>逻辑电平</t>
    </r>
  </si>
  <si>
    <t>eDi2FuncSel</t>
  </si>
  <si>
    <r>
      <rPr>
        <sz val="10"/>
        <color theme="1"/>
        <rFont val="Consolas"/>
        <charset val="134"/>
      </rPr>
      <t>DI2</t>
    </r>
    <r>
      <rPr>
        <sz val="10"/>
        <color theme="1"/>
        <rFont val="宋体"/>
        <charset val="134"/>
      </rPr>
      <t>功能选择</t>
    </r>
  </si>
  <si>
    <t>u16Di2FltrTime</t>
  </si>
  <si>
    <r>
      <rPr>
        <sz val="10"/>
        <color theme="1"/>
        <rFont val="Consolas"/>
        <charset val="134"/>
      </rPr>
      <t>DI2</t>
    </r>
    <r>
      <rPr>
        <sz val="10"/>
        <color theme="1"/>
        <rFont val="宋体"/>
        <charset val="134"/>
      </rPr>
      <t>滤波时间</t>
    </r>
  </si>
  <si>
    <t>eDi2LogicLvl</t>
  </si>
  <si>
    <r>
      <rPr>
        <sz val="10"/>
        <color theme="1"/>
        <rFont val="Consolas"/>
        <charset val="134"/>
      </rPr>
      <t>DI2</t>
    </r>
    <r>
      <rPr>
        <sz val="10"/>
        <color theme="1"/>
        <rFont val="宋体"/>
        <charset val="134"/>
      </rPr>
      <t>逻辑电平</t>
    </r>
  </si>
  <si>
    <t>eDi3FuncSel</t>
  </si>
  <si>
    <r>
      <rPr>
        <sz val="10"/>
        <color theme="1"/>
        <rFont val="Consolas"/>
        <charset val="134"/>
      </rPr>
      <t>DI3</t>
    </r>
    <r>
      <rPr>
        <sz val="10"/>
        <color theme="1"/>
        <rFont val="宋体"/>
        <charset val="134"/>
      </rPr>
      <t>功能选择</t>
    </r>
  </si>
  <si>
    <t>u16Di3FltrTime</t>
  </si>
  <si>
    <r>
      <rPr>
        <sz val="10"/>
        <color theme="1"/>
        <rFont val="Consolas"/>
        <charset val="134"/>
      </rPr>
      <t>DI3</t>
    </r>
    <r>
      <rPr>
        <sz val="10"/>
        <color theme="1"/>
        <rFont val="宋体"/>
        <charset val="134"/>
      </rPr>
      <t>滤波时间</t>
    </r>
  </si>
  <si>
    <t>eDi3LogicLvl</t>
  </si>
  <si>
    <r>
      <rPr>
        <sz val="10"/>
        <color theme="1"/>
        <rFont val="Consolas"/>
        <charset val="134"/>
      </rPr>
      <t>DI3</t>
    </r>
    <r>
      <rPr>
        <sz val="10"/>
        <color theme="1"/>
        <rFont val="宋体"/>
        <charset val="134"/>
      </rPr>
      <t>逻辑电平</t>
    </r>
  </si>
  <si>
    <t>eDi4FuncSel</t>
  </si>
  <si>
    <r>
      <rPr>
        <sz val="10"/>
        <color theme="1"/>
        <rFont val="Consolas"/>
        <charset val="134"/>
      </rPr>
      <t>DI4</t>
    </r>
    <r>
      <rPr>
        <sz val="10"/>
        <color theme="1"/>
        <rFont val="宋体"/>
        <charset val="134"/>
      </rPr>
      <t>功能选择</t>
    </r>
  </si>
  <si>
    <t>u16Di4FltrTime</t>
  </si>
  <si>
    <r>
      <rPr>
        <sz val="10"/>
        <color theme="1"/>
        <rFont val="Consolas"/>
        <charset val="134"/>
      </rPr>
      <t>DI4</t>
    </r>
    <r>
      <rPr>
        <sz val="10"/>
        <color theme="1"/>
        <rFont val="宋体"/>
        <charset val="134"/>
      </rPr>
      <t>滤波时间</t>
    </r>
  </si>
  <si>
    <t>eDi4LogicLvl</t>
  </si>
  <si>
    <r>
      <rPr>
        <sz val="10"/>
        <color theme="1"/>
        <rFont val="Consolas"/>
        <charset val="134"/>
      </rPr>
      <t>DI4</t>
    </r>
    <r>
      <rPr>
        <sz val="10"/>
        <color theme="1"/>
        <rFont val="宋体"/>
        <charset val="134"/>
      </rPr>
      <t>逻辑电平</t>
    </r>
  </si>
  <si>
    <t>eDi5FuncSel</t>
  </si>
  <si>
    <r>
      <rPr>
        <sz val="10"/>
        <color theme="1"/>
        <rFont val="Consolas"/>
        <charset val="134"/>
      </rPr>
      <t>DI5</t>
    </r>
    <r>
      <rPr>
        <sz val="10"/>
        <color theme="1"/>
        <rFont val="宋体"/>
        <charset val="134"/>
      </rPr>
      <t>功能选择</t>
    </r>
  </si>
  <si>
    <t>u16Di5FltrTime</t>
  </si>
  <si>
    <r>
      <rPr>
        <sz val="10"/>
        <color theme="1"/>
        <rFont val="Consolas"/>
        <charset val="134"/>
      </rPr>
      <t>DI5</t>
    </r>
    <r>
      <rPr>
        <sz val="10"/>
        <color theme="1"/>
        <rFont val="宋体"/>
        <charset val="134"/>
      </rPr>
      <t>滤波时间</t>
    </r>
  </si>
  <si>
    <t>eDi5LogicLvl</t>
  </si>
  <si>
    <r>
      <rPr>
        <sz val="10"/>
        <color theme="1"/>
        <rFont val="Consolas"/>
        <charset val="134"/>
      </rPr>
      <t>DI5</t>
    </r>
    <r>
      <rPr>
        <sz val="10"/>
        <color theme="1"/>
        <rFont val="宋体"/>
        <charset val="134"/>
      </rPr>
      <t>逻辑电平</t>
    </r>
  </si>
  <si>
    <t>eDi6FuncSel</t>
  </si>
  <si>
    <r>
      <rPr>
        <sz val="10"/>
        <color theme="1"/>
        <rFont val="Consolas"/>
        <charset val="134"/>
      </rPr>
      <t>DI6</t>
    </r>
    <r>
      <rPr>
        <sz val="10"/>
        <color theme="1"/>
        <rFont val="宋体"/>
        <charset val="134"/>
      </rPr>
      <t>功能选择</t>
    </r>
  </si>
  <si>
    <t>u16Di6FltrTime</t>
  </si>
  <si>
    <r>
      <rPr>
        <sz val="10"/>
        <color theme="1"/>
        <rFont val="Consolas"/>
        <charset val="134"/>
      </rPr>
      <t>DI6</t>
    </r>
    <r>
      <rPr>
        <sz val="10"/>
        <color theme="1"/>
        <rFont val="宋体"/>
        <charset val="134"/>
      </rPr>
      <t>滤波时间</t>
    </r>
  </si>
  <si>
    <t>eDi6LogicLvl</t>
  </si>
  <si>
    <r>
      <rPr>
        <sz val="10"/>
        <color theme="1"/>
        <rFont val="Consolas"/>
        <charset val="134"/>
      </rPr>
      <t>DI6</t>
    </r>
    <r>
      <rPr>
        <sz val="10"/>
        <color theme="1"/>
        <rFont val="宋体"/>
        <charset val="134"/>
      </rPr>
      <t>逻辑电平</t>
    </r>
  </si>
  <si>
    <t>u16DoStateSet</t>
  </si>
  <si>
    <r>
      <rPr>
        <sz val="10"/>
        <color theme="1"/>
        <rFont val="Consolas"/>
        <charset val="134"/>
      </rPr>
      <t>DO</t>
    </r>
    <r>
      <rPr>
        <sz val="10"/>
        <color theme="1"/>
        <rFont val="宋体"/>
        <charset val="134"/>
      </rPr>
      <t>输出设置</t>
    </r>
  </si>
  <si>
    <r>
      <rPr>
        <sz val="10"/>
        <color theme="1"/>
        <rFont val="Consolas"/>
        <charset val="134"/>
      </rPr>
      <t>DO</t>
    </r>
    <r>
      <rPr>
        <sz val="10"/>
        <color theme="1"/>
        <rFont val="宋体"/>
        <charset val="134"/>
      </rPr>
      <t>输出状态设定（仅在</t>
    </r>
    <r>
      <rPr>
        <sz val="10"/>
        <color theme="1"/>
        <rFont val="Consolas"/>
        <charset val="134"/>
      </rPr>
      <t>DO</t>
    </r>
    <r>
      <rPr>
        <sz val="10"/>
        <color theme="1"/>
        <rFont val="宋体"/>
        <charset val="134"/>
      </rPr>
      <t>选择为信号输出点时生效）</t>
    </r>
    <r>
      <rPr>
        <sz val="10"/>
        <color theme="1"/>
        <rFont val="Consolas"/>
        <charset val="134"/>
      </rPr>
      <t xml:space="preserve">
bit0-DO0
bit1-DO1</t>
    </r>
  </si>
  <si>
    <t>eDo0FuncSel</t>
  </si>
  <si>
    <t>7</t>
  </si>
  <si>
    <r>
      <rPr>
        <sz val="10"/>
        <color theme="1"/>
        <rFont val="Consolas"/>
        <charset val="134"/>
      </rPr>
      <t>DO0</t>
    </r>
    <r>
      <rPr>
        <sz val="10"/>
        <color theme="1"/>
        <rFont val="宋体"/>
        <charset val="134"/>
      </rPr>
      <t>功能选择</t>
    </r>
  </si>
  <si>
    <r>
      <rPr>
        <sz val="10"/>
        <color theme="1"/>
        <rFont val="Consolas"/>
        <charset val="134"/>
      </rPr>
      <t>0-</t>
    </r>
    <r>
      <rPr>
        <sz val="10"/>
        <color theme="1"/>
        <rFont val="宋体"/>
        <charset val="134"/>
      </rPr>
      <t>无功能</t>
    </r>
    <r>
      <rPr>
        <sz val="10"/>
        <color theme="1"/>
        <rFont val="Consolas"/>
        <charset val="134"/>
      </rPr>
      <t xml:space="preserve">
1-</t>
    </r>
    <r>
      <rPr>
        <sz val="10"/>
        <color theme="1"/>
        <rFont val="宋体"/>
        <charset val="134"/>
      </rPr>
      <t>信号输出点</t>
    </r>
    <r>
      <rPr>
        <sz val="10"/>
        <color theme="1"/>
        <rFont val="Consolas"/>
        <charset val="134"/>
      </rPr>
      <t xml:space="preserve">
2-</t>
    </r>
    <r>
      <rPr>
        <sz val="10"/>
        <color theme="1"/>
        <rFont val="宋体"/>
        <charset val="134"/>
      </rPr>
      <t>同步</t>
    </r>
    <r>
      <rPr>
        <sz val="10"/>
        <color theme="1"/>
        <rFont val="Consolas"/>
        <charset val="134"/>
      </rPr>
      <t>DI0</t>
    </r>
    <r>
      <rPr>
        <sz val="10"/>
        <color theme="1"/>
        <rFont val="宋体"/>
        <charset val="134"/>
      </rPr>
      <t>输入状态</t>
    </r>
    <r>
      <rPr>
        <sz val="10"/>
        <color theme="1"/>
        <rFont val="Consolas"/>
        <charset val="134"/>
      </rPr>
      <t xml:space="preserve">
3-</t>
    </r>
    <r>
      <rPr>
        <sz val="10"/>
        <color theme="1"/>
        <rFont val="宋体"/>
        <charset val="134"/>
      </rPr>
      <t>同步</t>
    </r>
    <r>
      <rPr>
        <sz val="10"/>
        <color theme="1"/>
        <rFont val="Consolas"/>
        <charset val="134"/>
      </rPr>
      <t>DI1</t>
    </r>
    <r>
      <rPr>
        <sz val="10"/>
        <color theme="1"/>
        <rFont val="宋体"/>
        <charset val="134"/>
      </rPr>
      <t>输入状态</t>
    </r>
    <r>
      <rPr>
        <sz val="10"/>
        <color theme="1"/>
        <rFont val="Consolas"/>
        <charset val="134"/>
      </rPr>
      <t xml:space="preserve">
4-</t>
    </r>
    <r>
      <rPr>
        <sz val="10"/>
        <color theme="1"/>
        <rFont val="宋体"/>
        <charset val="134"/>
      </rPr>
      <t>同步</t>
    </r>
    <r>
      <rPr>
        <sz val="10"/>
        <color theme="1"/>
        <rFont val="Consolas"/>
        <charset val="134"/>
      </rPr>
      <t>DI2</t>
    </r>
    <r>
      <rPr>
        <sz val="10"/>
        <color theme="1"/>
        <rFont val="宋体"/>
        <charset val="134"/>
      </rPr>
      <t>输入状态</t>
    </r>
    <r>
      <rPr>
        <sz val="10"/>
        <color theme="1"/>
        <rFont val="Consolas"/>
        <charset val="134"/>
      </rPr>
      <t xml:space="preserve">
5-</t>
    </r>
    <r>
      <rPr>
        <sz val="10"/>
        <color theme="1"/>
        <rFont val="宋体"/>
        <charset val="134"/>
      </rPr>
      <t>同步</t>
    </r>
    <r>
      <rPr>
        <sz val="10"/>
        <color theme="1"/>
        <rFont val="Consolas"/>
        <charset val="134"/>
      </rPr>
      <t>DI3</t>
    </r>
    <r>
      <rPr>
        <sz val="10"/>
        <color theme="1"/>
        <rFont val="宋体"/>
        <charset val="134"/>
      </rPr>
      <t>输入状态</t>
    </r>
    <r>
      <rPr>
        <sz val="10"/>
        <color theme="1"/>
        <rFont val="Consolas"/>
        <charset val="134"/>
      </rPr>
      <t xml:space="preserve">
6-</t>
    </r>
    <r>
      <rPr>
        <sz val="10"/>
        <color theme="1"/>
        <rFont val="宋体"/>
        <charset val="134"/>
      </rPr>
      <t>同步</t>
    </r>
    <r>
      <rPr>
        <sz val="10"/>
        <color theme="1"/>
        <rFont val="Consolas"/>
        <charset val="134"/>
      </rPr>
      <t>DI4</t>
    </r>
    <r>
      <rPr>
        <sz val="10"/>
        <color theme="1"/>
        <rFont val="宋体"/>
        <charset val="134"/>
      </rPr>
      <t>输入状态</t>
    </r>
    <r>
      <rPr>
        <sz val="10"/>
        <color theme="1"/>
        <rFont val="Consolas"/>
        <charset val="134"/>
      </rPr>
      <t xml:space="preserve">
7-</t>
    </r>
    <r>
      <rPr>
        <sz val="10"/>
        <color theme="1"/>
        <rFont val="宋体"/>
        <charset val="134"/>
      </rPr>
      <t>同步</t>
    </r>
    <r>
      <rPr>
        <sz val="10"/>
        <color theme="1"/>
        <rFont val="Consolas"/>
        <charset val="134"/>
      </rPr>
      <t>DI5</t>
    </r>
    <r>
      <rPr>
        <sz val="10"/>
        <color theme="1"/>
        <rFont val="宋体"/>
        <charset val="134"/>
      </rPr>
      <t>输入状态</t>
    </r>
  </si>
  <si>
    <t>eDo0LogicLvl</t>
  </si>
  <si>
    <r>
      <rPr>
        <sz val="10"/>
        <color theme="1"/>
        <rFont val="Consolas"/>
        <charset val="134"/>
      </rPr>
      <t>DO0</t>
    </r>
    <r>
      <rPr>
        <sz val="10"/>
        <color theme="1"/>
        <rFont val="宋体"/>
        <charset val="134"/>
      </rPr>
      <t>逻辑电平</t>
    </r>
  </si>
  <si>
    <t>eDo1FuncSel</t>
  </si>
  <si>
    <r>
      <rPr>
        <sz val="10"/>
        <color theme="1"/>
        <rFont val="Consolas"/>
        <charset val="134"/>
      </rPr>
      <t>DO1</t>
    </r>
    <r>
      <rPr>
        <sz val="10"/>
        <color theme="1"/>
        <rFont val="宋体"/>
        <charset val="134"/>
      </rPr>
      <t>功能选择</t>
    </r>
  </si>
  <si>
    <t>eDo1LogicLvl</t>
  </si>
  <si>
    <r>
      <rPr>
        <sz val="10"/>
        <color theme="1"/>
        <rFont val="Consolas"/>
        <charset val="134"/>
      </rPr>
      <t>DO1</t>
    </r>
    <r>
      <rPr>
        <sz val="10"/>
        <color theme="1"/>
        <rFont val="宋体"/>
        <charset val="134"/>
      </rPr>
      <t>逻辑电平</t>
    </r>
  </si>
  <si>
    <t>s16TempMcuSi</t>
  </si>
  <si>
    <r>
      <rPr>
        <sz val="10"/>
        <color theme="1"/>
        <rFont val="Consolas"/>
        <charset val="134"/>
      </rPr>
      <t>0.1</t>
    </r>
    <r>
      <rPr>
        <sz val="10"/>
        <color theme="1"/>
        <rFont val="宋体"/>
        <charset val="134"/>
      </rPr>
      <t>℃</t>
    </r>
  </si>
  <si>
    <r>
      <rPr>
        <sz val="10"/>
        <color theme="1"/>
        <rFont val="宋体"/>
        <charset val="134"/>
      </rPr>
      <t>主控温度物理量</t>
    </r>
  </si>
  <si>
    <t>Comm</t>
  </si>
  <si>
    <r>
      <rPr>
        <sz val="10"/>
        <color theme="1"/>
        <rFont val="宋体"/>
        <charset val="134"/>
      </rPr>
      <t>通讯交互</t>
    </r>
  </si>
  <si>
    <t>u16MbSlvId</t>
  </si>
  <si>
    <t>247</t>
  </si>
  <si>
    <r>
      <rPr>
        <sz val="10"/>
        <color theme="1"/>
        <rFont val="宋体"/>
        <charset val="134"/>
      </rPr>
      <t>读写</t>
    </r>
    <r>
      <rPr>
        <sz val="10"/>
        <color theme="1"/>
        <rFont val="Consolas"/>
        <charset val="134"/>
      </rPr>
      <t xml:space="preserve"> - </t>
    </r>
    <r>
      <rPr>
        <sz val="10"/>
        <color theme="1"/>
        <rFont val="宋体"/>
        <charset val="134"/>
      </rPr>
      <t>立即更改，重启生效</t>
    </r>
  </si>
  <si>
    <r>
      <rPr>
        <sz val="10"/>
        <color theme="1"/>
        <rFont val="Consolas"/>
        <charset val="134"/>
      </rPr>
      <t>Modbus-</t>
    </r>
    <r>
      <rPr>
        <sz val="10"/>
        <color theme="1"/>
        <rFont val="宋体"/>
        <charset val="134"/>
      </rPr>
      <t>从站节点</t>
    </r>
    <r>
      <rPr>
        <sz val="10"/>
        <color theme="1"/>
        <rFont val="Consolas"/>
        <charset val="134"/>
      </rPr>
      <t>ID</t>
    </r>
  </si>
  <si>
    <t>u32MbBaudrate</t>
  </si>
  <si>
    <t>19200</t>
  </si>
  <si>
    <t>1000000</t>
  </si>
  <si>
    <r>
      <rPr>
        <sz val="10"/>
        <color theme="1"/>
        <rFont val="Consolas"/>
        <charset val="134"/>
      </rPr>
      <t>Modbus-</t>
    </r>
    <r>
      <rPr>
        <sz val="10"/>
        <color theme="1"/>
        <rFont val="宋体"/>
        <charset val="134"/>
      </rPr>
      <t>从站波特率</t>
    </r>
  </si>
  <si>
    <t>u16MbParity</t>
  </si>
  <si>
    <r>
      <rPr>
        <sz val="10"/>
        <color theme="1"/>
        <rFont val="Consolas"/>
        <charset val="134"/>
      </rPr>
      <t>Modbus-</t>
    </r>
    <r>
      <rPr>
        <sz val="10"/>
        <color theme="1"/>
        <rFont val="宋体"/>
        <charset val="134"/>
      </rPr>
      <t>从站检验位</t>
    </r>
  </si>
  <si>
    <r>
      <rPr>
        <sz val="10"/>
        <color theme="1"/>
        <rFont val="Consolas"/>
        <charset val="134"/>
      </rPr>
      <t>0-</t>
    </r>
    <r>
      <rPr>
        <sz val="10"/>
        <color theme="1"/>
        <rFont val="宋体"/>
        <charset val="134"/>
      </rPr>
      <t>无校验</t>
    </r>
    <r>
      <rPr>
        <sz val="10"/>
        <color theme="1"/>
        <rFont val="Consolas"/>
        <charset val="134"/>
      </rPr>
      <t xml:space="preserve">
1-</t>
    </r>
    <r>
      <rPr>
        <sz val="10"/>
        <color theme="1"/>
        <rFont val="宋体"/>
        <charset val="134"/>
      </rPr>
      <t>奇校验</t>
    </r>
    <r>
      <rPr>
        <sz val="10"/>
        <color theme="1"/>
        <rFont val="Consolas"/>
        <charset val="134"/>
      </rPr>
      <t xml:space="preserve">
2-</t>
    </r>
    <r>
      <rPr>
        <sz val="10"/>
        <color theme="1"/>
        <rFont val="宋体"/>
        <charset val="134"/>
      </rPr>
      <t>偶校验</t>
    </r>
  </si>
  <si>
    <t>u16MbMstEndian</t>
  </si>
  <si>
    <r>
      <rPr>
        <sz val="10"/>
        <color theme="1"/>
        <rFont val="Consolas"/>
        <charset val="134"/>
      </rPr>
      <t>Modbus-</t>
    </r>
    <r>
      <rPr>
        <sz val="10"/>
        <color theme="1"/>
        <rFont val="宋体"/>
        <charset val="134"/>
      </rPr>
      <t>主站大小端</t>
    </r>
  </si>
  <si>
    <r>
      <rPr>
        <sz val="10"/>
        <color theme="1"/>
        <rFont val="Consolas"/>
        <charset val="134"/>
      </rPr>
      <t>0-</t>
    </r>
    <r>
      <rPr>
        <sz val="10"/>
        <color theme="1"/>
        <rFont val="宋体"/>
        <charset val="134"/>
      </rPr>
      <t>小端</t>
    </r>
    <r>
      <rPr>
        <sz val="10"/>
        <color theme="1"/>
        <rFont val="Consolas"/>
        <charset val="134"/>
      </rPr>
      <t xml:space="preserve">
1-</t>
    </r>
    <r>
      <rPr>
        <sz val="10"/>
        <color theme="1"/>
        <rFont val="宋体"/>
        <charset val="134"/>
      </rPr>
      <t>大端</t>
    </r>
  </si>
  <si>
    <t>u16MbDisconnTime</t>
  </si>
  <si>
    <t>5000</t>
  </si>
  <si>
    <t>U16_MIN</t>
  </si>
  <si>
    <t>ms</t>
  </si>
  <si>
    <r>
      <rPr>
        <sz val="10"/>
        <color theme="1"/>
        <rFont val="Consolas"/>
        <charset val="134"/>
      </rPr>
      <t>Modbus-</t>
    </r>
    <r>
      <rPr>
        <sz val="10"/>
        <color theme="1"/>
        <rFont val="宋体"/>
        <charset val="134"/>
      </rPr>
      <t>通讯断开检测时间</t>
    </r>
  </si>
  <si>
    <t>u16MbResponseDelay</t>
  </si>
  <si>
    <r>
      <rPr>
        <sz val="10"/>
        <color theme="1"/>
        <rFont val="Consolas"/>
        <charset val="134"/>
      </rPr>
      <t>Modbus-</t>
    </r>
    <r>
      <rPr>
        <sz val="10"/>
        <color theme="1"/>
        <rFont val="宋体"/>
        <charset val="134"/>
      </rPr>
      <t>命令响应延时</t>
    </r>
    <r>
      <rPr>
        <sz val="10"/>
        <color theme="1"/>
        <rFont val="Consolas"/>
        <charset val="134"/>
      </rPr>
      <t xml:space="preserve"> </t>
    </r>
  </si>
  <si>
    <t>u16TunerBuff01</t>
  </si>
  <si>
    <t>u16TunerBuff02</t>
  </si>
  <si>
    <t>u16TunerBuff03</t>
  </si>
  <si>
    <t>u16TunerBuff04</t>
  </si>
  <si>
    <t>u16TunerBuff05</t>
  </si>
  <si>
    <t>u16TunerBuff06</t>
  </si>
  <si>
    <t>u16TunerBuff07</t>
  </si>
  <si>
    <t>u16TunerBuff08</t>
  </si>
  <si>
    <t>u16TunerBuff09</t>
  </si>
  <si>
    <t>u16TunerBuff10</t>
  </si>
  <si>
    <t>u16TunerBuff11</t>
  </si>
  <si>
    <t>u16TunerBuff12</t>
  </si>
  <si>
    <t>u16TunerBuff13</t>
  </si>
  <si>
    <t>u16TunerBuff14</t>
  </si>
  <si>
    <t>u16TunerBuff15</t>
  </si>
  <si>
    <t>u16TunerBuff16</t>
  </si>
  <si>
    <t>u16TunerBuff17</t>
  </si>
  <si>
    <t>u16TunerBuff18</t>
  </si>
  <si>
    <t>u16TunerBuff19</t>
  </si>
  <si>
    <t>u16TunerBuff20</t>
  </si>
  <si>
    <t>u16TunerBuff21</t>
  </si>
  <si>
    <t>u16TunerBuff22</t>
  </si>
  <si>
    <t>u16TunerBuff23</t>
  </si>
  <si>
    <t>u16TunerBuff24</t>
  </si>
  <si>
    <t>u16TunerBuff25</t>
  </si>
  <si>
    <t>Alarm</t>
  </si>
  <si>
    <r>
      <rPr>
        <sz val="10"/>
        <color theme="1"/>
        <rFont val="宋体"/>
        <charset val="134"/>
      </rPr>
      <t>报警</t>
    </r>
  </si>
  <si>
    <t>u16AlmCodeSeq</t>
  </si>
  <si>
    <r>
      <rPr>
        <sz val="10"/>
        <color theme="1"/>
        <rFont val="宋体"/>
        <charset val="134"/>
      </rPr>
      <t>当前所有报警代码轮巡</t>
    </r>
  </si>
  <si>
    <t>u16LastAlmCode</t>
  </si>
  <si>
    <r>
      <rPr>
        <sz val="10"/>
        <color theme="1"/>
        <rFont val="宋体"/>
        <charset val="134"/>
      </rPr>
      <t>最新报警代码</t>
    </r>
  </si>
  <si>
    <t>u16HisAlmCode01</t>
  </si>
  <si>
    <r>
      <rPr>
        <sz val="10"/>
        <color theme="1"/>
        <rFont val="宋体"/>
        <charset val="134"/>
      </rPr>
      <t>历史报警代码</t>
    </r>
    <r>
      <rPr>
        <sz val="10"/>
        <color theme="1"/>
        <rFont val="Consolas"/>
        <charset val="134"/>
      </rPr>
      <t>01</t>
    </r>
  </si>
  <si>
    <t>u16HisAlmCode02</t>
  </si>
  <si>
    <r>
      <rPr>
        <sz val="10"/>
        <color theme="1"/>
        <rFont val="宋体"/>
        <charset val="134"/>
      </rPr>
      <t>历史报警代码</t>
    </r>
    <r>
      <rPr>
        <sz val="10"/>
        <color theme="1"/>
        <rFont val="Consolas"/>
        <charset val="134"/>
      </rPr>
      <t>02</t>
    </r>
  </si>
  <si>
    <t>u16HisAlmCode03</t>
  </si>
  <si>
    <r>
      <rPr>
        <sz val="10"/>
        <color theme="1"/>
        <rFont val="宋体"/>
        <charset val="134"/>
      </rPr>
      <t>历史报警代码</t>
    </r>
    <r>
      <rPr>
        <sz val="10"/>
        <color theme="1"/>
        <rFont val="Consolas"/>
        <charset val="134"/>
      </rPr>
      <t>03</t>
    </r>
  </si>
  <si>
    <t>u16HisAlmCode04</t>
  </si>
  <si>
    <r>
      <rPr>
        <sz val="10"/>
        <color theme="1"/>
        <rFont val="宋体"/>
        <charset val="134"/>
      </rPr>
      <t>历史报警代码</t>
    </r>
    <r>
      <rPr>
        <sz val="10"/>
        <color theme="1"/>
        <rFont val="Consolas"/>
        <charset val="134"/>
      </rPr>
      <t>04</t>
    </r>
  </si>
  <si>
    <t>u16HisAlmCode05</t>
  </si>
  <si>
    <r>
      <rPr>
        <sz val="10"/>
        <color theme="1"/>
        <rFont val="宋体"/>
        <charset val="134"/>
      </rPr>
      <t>历史报警代码</t>
    </r>
    <r>
      <rPr>
        <sz val="10"/>
        <color theme="1"/>
        <rFont val="Consolas"/>
        <charset val="134"/>
      </rPr>
      <t>05</t>
    </r>
  </si>
  <si>
    <t>u32HisAlmTime01</t>
  </si>
  <si>
    <r>
      <rPr>
        <sz val="10"/>
        <color theme="1"/>
        <rFont val="宋体"/>
        <charset val="134"/>
      </rPr>
      <t>历史报警时间戳</t>
    </r>
    <r>
      <rPr>
        <sz val="10"/>
        <color theme="1"/>
        <rFont val="Consolas"/>
        <charset val="134"/>
      </rPr>
      <t>01</t>
    </r>
  </si>
  <si>
    <t>u32HisAlmTime02</t>
  </si>
  <si>
    <r>
      <rPr>
        <sz val="10"/>
        <color theme="1"/>
        <rFont val="宋体"/>
        <charset val="134"/>
      </rPr>
      <t>历史报警时间戳</t>
    </r>
    <r>
      <rPr>
        <sz val="10"/>
        <color theme="1"/>
        <rFont val="Consolas"/>
        <charset val="134"/>
      </rPr>
      <t>02</t>
    </r>
  </si>
  <si>
    <t>u32HisAlmTime03</t>
  </si>
  <si>
    <r>
      <rPr>
        <sz val="10"/>
        <color theme="1"/>
        <rFont val="宋体"/>
        <charset val="134"/>
      </rPr>
      <t>历史报警时间戳</t>
    </r>
    <r>
      <rPr>
        <sz val="10"/>
        <color theme="1"/>
        <rFont val="Consolas"/>
        <charset val="134"/>
      </rPr>
      <t>03</t>
    </r>
  </si>
  <si>
    <t>u32HisAlmTime04</t>
  </si>
  <si>
    <r>
      <rPr>
        <sz val="10"/>
        <color theme="1"/>
        <rFont val="宋体"/>
        <charset val="134"/>
      </rPr>
      <t>历史报警时间戳</t>
    </r>
    <r>
      <rPr>
        <sz val="10"/>
        <color theme="1"/>
        <rFont val="Consolas"/>
        <charset val="134"/>
      </rPr>
      <t>04</t>
    </r>
  </si>
  <si>
    <t>u32HisAlmTime05</t>
  </si>
  <si>
    <r>
      <rPr>
        <sz val="10"/>
        <color theme="1"/>
        <rFont val="宋体"/>
        <charset val="134"/>
      </rPr>
      <t>历史报警时间戳</t>
    </r>
    <r>
      <rPr>
        <sz val="10"/>
        <color theme="1"/>
        <rFont val="Consolas"/>
        <charset val="134"/>
      </rPr>
      <t>05</t>
    </r>
  </si>
  <si>
    <t>eSysState</t>
  </si>
  <si>
    <t>4</t>
  </si>
  <si>
    <r>
      <rPr>
        <sz val="10"/>
        <color theme="1"/>
        <rFont val="宋体"/>
        <charset val="134"/>
      </rPr>
      <t>系统状态</t>
    </r>
  </si>
  <si>
    <r>
      <rPr>
        <sz val="10"/>
        <color theme="1"/>
        <rFont val="Consolas"/>
        <charset val="134"/>
      </rPr>
      <t>0-</t>
    </r>
    <r>
      <rPr>
        <sz val="10"/>
        <color theme="1"/>
        <rFont val="宋体"/>
        <charset val="134"/>
      </rPr>
      <t>初始化</t>
    </r>
    <r>
      <rPr>
        <sz val="10"/>
        <color theme="1"/>
        <rFont val="Consolas"/>
        <charset val="134"/>
      </rPr>
      <t xml:space="preserve">
1-</t>
    </r>
    <r>
      <rPr>
        <sz val="10"/>
        <color theme="1"/>
        <rFont val="宋体"/>
        <charset val="134"/>
      </rPr>
      <t>准备</t>
    </r>
    <r>
      <rPr>
        <sz val="10"/>
        <color theme="1"/>
        <rFont val="Consolas"/>
        <charset val="134"/>
      </rPr>
      <t xml:space="preserve">
2-</t>
    </r>
    <r>
      <rPr>
        <sz val="10"/>
        <color theme="1"/>
        <rFont val="宋体"/>
        <charset val="134"/>
      </rPr>
      <t>就绪</t>
    </r>
    <r>
      <rPr>
        <sz val="10"/>
        <color theme="1"/>
        <rFont val="Consolas"/>
        <charset val="134"/>
      </rPr>
      <t xml:space="preserve">
3-</t>
    </r>
    <r>
      <rPr>
        <sz val="10"/>
        <color theme="1"/>
        <rFont val="宋体"/>
        <charset val="134"/>
      </rPr>
      <t>使能</t>
    </r>
    <r>
      <rPr>
        <sz val="10"/>
        <color theme="1"/>
        <rFont val="Consolas"/>
        <charset val="134"/>
      </rPr>
      <t xml:space="preserve">
4-</t>
    </r>
    <r>
      <rPr>
        <sz val="10"/>
        <color theme="1"/>
        <rFont val="宋体"/>
        <charset val="134"/>
      </rPr>
      <t>错误</t>
    </r>
  </si>
  <si>
    <t>u32SysRunTime</t>
  </si>
  <si>
    <r>
      <rPr>
        <sz val="10"/>
        <color theme="1"/>
        <rFont val="宋体"/>
        <charset val="134"/>
      </rPr>
      <t>运行时间</t>
    </r>
  </si>
  <si>
    <t>u16CycleScanTime</t>
  </si>
  <si>
    <r>
      <rPr>
        <sz val="10"/>
        <color theme="1"/>
        <rFont val="宋体"/>
        <charset val="134"/>
      </rPr>
      <t>主循环程序</t>
    </r>
    <r>
      <rPr>
        <sz val="10"/>
        <color theme="1"/>
        <rFont val="Consolas"/>
        <charset val="134"/>
      </rPr>
      <t>Scan</t>
    </r>
    <r>
      <rPr>
        <sz val="10"/>
        <color theme="1"/>
        <rFont val="宋体"/>
        <charset val="134"/>
      </rPr>
      <t>运行时间</t>
    </r>
  </si>
  <si>
    <t>u16IsrScanTime</t>
  </si>
  <si>
    <r>
      <rPr>
        <sz val="10"/>
        <color theme="1"/>
        <rFont val="宋体"/>
        <charset val="134"/>
      </rPr>
      <t>中断程序</t>
    </r>
    <r>
      <rPr>
        <sz val="10"/>
        <color theme="1"/>
        <rFont val="Consolas"/>
        <charset val="134"/>
      </rPr>
      <t>Scan</t>
    </r>
    <r>
      <rPr>
        <sz val="10"/>
        <color theme="1"/>
        <rFont val="宋体"/>
        <charset val="134"/>
      </rPr>
      <t>运行时间</t>
    </r>
  </si>
  <si>
    <t>u16CustomTime0</t>
  </si>
  <si>
    <r>
      <rPr>
        <sz val="10"/>
        <color theme="1"/>
        <rFont val="宋体"/>
        <charset val="134"/>
      </rPr>
      <t>缺省程序运行时间</t>
    </r>
    <r>
      <rPr>
        <sz val="10"/>
        <color theme="1"/>
        <rFont val="Consolas"/>
        <charset val="134"/>
      </rPr>
      <t>0</t>
    </r>
  </si>
  <si>
    <t>u16CustomTime1</t>
  </si>
  <si>
    <r>
      <rPr>
        <sz val="10"/>
        <color theme="1"/>
        <rFont val="宋体"/>
        <charset val="134"/>
      </rPr>
      <t>缺省程序运行时间</t>
    </r>
    <r>
      <rPr>
        <sz val="10"/>
        <color theme="1"/>
        <rFont val="Consolas"/>
        <charset val="134"/>
      </rPr>
      <t>1</t>
    </r>
  </si>
  <si>
    <t>s16Uai0Pu</t>
  </si>
  <si>
    <t>Q15</t>
  </si>
  <si>
    <r>
      <rPr>
        <sz val="10"/>
        <color theme="1"/>
        <rFont val="Consolas"/>
        <charset val="134"/>
      </rPr>
      <t>AI0</t>
    </r>
    <r>
      <rPr>
        <sz val="10"/>
        <color theme="1"/>
        <rFont val="宋体"/>
        <charset val="134"/>
      </rPr>
      <t>输入电压数字量</t>
    </r>
  </si>
  <si>
    <t>s16Uai1Pu</t>
  </si>
  <si>
    <r>
      <rPr>
        <sz val="10"/>
        <color theme="1"/>
        <rFont val="Consolas"/>
        <charset val="134"/>
      </rPr>
      <t>AI1</t>
    </r>
    <r>
      <rPr>
        <sz val="10"/>
        <color theme="1"/>
        <rFont val="宋体"/>
        <charset val="134"/>
      </rPr>
      <t>输入电压数字量</t>
    </r>
  </si>
  <si>
    <t>s16Uai2Pu</t>
  </si>
  <si>
    <r>
      <rPr>
        <sz val="10"/>
        <color theme="1"/>
        <rFont val="Consolas"/>
        <charset val="134"/>
      </rPr>
      <t>AI2</t>
    </r>
    <r>
      <rPr>
        <sz val="10"/>
        <color theme="1"/>
        <rFont val="宋体"/>
        <charset val="134"/>
      </rPr>
      <t>输入电压数字量</t>
    </r>
  </si>
  <si>
    <t>s16Uai3Pu</t>
  </si>
  <si>
    <r>
      <rPr>
        <sz val="10"/>
        <color theme="1"/>
        <rFont val="Consolas"/>
        <charset val="134"/>
      </rPr>
      <t>AI3</t>
    </r>
    <r>
      <rPr>
        <sz val="10"/>
        <color theme="1"/>
        <rFont val="宋体"/>
        <charset val="134"/>
      </rPr>
      <t>输入电压数字量</t>
    </r>
  </si>
  <si>
    <t>u16TempMcuPu</t>
  </si>
  <si>
    <t>4095</t>
  </si>
  <si>
    <t>Q12</t>
  </si>
  <si>
    <r>
      <rPr>
        <sz val="10"/>
        <color theme="1"/>
        <rFont val="宋体"/>
        <charset val="134"/>
      </rPr>
      <t>主控温度电压数字量</t>
    </r>
  </si>
  <si>
    <t>物理单位</t>
  </si>
  <si>
    <t>无单位</t>
  </si>
  <si>
    <t>A</t>
  </si>
  <si>
    <t>安培</t>
  </si>
  <si>
    <t>0.1A</t>
  </si>
  <si>
    <t>0.01A</t>
  </si>
  <si>
    <t>V</t>
  </si>
  <si>
    <t>伏特</t>
  </si>
  <si>
    <t>0.1V</t>
  </si>
  <si>
    <t>rpm</t>
  </si>
  <si>
    <t>0.1rpm</t>
  </si>
  <si>
    <t>0.001rpm</t>
  </si>
  <si>
    <t>0.1kHz</t>
  </si>
  <si>
    <t>Hz</t>
  </si>
  <si>
    <t>rad/s</t>
  </si>
  <si>
    <t>m/min</t>
  </si>
  <si>
    <t>0.1m/min</t>
  </si>
  <si>
    <t>mm/s</t>
  </si>
  <si>
    <t>℃</t>
  </si>
  <si>
    <t>摄氏度</t>
  </si>
  <si>
    <t>0.1℃</t>
  </si>
  <si>
    <t>N·m</t>
  </si>
  <si>
    <t>牛·米</t>
  </si>
  <si>
    <t>0.01N·m</t>
  </si>
  <si>
    <t>kW</t>
  </si>
  <si>
    <t>千瓦</t>
  </si>
  <si>
    <t>W</t>
  </si>
  <si>
    <t>瓦特</t>
  </si>
  <si>
    <t>0.01kW</t>
  </si>
  <si>
    <t>Ω</t>
  </si>
  <si>
    <t>欧姆</t>
  </si>
  <si>
    <t>0.01Ω</t>
  </si>
  <si>
    <t>10mΩ</t>
  </si>
  <si>
    <t>mΩ</t>
  </si>
  <si>
    <t>毫欧</t>
  </si>
  <si>
    <t>mH</t>
  </si>
  <si>
    <t>毫亨</t>
  </si>
  <si>
    <t>0.01mH</t>
  </si>
  <si>
    <t>h</t>
  </si>
  <si>
    <t>小时</t>
  </si>
  <si>
    <t>0.1h</t>
  </si>
  <si>
    <t>min</t>
  </si>
  <si>
    <t>分</t>
  </si>
  <si>
    <t>s</t>
  </si>
  <si>
    <t>秒</t>
  </si>
  <si>
    <t>0.1s</t>
  </si>
  <si>
    <t>毫秒</t>
  </si>
  <si>
    <t>0.1ms</t>
  </si>
  <si>
    <t>us</t>
  </si>
  <si>
    <t>微秒</t>
  </si>
  <si>
    <t>0.1us</t>
  </si>
  <si>
    <t>ns</t>
  </si>
  <si>
    <t>纳秒</t>
  </si>
  <si>
    <t>0.001kg.cm2</t>
  </si>
  <si>
    <t>%</t>
  </si>
  <si>
    <t>百分比</t>
  </si>
  <si>
    <t>千分比</t>
  </si>
  <si>
    <t>rpm/s</t>
  </si>
  <si>
    <t>m/s2</t>
  </si>
  <si>
    <t>米/平方秒</t>
  </si>
  <si>
    <t>0.1°</t>
  </si>
  <si>
    <t>角度</t>
  </si>
  <si>
    <t>rad</t>
  </si>
  <si>
    <t>弧度</t>
  </si>
  <si>
    <t>r</t>
  </si>
  <si>
    <t>转</t>
  </si>
  <si>
    <t>0.01r</t>
  </si>
  <si>
    <t>m</t>
  </si>
  <si>
    <t>米</t>
  </si>
  <si>
    <t>0.1m</t>
  </si>
  <si>
    <t>cm</t>
  </si>
  <si>
    <t>mm</t>
  </si>
  <si>
    <t>0.1mm</t>
  </si>
  <si>
    <t>0.01mm</t>
  </si>
  <si>
    <t>um</t>
  </si>
  <si>
    <t>微米</t>
  </si>
  <si>
    <t>pulse</t>
  </si>
  <si>
    <t>脉冲</t>
  </si>
  <si>
    <t>0.1V*ms/rad</t>
  </si>
  <si>
    <t>uf</t>
  </si>
  <si>
    <t>微法</t>
  </si>
  <si>
    <t>定点数</t>
  </si>
  <si>
    <t>Q31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</si>
</sst>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4" formatCode="_ &quot;￥&quot;* #,##0.00_ ;_ &quot;￥&quot;* \-#,##0.00_ ;_ &quot;￥&quot;* &quot;-&quot;??_ ;_ @_ "/>
    <numFmt numFmtId="43" formatCode="_ * #,##0.00_ ;_ * \-#,##0.00_ ;_ * &quot;-&quot;??_ ;_ @_ "/>
  </numFmts>
  <fonts count="31">
    <font>
      <sz val="11"/>
      <color theme="1"/>
      <name val="宋体"/>
      <charset val="162"/>
      <scheme val="minor"/>
    </font>
    <font>
      <sz val="10"/>
      <color theme="1"/>
      <name val="宋体"/>
      <charset val="134"/>
      <scheme val="major"/>
    </font>
    <font>
      <sz val="11"/>
      <color theme="1"/>
      <name val="宋体"/>
      <charset val="134"/>
      <scheme val="minor"/>
    </font>
    <font>
      <b/>
      <sz val="10"/>
      <color theme="1"/>
      <name val="宋体"/>
      <charset val="134"/>
      <scheme val="major"/>
    </font>
    <font>
      <sz val="10.5"/>
      <color rgb="FF4FC1FF"/>
      <name val="Consolas"/>
      <charset val="134"/>
    </font>
    <font>
      <sz val="11"/>
      <color theme="1"/>
      <name val="等线 Light"/>
      <charset val="134"/>
    </font>
    <font>
      <sz val="10"/>
      <color theme="1"/>
      <name val="Consolas"/>
      <charset val="134"/>
    </font>
    <font>
      <b/>
      <sz val="10"/>
      <color theme="1"/>
      <name val="Consolas"/>
      <charset val="134"/>
    </font>
    <font>
      <sz val="10"/>
      <name val="Consolas"/>
      <charset val="134"/>
    </font>
    <font>
      <sz val="11"/>
      <color theme="1"/>
      <name val="Consolas"/>
      <charset val="134"/>
    </font>
    <font>
      <sz val="11"/>
      <color rgb="FF006100"/>
      <name val="宋体"/>
      <charset val="0"/>
      <scheme val="minor"/>
    </font>
    <font>
      <sz val="11"/>
      <color theme="1"/>
      <name val="宋体"/>
      <charset val="0"/>
      <scheme val="minor"/>
    </font>
    <font>
      <sz val="11"/>
      <color theme="0"/>
      <name val="宋体"/>
      <charset val="0"/>
      <scheme val="minor"/>
    </font>
    <font>
      <sz val="11"/>
      <color rgb="FF3F3F76"/>
      <name val="宋体"/>
      <charset val="0"/>
      <scheme val="minor"/>
    </font>
    <font>
      <sz val="11"/>
      <color rgb="FF9C0006"/>
      <name val="宋体"/>
      <charset val="0"/>
      <scheme val="minor"/>
    </font>
    <font>
      <u/>
      <sz val="11"/>
      <color rgb="FF0000FF"/>
      <name val="宋体"/>
      <charset val="0"/>
      <scheme val="minor"/>
    </font>
    <font>
      <u/>
      <sz val="11"/>
      <color rgb="FF800080"/>
      <name val="宋体"/>
      <charset val="0"/>
      <scheme val="minor"/>
    </font>
    <font>
      <b/>
      <sz val="11"/>
      <color rgb="FFFFFF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1"/>
      <color rgb="FFFA7D00"/>
      <name val="宋体"/>
      <charset val="0"/>
      <scheme val="minor"/>
    </font>
    <font>
      <b/>
      <sz val="13"/>
      <color theme="3"/>
      <name val="宋体"/>
      <charset val="134"/>
      <scheme val="minor"/>
    </font>
    <font>
      <sz val="11"/>
      <color rgb="FF9C6500"/>
      <name val="宋体"/>
      <charset val="0"/>
      <scheme val="minor"/>
    </font>
    <font>
      <sz val="11"/>
      <color rgb="FFFA7D00"/>
      <name val="宋体"/>
      <charset val="0"/>
      <scheme val="minor"/>
    </font>
    <font>
      <b/>
      <sz val="11"/>
      <color rgb="FF3F3F3F"/>
      <name val="宋体"/>
      <charset val="0"/>
      <scheme val="minor"/>
    </font>
    <font>
      <b/>
      <sz val="11"/>
      <color theme="1"/>
      <name val="宋体"/>
      <charset val="0"/>
      <scheme val="minor"/>
    </font>
    <font>
      <b/>
      <sz val="10"/>
      <color theme="1"/>
      <name val="宋体"/>
      <charset val="134"/>
    </font>
    <font>
      <sz val="10"/>
      <color theme="1"/>
      <name val="宋体"/>
      <charset val="134"/>
    </font>
  </fonts>
  <fills count="34">
    <fill>
      <patternFill patternType="none"/>
    </fill>
    <fill>
      <patternFill patternType="gray125"/>
    </fill>
    <fill>
      <patternFill patternType="solid">
        <fgColor rgb="FFFFFF00"/>
        <bgColor indexed="64"/>
      </patternFill>
    </fill>
    <fill>
      <patternFill patternType="solid">
        <fgColor rgb="FFC6EFCE"/>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7"/>
        <bgColor indexed="64"/>
      </patternFill>
    </fill>
    <fill>
      <patternFill patternType="solid">
        <fgColor theme="6" tint="0.799981688894314"/>
        <bgColor indexed="64"/>
      </patternFill>
    </fill>
    <fill>
      <patternFill patternType="solid">
        <fgColor rgb="FFFFCC99"/>
        <bgColor indexed="64"/>
      </patternFill>
    </fill>
    <fill>
      <patternFill patternType="solid">
        <fgColor rgb="FFFFC7CE"/>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rgb="FFA5A5A5"/>
        <bgColor indexed="64"/>
      </patternFill>
    </fill>
    <fill>
      <patternFill patternType="solid">
        <fgColor theme="8" tint="0.399975585192419"/>
        <bgColor indexed="64"/>
      </patternFill>
    </fill>
    <fill>
      <patternFill patternType="solid">
        <fgColor theme="5"/>
        <bgColor indexed="64"/>
      </patternFill>
    </fill>
    <fill>
      <patternFill patternType="solid">
        <fgColor theme="7" tint="0.399975585192419"/>
        <bgColor indexed="64"/>
      </patternFill>
    </fill>
    <fill>
      <patternFill patternType="solid">
        <fgColor theme="9"/>
        <bgColor indexed="64"/>
      </patternFill>
    </fill>
    <fill>
      <patternFill patternType="solid">
        <fgColor theme="6"/>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rgb="FFFFEB9C"/>
        <bgColor indexed="64"/>
      </patternFill>
    </fill>
    <fill>
      <patternFill patternType="solid">
        <fgColor theme="9" tint="0.599993896298105"/>
        <bgColor indexed="64"/>
      </patternFill>
    </fill>
    <fill>
      <patternFill patternType="solid">
        <fgColor theme="8"/>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bgColor indexed="64"/>
      </patternFill>
    </fill>
    <fill>
      <patternFill patternType="solid">
        <fgColor theme="4" tint="0.799981688894314"/>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double">
        <color rgb="FFFF8001"/>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xf numFmtId="42" fontId="2" fillId="0" borderId="0" applyFont="0" applyFill="0" applyBorder="0" applyAlignment="0" applyProtection="0">
      <alignment vertical="center"/>
    </xf>
    <xf numFmtId="0" fontId="11" fillId="8" borderId="0" applyNumberFormat="0" applyBorder="0" applyAlignment="0" applyProtection="0">
      <alignment vertical="center"/>
    </xf>
    <xf numFmtId="0" fontId="13" fillId="9" borderId="8" applyNumberFormat="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0" fontId="11" fillId="12" borderId="0" applyNumberFormat="0" applyBorder="0" applyAlignment="0" applyProtection="0">
      <alignment vertical="center"/>
    </xf>
    <xf numFmtId="0" fontId="14" fillId="10" borderId="0" applyNumberFormat="0" applyBorder="0" applyAlignment="0" applyProtection="0">
      <alignment vertical="center"/>
    </xf>
    <xf numFmtId="43" fontId="2" fillId="0" borderId="0" applyFont="0" applyFill="0" applyBorder="0" applyAlignment="0" applyProtection="0">
      <alignment vertical="center"/>
    </xf>
    <xf numFmtId="0" fontId="12" fillId="15" borderId="0" applyNumberFormat="0" applyBorder="0" applyAlignment="0" applyProtection="0">
      <alignment vertical="center"/>
    </xf>
    <xf numFmtId="0" fontId="15" fillId="0" borderId="0" applyNumberFormat="0" applyFill="0" applyBorder="0" applyAlignment="0" applyProtection="0">
      <alignment vertical="center"/>
    </xf>
    <xf numFmtId="9" fontId="2" fillId="0" borderId="0" applyFont="0" applyFill="0" applyBorder="0" applyAlignment="0" applyProtection="0">
      <alignment vertical="center"/>
    </xf>
    <xf numFmtId="0" fontId="16" fillId="0" borderId="0" applyNumberFormat="0" applyFill="0" applyBorder="0" applyAlignment="0" applyProtection="0">
      <alignment vertical="center"/>
    </xf>
    <xf numFmtId="0" fontId="2" fillId="16" borderId="9" applyNumberFormat="0" applyFont="0" applyAlignment="0" applyProtection="0">
      <alignment vertical="center"/>
    </xf>
    <xf numFmtId="0" fontId="12" fillId="6" borderId="0" applyNumberFormat="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1" applyNumberFormat="0" applyFill="0" applyAlignment="0" applyProtection="0">
      <alignment vertical="center"/>
    </xf>
    <xf numFmtId="0" fontId="24" fillId="0" borderId="11" applyNumberFormat="0" applyFill="0" applyAlignment="0" applyProtection="0">
      <alignment vertical="center"/>
    </xf>
    <xf numFmtId="0" fontId="12" fillId="26" borderId="0" applyNumberFormat="0" applyBorder="0" applyAlignment="0" applyProtection="0">
      <alignment vertical="center"/>
    </xf>
    <xf numFmtId="0" fontId="18" fillId="0" borderId="13" applyNumberFormat="0" applyFill="0" applyAlignment="0" applyProtection="0">
      <alignment vertical="center"/>
    </xf>
    <xf numFmtId="0" fontId="12" fillId="20" borderId="0" applyNumberFormat="0" applyBorder="0" applyAlignment="0" applyProtection="0">
      <alignment vertical="center"/>
    </xf>
    <xf numFmtId="0" fontId="27" fillId="25" borderId="14" applyNumberFormat="0" applyAlignment="0" applyProtection="0">
      <alignment vertical="center"/>
    </xf>
    <xf numFmtId="0" fontId="23" fillId="25" borderId="8" applyNumberFormat="0" applyAlignment="0" applyProtection="0">
      <alignment vertical="center"/>
    </xf>
    <xf numFmtId="0" fontId="17" fillId="17" borderId="10" applyNumberFormat="0" applyAlignment="0" applyProtection="0">
      <alignment vertical="center"/>
    </xf>
    <xf numFmtId="0" fontId="11" fillId="24" borderId="0" applyNumberFormat="0" applyBorder="0" applyAlignment="0" applyProtection="0">
      <alignment vertical="center"/>
    </xf>
    <xf numFmtId="0" fontId="12" fillId="19" borderId="0" applyNumberFormat="0" applyBorder="0" applyAlignment="0" applyProtection="0">
      <alignment vertical="center"/>
    </xf>
    <xf numFmtId="0" fontId="26" fillId="0" borderId="12" applyNumberFormat="0" applyFill="0" applyAlignment="0" applyProtection="0">
      <alignment vertical="center"/>
    </xf>
    <xf numFmtId="0" fontId="28" fillId="0" borderId="15" applyNumberFormat="0" applyFill="0" applyAlignment="0" applyProtection="0">
      <alignment vertical="center"/>
    </xf>
    <xf numFmtId="0" fontId="10" fillId="3" borderId="0" applyNumberFormat="0" applyBorder="0" applyAlignment="0" applyProtection="0">
      <alignment vertical="center"/>
    </xf>
    <xf numFmtId="0" fontId="25" fillId="27" borderId="0" applyNumberFormat="0" applyBorder="0" applyAlignment="0" applyProtection="0">
      <alignment vertical="center"/>
    </xf>
    <xf numFmtId="0" fontId="11" fillId="14" borderId="0" applyNumberFormat="0" applyBorder="0" applyAlignment="0" applyProtection="0">
      <alignment vertical="center"/>
    </xf>
    <xf numFmtId="0" fontId="12" fillId="32" borderId="0" applyNumberFormat="0" applyBorder="0" applyAlignment="0" applyProtection="0">
      <alignment vertical="center"/>
    </xf>
    <xf numFmtId="0" fontId="11" fillId="33" borderId="0" applyNumberFormat="0" applyBorder="0" applyAlignment="0" applyProtection="0">
      <alignment vertical="center"/>
    </xf>
    <xf numFmtId="0" fontId="11" fillId="23" borderId="0" applyNumberFormat="0" applyBorder="0" applyAlignment="0" applyProtection="0">
      <alignment vertical="center"/>
    </xf>
    <xf numFmtId="0" fontId="11" fillId="31" borderId="0" applyNumberFormat="0" applyBorder="0" applyAlignment="0" applyProtection="0">
      <alignment vertical="center"/>
    </xf>
    <xf numFmtId="0" fontId="11" fillId="13" borderId="0" applyNumberFormat="0" applyBorder="0" applyAlignment="0" applyProtection="0">
      <alignment vertical="center"/>
    </xf>
    <xf numFmtId="0" fontId="12" fillId="22" borderId="0" applyNumberFormat="0" applyBorder="0" applyAlignment="0" applyProtection="0">
      <alignment vertical="center"/>
    </xf>
    <xf numFmtId="0" fontId="12" fillId="7" borderId="0" applyNumberFormat="0" applyBorder="0" applyAlignment="0" applyProtection="0">
      <alignment vertical="center"/>
    </xf>
    <xf numFmtId="0" fontId="11" fillId="30" borderId="0" applyNumberFormat="0" applyBorder="0" applyAlignment="0" applyProtection="0">
      <alignment vertical="center"/>
    </xf>
    <xf numFmtId="0" fontId="11" fillId="5" borderId="0" applyNumberFormat="0" applyBorder="0" applyAlignment="0" applyProtection="0">
      <alignment vertical="center"/>
    </xf>
    <xf numFmtId="0" fontId="12" fillId="29" borderId="0" applyNumberFormat="0" applyBorder="0" applyAlignment="0" applyProtection="0">
      <alignment vertical="center"/>
    </xf>
    <xf numFmtId="0" fontId="11" fillId="4" borderId="0" applyNumberFormat="0" applyBorder="0" applyAlignment="0" applyProtection="0">
      <alignment vertical="center"/>
    </xf>
    <xf numFmtId="0" fontId="12" fillId="18" borderId="0" applyNumberFormat="0" applyBorder="0" applyAlignment="0" applyProtection="0">
      <alignment vertical="center"/>
    </xf>
    <xf numFmtId="0" fontId="12" fillId="21" borderId="0" applyNumberFormat="0" applyBorder="0" applyAlignment="0" applyProtection="0">
      <alignment vertical="center"/>
    </xf>
    <xf numFmtId="0" fontId="11" fillId="28" borderId="0" applyNumberFormat="0" applyBorder="0" applyAlignment="0" applyProtection="0">
      <alignment vertical="center"/>
    </xf>
    <xf numFmtId="0" fontId="12" fillId="11" borderId="0" applyNumberFormat="0" applyBorder="0" applyAlignment="0" applyProtection="0">
      <alignment vertical="center"/>
    </xf>
  </cellStyleXfs>
  <cellXfs count="38">
    <xf numFmtId="0" fontId="0" fillId="0" borderId="0" xfId="0"/>
    <xf numFmtId="0" fontId="0" fillId="0" borderId="0" xfId="0" applyFont="1" applyFill="1" applyAlignment="1"/>
    <xf numFmtId="0" fontId="1" fillId="0" borderId="0" xfId="0" applyFont="1" applyFill="1" applyAlignment="1">
      <alignment vertical="center"/>
    </xf>
    <xf numFmtId="0" fontId="2" fillId="0" borderId="0" xfId="0" applyFont="1" applyFill="1" applyAlignment="1">
      <alignment vertical="center"/>
    </xf>
    <xf numFmtId="0" fontId="3" fillId="0" borderId="1" xfId="0" applyFont="1" applyFill="1" applyBorder="1" applyAlignment="1">
      <alignment vertical="center"/>
    </xf>
    <xf numFmtId="0" fontId="1" fillId="0" borderId="1" xfId="0" applyFont="1" applyFill="1" applyBorder="1" applyAlignment="1">
      <alignment vertical="center"/>
    </xf>
    <xf numFmtId="0" fontId="4" fillId="0" borderId="0" xfId="0" applyFont="1" applyFill="1" applyAlignment="1">
      <alignment vertical="center" wrapText="1"/>
    </xf>
    <xf numFmtId="0" fontId="2" fillId="0" borderId="1" xfId="0" applyFont="1" applyFill="1" applyBorder="1" applyAlignment="1">
      <alignment vertical="center"/>
    </xf>
    <xf numFmtId="0" fontId="5" fillId="0" borderId="1" xfId="0" applyFont="1" applyFill="1" applyBorder="1" applyAlignment="1">
      <alignment horizontal="right" vertical="center"/>
    </xf>
    <xf numFmtId="0" fontId="6" fillId="0" borderId="0" xfId="0" applyFont="1" applyFill="1" applyAlignment="1">
      <alignment horizontal="center" vertical="center"/>
    </xf>
    <xf numFmtId="0" fontId="7" fillId="0" borderId="1" xfId="0" applyFont="1" applyFill="1" applyBorder="1" applyAlignment="1" applyProtection="1">
      <alignment horizontal="center" vertical="center"/>
    </xf>
    <xf numFmtId="0" fontId="7" fillId="0" borderId="2" xfId="0" applyFont="1" applyFill="1" applyBorder="1" applyAlignment="1" applyProtection="1">
      <alignment horizontal="center" vertical="center"/>
    </xf>
    <xf numFmtId="0" fontId="7" fillId="0" borderId="1" xfId="0" applyFont="1" applyFill="1" applyBorder="1" applyAlignment="1" applyProtection="1">
      <alignment horizontal="left" vertical="center"/>
    </xf>
    <xf numFmtId="0" fontId="7" fillId="2" borderId="1" xfId="0" applyFont="1" applyFill="1" applyBorder="1" applyAlignment="1" applyProtection="1">
      <alignment horizontal="center" vertical="center"/>
    </xf>
    <xf numFmtId="49" fontId="7" fillId="0" borderId="1" xfId="0" applyNumberFormat="1" applyFont="1" applyFill="1" applyBorder="1" applyAlignment="1" applyProtection="1">
      <alignment horizontal="center" vertical="center"/>
    </xf>
    <xf numFmtId="49" fontId="7" fillId="0" borderId="1" xfId="0" applyNumberFormat="1" applyFont="1" applyFill="1" applyBorder="1" applyAlignment="1" applyProtection="1">
      <alignment horizontal="left" vertical="center"/>
    </xf>
    <xf numFmtId="0" fontId="6" fillId="0" borderId="1" xfId="0" applyFont="1" applyFill="1" applyBorder="1" applyAlignment="1">
      <alignment horizontal="center" vertical="center"/>
    </xf>
    <xf numFmtId="0" fontId="6" fillId="2" borderId="2" xfId="0" applyFont="1" applyFill="1" applyBorder="1" applyAlignment="1">
      <alignment horizontal="center" vertical="center"/>
    </xf>
    <xf numFmtId="49" fontId="6" fillId="0" borderId="1" xfId="0" applyNumberFormat="1" applyFont="1" applyFill="1" applyBorder="1" applyAlignment="1">
      <alignment horizontal="center" vertical="center"/>
    </xf>
    <xf numFmtId="49" fontId="8" fillId="0" borderId="1" xfId="0" applyNumberFormat="1" applyFont="1" applyFill="1" applyBorder="1" applyAlignment="1">
      <alignment horizontal="left" vertical="center"/>
    </xf>
    <xf numFmtId="49" fontId="6" fillId="0" borderId="1" xfId="0" applyNumberFormat="1" applyFont="1" applyFill="1" applyBorder="1" applyAlignment="1">
      <alignment horizontal="right" vertical="center"/>
    </xf>
    <xf numFmtId="0" fontId="6" fillId="0" borderId="2" xfId="0" applyFont="1" applyFill="1" applyBorder="1" applyAlignment="1">
      <alignment horizontal="center" vertical="center"/>
    </xf>
    <xf numFmtId="0" fontId="8" fillId="0" borderId="1" xfId="0" applyFont="1" applyFill="1" applyBorder="1" applyAlignment="1">
      <alignment horizontal="left" vertical="center"/>
    </xf>
    <xf numFmtId="0" fontId="6" fillId="0" borderId="1" xfId="0" applyFont="1" applyFill="1" applyBorder="1" applyAlignment="1">
      <alignment horizontal="left" vertical="center"/>
    </xf>
    <xf numFmtId="49" fontId="6" fillId="0" borderId="1" xfId="0" applyNumberFormat="1" applyFont="1" applyFill="1" applyBorder="1" applyAlignment="1">
      <alignment horizontal="left" vertical="center"/>
    </xf>
    <xf numFmtId="0" fontId="7" fillId="0" borderId="3"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6" fillId="0" borderId="1" xfId="0" applyFont="1" applyFill="1" applyBorder="1" applyAlignment="1">
      <alignment horizontal="left" vertical="center" wrapText="1"/>
    </xf>
    <xf numFmtId="0" fontId="9" fillId="0" borderId="2" xfId="0" applyFont="1" applyFill="1" applyBorder="1" applyAlignment="1">
      <alignment horizontal="right" vertical="center"/>
    </xf>
    <xf numFmtId="0" fontId="6" fillId="0" borderId="1" xfId="0" applyFont="1" applyFill="1" applyBorder="1" applyAlignment="1">
      <alignment horizontal="right" vertical="center"/>
    </xf>
    <xf numFmtId="0" fontId="6" fillId="0" borderId="1" xfId="0" applyNumberFormat="1" applyFont="1" applyFill="1" applyBorder="1" applyAlignment="1">
      <alignment horizontal="center" vertical="center" wrapText="1"/>
    </xf>
    <xf numFmtId="49" fontId="6"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right" vertical="center"/>
    </xf>
    <xf numFmtId="0" fontId="6" fillId="0" borderId="1" xfId="0" applyNumberFormat="1" applyFont="1" applyFill="1" applyBorder="1" applyAlignment="1">
      <alignment horizontal="right" vertical="center" wrapText="1"/>
    </xf>
    <xf numFmtId="0" fontId="6" fillId="0" borderId="5" xfId="0" applyFont="1" applyFill="1" applyBorder="1" applyAlignment="1">
      <alignment horizontal="center" vertical="center"/>
    </xf>
    <xf numFmtId="49" fontId="8" fillId="0" borderId="1" xfId="0" applyNumberFormat="1" applyFont="1" applyFill="1" applyBorder="1" applyAlignment="1">
      <alignment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9">
    <dxf>
      <fill>
        <patternFill patternType="solid">
          <bgColor rgb="FF17C913"/>
        </patternFill>
      </fill>
    </dxf>
    <dxf>
      <fill>
        <patternFill patternType="solid">
          <bgColor rgb="FF88DB29"/>
        </patternFill>
      </fill>
    </dxf>
    <dxf>
      <fill>
        <patternFill patternType="solid">
          <bgColor theme="0" tint="-0.15"/>
        </patternFill>
      </fill>
    </dxf>
    <dxf>
      <font>
        <color theme="1"/>
      </font>
      <fill>
        <patternFill patternType="solid">
          <bgColor theme="8" tint="0.6"/>
        </patternFill>
      </fill>
    </dxf>
    <dxf>
      <font>
        <color theme="1"/>
      </font>
      <fill>
        <patternFill patternType="solid">
          <bgColor theme="0"/>
        </patternFill>
      </fill>
    </dxf>
    <dxf>
      <fill>
        <patternFill patternType="solid">
          <bgColor theme="8" tint="0.4"/>
        </patternFill>
      </fill>
    </dxf>
    <dxf>
      <fill>
        <patternFill patternType="solid">
          <bgColor theme="8" tint="-0.25"/>
        </patternFill>
      </fill>
    </dxf>
    <dxf>
      <fill>
        <patternFill patternType="solid">
          <bgColor theme="7" tint="0.6"/>
        </patternFill>
      </fill>
    </dxf>
    <dxf>
      <fill>
        <patternFill patternType="solid">
          <bgColor theme="7" tint="0.4"/>
        </patternFill>
      </fill>
    </dxf>
    <dxf>
      <fill>
        <patternFill patternType="solid">
          <bgColor theme="8" tint="0.6"/>
        </patternFill>
      </fill>
    </dxf>
    <dxf>
      <font>
        <b val="0"/>
        <i val="0"/>
      </font>
      <fill>
        <patternFill patternType="solid">
          <bgColor theme="8" tint="0.4"/>
        </patternFill>
      </fill>
    </dxf>
    <dxf>
      <fill>
        <patternFill patternType="solid">
          <bgColor theme="9" tint="0.6"/>
        </patternFill>
      </fill>
    </dxf>
    <dxf>
      <fill>
        <patternFill patternType="solid">
          <bgColor theme="9" tint="0.4"/>
        </patternFill>
      </fill>
    </dxf>
    <dxf>
      <fill>
        <patternFill patternType="solid">
          <bgColor rgb="FFFF8810"/>
        </patternFill>
      </fill>
    </dxf>
    <dxf>
      <fill>
        <patternFill patternType="solid">
          <bgColor rgb="FFF0B928"/>
        </patternFill>
      </fill>
    </dxf>
    <dxf>
      <fill>
        <patternFill patternType="solid">
          <bgColor rgb="FFDAED05"/>
        </patternFill>
      </fill>
    </dxf>
    <dxf>
      <font>
        <color theme="1"/>
      </font>
      <fill>
        <patternFill patternType="solid">
          <bgColor theme="4" tint="0.6"/>
        </patternFill>
      </fill>
    </dxf>
    <dxf>
      <font>
        <color theme="1"/>
      </font>
      <fill>
        <patternFill patternType="solid">
          <bgColor theme="5" tint="0.6"/>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33"/>
  <sheetViews>
    <sheetView tabSelected="1" zoomScale="70" zoomScaleNormal="70" topLeftCell="B1" workbookViewId="0">
      <selection activeCell="O34" sqref="O34"/>
    </sheetView>
  </sheetViews>
  <sheetFormatPr defaultColWidth="8.73148148148148" defaultRowHeight="14.4"/>
  <cols>
    <col min="1" max="1" width="5.22222222222222" style="7" customWidth="1"/>
    <col min="2" max="3" width="10.7777777777778" style="7" customWidth="1"/>
    <col min="4" max="5" width="5.22222222222222" style="3" customWidth="1"/>
    <col min="6" max="6" width="28.7222222222222" style="3" customWidth="1"/>
    <col min="7" max="7" width="9.66666666666667" style="3" customWidth="1"/>
    <col min="8" max="8" width="8.66666666666667" style="3" customWidth="1"/>
    <col min="9" max="9" width="9.66666666666667" style="3" customWidth="1"/>
    <col min="10" max="10" width="9.22222222222222" style="3" customWidth="1"/>
    <col min="11" max="11" width="26.8888888888889" style="3" customWidth="1"/>
    <col min="12" max="12" width="21.8888888888889" style="3" customWidth="1"/>
    <col min="13" max="13" width="17.1296296296296" style="3" customWidth="1"/>
    <col min="14" max="15" width="9.22222222222222" style="3" customWidth="1"/>
    <col min="16" max="16" width="28.2222222222222" style="3" customWidth="1"/>
    <col min="17" max="17" width="54.2777777777778" style="3" customWidth="1"/>
    <col min="18" max="18" width="2.66666666666667" style="8" customWidth="1"/>
    <col min="19" max="19" width="15.0740740740741" style="9" customWidth="1"/>
    <col min="20" max="16384" width="8.73148148148148" style="3"/>
  </cols>
  <sheetData>
    <row r="1" spans="1:19">
      <c r="A1" s="10" t="s">
        <v>0</v>
      </c>
      <c r="B1" s="10"/>
      <c r="C1" s="10"/>
      <c r="D1" s="11" t="s">
        <v>1</v>
      </c>
      <c r="E1" s="10"/>
      <c r="F1" s="12"/>
      <c r="G1" s="10"/>
      <c r="H1" s="10"/>
      <c r="I1" s="10"/>
      <c r="J1" s="10"/>
      <c r="K1" s="10"/>
      <c r="L1" s="10"/>
      <c r="M1" s="10"/>
      <c r="N1" s="10"/>
      <c r="O1" s="10"/>
      <c r="P1" s="12"/>
      <c r="Q1" s="10"/>
      <c r="R1" s="28"/>
      <c r="S1" s="10"/>
    </row>
    <row r="2" spans="1:19">
      <c r="A2" s="10"/>
      <c r="B2" s="10"/>
      <c r="C2" s="10"/>
      <c r="D2" s="11"/>
      <c r="E2" s="10"/>
      <c r="F2" s="12"/>
      <c r="G2" s="10"/>
      <c r="H2" s="10"/>
      <c r="I2" s="10"/>
      <c r="J2" s="10"/>
      <c r="K2" s="10"/>
      <c r="L2" s="10"/>
      <c r="M2" s="10"/>
      <c r="N2" s="10"/>
      <c r="O2" s="10"/>
      <c r="P2" s="12"/>
      <c r="Q2" s="10"/>
      <c r="R2" s="28"/>
      <c r="S2" s="10"/>
    </row>
    <row r="3" spans="1:19">
      <c r="A3" s="13" t="s">
        <v>2</v>
      </c>
      <c r="B3" s="13" t="s">
        <v>3</v>
      </c>
      <c r="C3" s="13" t="s">
        <v>4</v>
      </c>
      <c r="D3" s="11" t="s">
        <v>5</v>
      </c>
      <c r="E3" s="14" t="s">
        <v>6</v>
      </c>
      <c r="F3" s="15" t="s">
        <v>3</v>
      </c>
      <c r="G3" s="14" t="s">
        <v>7</v>
      </c>
      <c r="H3" s="14" t="s">
        <v>8</v>
      </c>
      <c r="I3" s="14" t="s">
        <v>9</v>
      </c>
      <c r="J3" s="25" t="s">
        <v>10</v>
      </c>
      <c r="K3" s="26"/>
      <c r="L3" s="26"/>
      <c r="M3" s="26"/>
      <c r="N3" s="11"/>
      <c r="O3" s="14" t="s">
        <v>11</v>
      </c>
      <c r="P3" s="14" t="s">
        <v>12</v>
      </c>
      <c r="Q3" s="14" t="s">
        <v>13</v>
      </c>
      <c r="R3" s="28"/>
      <c r="S3" s="14"/>
    </row>
    <row r="4" spans="1:19">
      <c r="A4" s="13"/>
      <c r="B4" s="13"/>
      <c r="C4" s="13"/>
      <c r="D4" s="11"/>
      <c r="E4" s="10"/>
      <c r="F4" s="12"/>
      <c r="G4" s="10"/>
      <c r="H4" s="10"/>
      <c r="I4" s="10"/>
      <c r="J4" s="10" t="s">
        <v>14</v>
      </c>
      <c r="K4" s="10" t="s">
        <v>15</v>
      </c>
      <c r="L4" s="10" t="s">
        <v>16</v>
      </c>
      <c r="M4" s="14" t="s">
        <v>17</v>
      </c>
      <c r="N4" s="14" t="s">
        <v>18</v>
      </c>
      <c r="O4" s="10"/>
      <c r="P4" s="10"/>
      <c r="Q4" s="10"/>
      <c r="R4" s="28"/>
      <c r="S4" s="10"/>
    </row>
    <row r="5" spans="1:19">
      <c r="A5" s="16">
        <v>1</v>
      </c>
      <c r="B5" s="16" t="s">
        <v>19</v>
      </c>
      <c r="C5" s="16" t="s">
        <v>20</v>
      </c>
      <c r="D5" s="17">
        <v>0</v>
      </c>
      <c r="E5" s="18" t="s">
        <v>21</v>
      </c>
      <c r="F5" s="19" t="s">
        <v>22</v>
      </c>
      <c r="G5" s="20" t="s">
        <v>23</v>
      </c>
      <c r="H5" s="20" t="s">
        <v>24</v>
      </c>
      <c r="I5" s="20" t="s">
        <v>25</v>
      </c>
      <c r="J5" s="16" t="s">
        <v>26</v>
      </c>
      <c r="K5" s="16" t="s">
        <v>27</v>
      </c>
      <c r="L5" s="16" t="s">
        <v>28</v>
      </c>
      <c r="M5" s="16" t="s">
        <v>29</v>
      </c>
      <c r="N5" s="18" t="s">
        <v>30</v>
      </c>
      <c r="O5" s="16"/>
      <c r="P5" s="24" t="s">
        <v>20</v>
      </c>
      <c r="Q5" s="24"/>
      <c r="R5" s="29">
        <f>IF(OR(F5="",LEFT(TRIM(F5),3)=E5),1,0)</f>
        <v>1</v>
      </c>
      <c r="S5" s="30" t="str">
        <f t="shared" ref="S5:S22" si="0">"P"&amp;TEXT(INT(D5/256),"00")&amp;"."&amp;TEXT(MOD(D5,256),"000")</f>
        <v>P00.000</v>
      </c>
    </row>
    <row r="6" spans="1:19">
      <c r="A6" s="16"/>
      <c r="B6" s="16"/>
      <c r="C6" s="16"/>
      <c r="D6" s="21">
        <f>INDEX(D:D,ROW()-1)+_xlfn.IFS(INDEX(E:E,ROW()-1)="u16",1,INDEX(E:E,ROW()-1)="s16",1,INDEX(E:E,ROW()-1)="s32",2,INDEX(E:E,ROW()-1)="s64",4,INDEX(E:E,ROW()-1)="u16",1,INDEX(E:E,ROW()-1)="u32",2,INDEX(E:E,ROW()-1)="u64",4,INDEX(E:E,ROW()-1)="f32",2,INDEX(E:E,ROW()-1)="f64",4)</f>
        <v>2</v>
      </c>
      <c r="E6" s="18" t="s">
        <v>31</v>
      </c>
      <c r="F6" s="22" t="s">
        <v>32</v>
      </c>
      <c r="G6" s="20" t="s">
        <v>24</v>
      </c>
      <c r="H6" s="20" t="s">
        <v>24</v>
      </c>
      <c r="I6" s="20" t="s">
        <v>33</v>
      </c>
      <c r="J6" s="16" t="s">
        <v>26</v>
      </c>
      <c r="K6" s="16" t="s">
        <v>27</v>
      </c>
      <c r="L6" s="16" t="s">
        <v>34</v>
      </c>
      <c r="M6" s="16" t="s">
        <v>29</v>
      </c>
      <c r="N6" s="18" t="s">
        <v>30</v>
      </c>
      <c r="O6" s="16"/>
      <c r="P6" s="23" t="s">
        <v>35</v>
      </c>
      <c r="Q6" s="23"/>
      <c r="R6" s="29">
        <f t="shared" ref="R5:R13" si="1">IF(OR(F6="",LEFT(TRIM(F6),3)=E6),1,0)</f>
        <v>1</v>
      </c>
      <c r="S6" s="30" t="str">
        <f t="shared" si="0"/>
        <v>P00.002</v>
      </c>
    </row>
    <row r="7" spans="1:19">
      <c r="A7" s="16"/>
      <c r="B7" s="16"/>
      <c r="C7" s="16"/>
      <c r="D7" s="21">
        <f>INDEX(D:D,ROW()-1)+_xlfn.IFS(INDEX(E:E,ROW()-1)="u16",1,INDEX(E:E,ROW()-1)="s16",1,INDEX(E:E,ROW()-1)="s32",2,INDEX(E:E,ROW()-1)="s64",4,INDEX(E:E,ROW()-1)="u16",1,INDEX(E:E,ROW()-1)="u32",2,INDEX(E:E,ROW()-1)="u64",4,INDEX(E:E,ROW()-1)="f32",2,INDEX(E:E,ROW()-1)="f64",4)</f>
        <v>3</v>
      </c>
      <c r="E7" s="18" t="s">
        <v>31</v>
      </c>
      <c r="F7" s="23" t="s">
        <v>36</v>
      </c>
      <c r="G7" s="20" t="s">
        <v>24</v>
      </c>
      <c r="H7" s="20" t="s">
        <v>24</v>
      </c>
      <c r="I7" s="20" t="s">
        <v>33</v>
      </c>
      <c r="J7" s="16" t="s">
        <v>26</v>
      </c>
      <c r="K7" s="16" t="s">
        <v>27</v>
      </c>
      <c r="L7" s="16" t="s">
        <v>34</v>
      </c>
      <c r="M7" s="16" t="s">
        <v>29</v>
      </c>
      <c r="N7" s="18" t="s">
        <v>30</v>
      </c>
      <c r="O7" s="16"/>
      <c r="P7" s="23" t="s">
        <v>37</v>
      </c>
      <c r="Q7" s="23"/>
      <c r="R7" s="29">
        <f t="shared" si="1"/>
        <v>1</v>
      </c>
      <c r="S7" s="30" t="str">
        <f t="shared" si="0"/>
        <v>P00.003</v>
      </c>
    </row>
    <row r="8" spans="1:19">
      <c r="A8" s="16"/>
      <c r="B8" s="16"/>
      <c r="C8" s="16"/>
      <c r="D8" s="21">
        <f>INDEX(D:D,ROW()-1)+_xlfn.IFS(INDEX(E:E,ROW()-1)="u16",1,INDEX(E:E,ROW()-1)="s16",1,INDEX(E:E,ROW()-1)="s32",2,INDEX(E:E,ROW()-1)="s64",4,INDEX(E:E,ROW()-1)="u16",1,INDEX(E:E,ROW()-1)="u32",2,INDEX(E:E,ROW()-1)="u64",4,INDEX(E:E,ROW()-1)="f32",2,INDEX(E:E,ROW()-1)="f64",4)</f>
        <v>4</v>
      </c>
      <c r="E8" s="18" t="s">
        <v>21</v>
      </c>
      <c r="F8" s="19" t="s">
        <v>38</v>
      </c>
      <c r="G8" s="20" t="s">
        <v>24</v>
      </c>
      <c r="H8" s="20" t="s">
        <v>24</v>
      </c>
      <c r="I8" s="20" t="s">
        <v>25</v>
      </c>
      <c r="J8" s="16" t="s">
        <v>26</v>
      </c>
      <c r="K8" s="16" t="s">
        <v>27</v>
      </c>
      <c r="L8" s="16" t="s">
        <v>34</v>
      </c>
      <c r="M8" s="16" t="s">
        <v>29</v>
      </c>
      <c r="N8" s="18" t="s">
        <v>30</v>
      </c>
      <c r="O8" s="16"/>
      <c r="P8" s="24" t="s">
        <v>39</v>
      </c>
      <c r="Q8" s="23"/>
      <c r="R8" s="29">
        <f t="shared" si="1"/>
        <v>1</v>
      </c>
      <c r="S8" s="30" t="str">
        <f t="shared" si="0"/>
        <v>P00.004</v>
      </c>
    </row>
    <row r="9" spans="1:19">
      <c r="A9" s="16"/>
      <c r="B9" s="16"/>
      <c r="C9" s="16"/>
      <c r="D9" s="21">
        <f>INDEX(D:D,ROW()-1)+_xlfn.IFS(INDEX(E:E,ROW()-1)="u16",1,INDEX(E:E,ROW()-1)="s16",1,INDEX(E:E,ROW()-1)="s32",2,INDEX(E:E,ROW()-1)="s64",4,INDEX(E:E,ROW()-1)="u16",1,INDEX(E:E,ROW()-1)="u32",2,INDEX(E:E,ROW()-1)="u64",4,INDEX(E:E,ROW()-1)="f32",2,INDEX(E:E,ROW()-1)="f64",4)</f>
        <v>6</v>
      </c>
      <c r="E9" s="18" t="s">
        <v>21</v>
      </c>
      <c r="F9" s="19" t="s">
        <v>40</v>
      </c>
      <c r="G9" s="20" t="s">
        <v>24</v>
      </c>
      <c r="H9" s="20" t="s">
        <v>24</v>
      </c>
      <c r="I9" s="20" t="s">
        <v>25</v>
      </c>
      <c r="J9" s="16" t="s">
        <v>26</v>
      </c>
      <c r="K9" s="16" t="s">
        <v>27</v>
      </c>
      <c r="L9" s="16" t="s">
        <v>34</v>
      </c>
      <c r="M9" s="16" t="s">
        <v>29</v>
      </c>
      <c r="N9" s="18" t="s">
        <v>30</v>
      </c>
      <c r="O9" s="16"/>
      <c r="P9" s="24" t="s">
        <v>41</v>
      </c>
      <c r="Q9" s="23"/>
      <c r="R9" s="29">
        <f t="shared" si="1"/>
        <v>1</v>
      </c>
      <c r="S9" s="30" t="str">
        <f t="shared" si="0"/>
        <v>P00.006</v>
      </c>
    </row>
    <row r="10" spans="1:19">
      <c r="A10" s="16"/>
      <c r="B10" s="16"/>
      <c r="C10" s="16"/>
      <c r="D10" s="21">
        <f>INDEX(D:D,ROW()-1)+_xlfn.IFS(INDEX(E:E,ROW()-1)="u16",1,INDEX(E:E,ROW()-1)="s16",1,INDEX(E:E,ROW()-1)="s32",2,INDEX(E:E,ROW()-1)="s64",4,INDEX(E:E,ROW()-1)="u16",1,INDEX(E:E,ROW()-1)="u32",2,INDEX(E:E,ROW()-1)="u64",4,INDEX(E:E,ROW()-1)="f32",2,INDEX(E:E,ROW()-1)="f64",4)</f>
        <v>8</v>
      </c>
      <c r="E10" s="18" t="s">
        <v>31</v>
      </c>
      <c r="F10" s="22" t="s">
        <v>42</v>
      </c>
      <c r="G10" s="20" t="s">
        <v>24</v>
      </c>
      <c r="H10" s="20" t="s">
        <v>24</v>
      </c>
      <c r="I10" s="20" t="s">
        <v>33</v>
      </c>
      <c r="J10" s="16" t="s">
        <v>26</v>
      </c>
      <c r="K10" s="16" t="s">
        <v>27</v>
      </c>
      <c r="L10" s="16" t="s">
        <v>34</v>
      </c>
      <c r="M10" s="16" t="s">
        <v>29</v>
      </c>
      <c r="N10" s="18" t="s">
        <v>30</v>
      </c>
      <c r="O10" s="16"/>
      <c r="P10" s="23" t="s">
        <v>43</v>
      </c>
      <c r="Q10" s="23"/>
      <c r="R10" s="29">
        <f t="shared" si="1"/>
        <v>1</v>
      </c>
      <c r="S10" s="30" t="str">
        <f t="shared" si="0"/>
        <v>P00.008</v>
      </c>
    </row>
    <row r="11" spans="1:19">
      <c r="A11" s="16"/>
      <c r="B11" s="16"/>
      <c r="C11" s="16"/>
      <c r="D11" s="21">
        <f>INDEX(D:D,ROW()-1)+_xlfn.IFS(INDEX(E:E,ROW()-1)="u16",1,INDEX(E:E,ROW()-1)="s16",1,INDEX(E:E,ROW()-1)="s32",2,INDEX(E:E,ROW()-1)="s64",4,INDEX(E:E,ROW()-1)="u16",1,INDEX(E:E,ROW()-1)="u32",2,INDEX(E:E,ROW()-1)="u64",4,INDEX(E:E,ROW()-1)="f32",2,INDEX(E:E,ROW()-1)="f64",4)</f>
        <v>9</v>
      </c>
      <c r="E11" s="18" t="s">
        <v>31</v>
      </c>
      <c r="F11" s="22" t="s">
        <v>44</v>
      </c>
      <c r="G11" s="20" t="s">
        <v>24</v>
      </c>
      <c r="H11" s="20" t="s">
        <v>24</v>
      </c>
      <c r="I11" s="20" t="s">
        <v>33</v>
      </c>
      <c r="J11" s="16" t="s">
        <v>26</v>
      </c>
      <c r="K11" s="16" t="s">
        <v>27</v>
      </c>
      <c r="L11" s="16" t="s">
        <v>34</v>
      </c>
      <c r="M11" s="16" t="s">
        <v>29</v>
      </c>
      <c r="N11" s="18" t="s">
        <v>30</v>
      </c>
      <c r="O11" s="16"/>
      <c r="P11" s="23" t="s">
        <v>45</v>
      </c>
      <c r="Q11" s="23"/>
      <c r="R11" s="29">
        <f t="shared" si="1"/>
        <v>1</v>
      </c>
      <c r="S11" s="30" t="str">
        <f t="shared" si="0"/>
        <v>P00.009</v>
      </c>
    </row>
    <row r="12" spans="1:19">
      <c r="A12" s="16"/>
      <c r="B12" s="16"/>
      <c r="C12" s="16"/>
      <c r="D12" s="21">
        <f>INDEX(D:D,ROW()-1)+_xlfn.IFS(INDEX(E:E,ROW()-1)="u16",1,INDEX(E:E,ROW()-1)="s16",1,INDEX(E:E,ROW()-1)="s32",2,INDEX(E:E,ROW()-1)="s64",4,INDEX(E:E,ROW()-1)="u16",1,INDEX(E:E,ROW()-1)="u32",2,INDEX(E:E,ROW()-1)="u64",4,INDEX(E:E,ROW()-1)="f32",2,INDEX(E:E,ROW()-1)="f64",4)</f>
        <v>10</v>
      </c>
      <c r="E12" s="18" t="s">
        <v>31</v>
      </c>
      <c r="F12" s="22"/>
      <c r="G12" s="20" t="s">
        <v>24</v>
      </c>
      <c r="H12" s="20" t="s">
        <v>24</v>
      </c>
      <c r="I12" s="20" t="s">
        <v>33</v>
      </c>
      <c r="J12" s="16" t="s">
        <v>26</v>
      </c>
      <c r="K12" s="16" t="s">
        <v>27</v>
      </c>
      <c r="L12" s="16" t="s">
        <v>34</v>
      </c>
      <c r="M12" s="16" t="s">
        <v>29</v>
      </c>
      <c r="N12" s="18" t="s">
        <v>30</v>
      </c>
      <c r="O12" s="16"/>
      <c r="P12" s="23"/>
      <c r="Q12" s="23"/>
      <c r="R12" s="29">
        <f t="shared" si="1"/>
        <v>1</v>
      </c>
      <c r="S12" s="30" t="str">
        <f t="shared" si="0"/>
        <v>P00.010</v>
      </c>
    </row>
    <row r="13" spans="1:19">
      <c r="A13" s="16"/>
      <c r="B13" s="16"/>
      <c r="C13" s="16"/>
      <c r="D13" s="21">
        <f>INDEX(D:D,ROW()-1)+_xlfn.IFS(INDEX(E:E,ROW()-1)="u16",1,INDEX(E:E,ROW()-1)="s16",1,INDEX(E:E,ROW()-1)="s32",2,INDEX(E:E,ROW()-1)="s64",4,INDEX(E:E,ROW()-1)="u16",1,INDEX(E:E,ROW()-1)="u32",2,INDEX(E:E,ROW()-1)="u64",4,INDEX(E:E,ROW()-1)="f32",2,INDEX(E:E,ROW()-1)="f64",4)</f>
        <v>11</v>
      </c>
      <c r="E13" s="18" t="s">
        <v>31</v>
      </c>
      <c r="F13" s="19" t="s">
        <v>46</v>
      </c>
      <c r="G13" s="20" t="s">
        <v>24</v>
      </c>
      <c r="H13" s="20" t="s">
        <v>24</v>
      </c>
      <c r="I13" s="20" t="s">
        <v>33</v>
      </c>
      <c r="J13" s="16" t="s">
        <v>26</v>
      </c>
      <c r="K13" s="16" t="s">
        <v>27</v>
      </c>
      <c r="L13" s="16" t="s">
        <v>34</v>
      </c>
      <c r="M13" s="16" t="s">
        <v>29</v>
      </c>
      <c r="N13" s="18" t="s">
        <v>30</v>
      </c>
      <c r="O13" s="16"/>
      <c r="P13" s="24" t="s">
        <v>47</v>
      </c>
      <c r="Q13" s="23"/>
      <c r="R13" s="29">
        <f t="shared" si="1"/>
        <v>1</v>
      </c>
      <c r="S13" s="30" t="str">
        <f t="shared" si="0"/>
        <v>P00.011</v>
      </c>
    </row>
    <row r="14" spans="1:19">
      <c r="A14" s="16"/>
      <c r="B14" s="16"/>
      <c r="C14" s="16"/>
      <c r="D14" s="21">
        <f>INDEX(D:D,ROW()-1)+_xlfn.IFS(INDEX(E:E,ROW()-1)="u16",1,INDEX(E:E,ROW()-1)="s16",1,INDEX(E:E,ROW()-1)="s32",2,INDEX(E:E,ROW()-1)="s64",4,INDEX(E:E,ROW()-1)="u16",1,INDEX(E:E,ROW()-1)="u32",2,INDEX(E:E,ROW()-1)="u64",4,INDEX(E:E,ROW()-1)="f32",2,INDEX(E:E,ROW()-1)="f64",4)</f>
        <v>12</v>
      </c>
      <c r="E14" s="18" t="s">
        <v>31</v>
      </c>
      <c r="F14" s="19" t="s">
        <v>48</v>
      </c>
      <c r="G14" s="20" t="s">
        <v>24</v>
      </c>
      <c r="H14" s="20" t="s">
        <v>24</v>
      </c>
      <c r="I14" s="20" t="s">
        <v>33</v>
      </c>
      <c r="J14" s="16" t="s">
        <v>26</v>
      </c>
      <c r="K14" s="16" t="s">
        <v>27</v>
      </c>
      <c r="L14" s="16" t="s">
        <v>34</v>
      </c>
      <c r="M14" s="16" t="s">
        <v>29</v>
      </c>
      <c r="N14" s="18" t="s">
        <v>30</v>
      </c>
      <c r="O14" s="16"/>
      <c r="P14" s="24" t="s">
        <v>49</v>
      </c>
      <c r="Q14" s="23"/>
      <c r="R14" s="29">
        <f t="shared" ref="R14:R30" si="2">IF(OR(F14="",LEFT(TRIM(F14),3)=E14),1,0)</f>
        <v>1</v>
      </c>
      <c r="S14" s="30" t="str">
        <f t="shared" si="0"/>
        <v>P00.012</v>
      </c>
    </row>
    <row r="15" spans="1:19">
      <c r="A15" s="16"/>
      <c r="B15" s="16"/>
      <c r="C15" s="16"/>
      <c r="D15" s="21">
        <f>INDEX(D:D,ROW()-1)+_xlfn.IFS(INDEX(E:E,ROW()-1)="u16",1,INDEX(E:E,ROW()-1)="s16",1,INDEX(E:E,ROW()-1)="s32",2,INDEX(E:E,ROW()-1)="s64",4,INDEX(E:E,ROW()-1)="u16",1,INDEX(E:E,ROW()-1)="u32",2,INDEX(E:E,ROW()-1)="u64",4,INDEX(E:E,ROW()-1)="f32",2,INDEX(E:E,ROW()-1)="f64",4)</f>
        <v>13</v>
      </c>
      <c r="E15" s="18" t="s">
        <v>31</v>
      </c>
      <c r="F15" s="19" t="s">
        <v>50</v>
      </c>
      <c r="G15" s="20" t="s">
        <v>24</v>
      </c>
      <c r="H15" s="20" t="s">
        <v>24</v>
      </c>
      <c r="I15" s="20" t="s">
        <v>33</v>
      </c>
      <c r="J15" s="16" t="s">
        <v>26</v>
      </c>
      <c r="K15" s="16" t="s">
        <v>27</v>
      </c>
      <c r="L15" s="16" t="s">
        <v>34</v>
      </c>
      <c r="M15" s="16" t="s">
        <v>29</v>
      </c>
      <c r="N15" s="18" t="s">
        <v>30</v>
      </c>
      <c r="O15" s="16"/>
      <c r="P15" s="24" t="s">
        <v>51</v>
      </c>
      <c r="Q15" s="23"/>
      <c r="R15" s="29">
        <f t="shared" si="2"/>
        <v>1</v>
      </c>
      <c r="S15" s="30" t="str">
        <f t="shared" si="0"/>
        <v>P00.013</v>
      </c>
    </row>
    <row r="16" spans="1:19">
      <c r="A16" s="16"/>
      <c r="B16" s="16"/>
      <c r="C16" s="16"/>
      <c r="D16" s="21">
        <f>INDEX(D:D,ROW()-1)+_xlfn.IFS(INDEX(E:E,ROW()-1)="u16",1,INDEX(E:E,ROW()-1)="s16",1,INDEX(E:E,ROW()-1)="s32",2,INDEX(E:E,ROW()-1)="s64",4,INDEX(E:E,ROW()-1)="u16",1,INDEX(E:E,ROW()-1)="u32",2,INDEX(E:E,ROW()-1)="u64",4,INDEX(E:E,ROW()-1)="f32",2,INDEX(E:E,ROW()-1)="f64",4)</f>
        <v>14</v>
      </c>
      <c r="E16" s="18" t="s">
        <v>31</v>
      </c>
      <c r="F16" s="19" t="s">
        <v>52</v>
      </c>
      <c r="G16" s="20" t="s">
        <v>24</v>
      </c>
      <c r="H16" s="20" t="s">
        <v>24</v>
      </c>
      <c r="I16" s="20" t="s">
        <v>33</v>
      </c>
      <c r="J16" s="16" t="s">
        <v>26</v>
      </c>
      <c r="K16" s="16" t="s">
        <v>27</v>
      </c>
      <c r="L16" s="16" t="s">
        <v>34</v>
      </c>
      <c r="M16" s="16" t="s">
        <v>29</v>
      </c>
      <c r="N16" s="18" t="s">
        <v>30</v>
      </c>
      <c r="O16" s="16"/>
      <c r="P16" s="24" t="s">
        <v>53</v>
      </c>
      <c r="Q16" s="23"/>
      <c r="R16" s="29">
        <f t="shared" si="2"/>
        <v>1</v>
      </c>
      <c r="S16" s="30" t="str">
        <f t="shared" si="0"/>
        <v>P00.014</v>
      </c>
    </row>
    <row r="17" spans="1:19">
      <c r="A17" s="16"/>
      <c r="B17" s="16"/>
      <c r="C17" s="16"/>
      <c r="D17" s="21">
        <f>INDEX(D:D,ROW()-1)+_xlfn.IFS(INDEX(E:E,ROW()-1)="u16",1,INDEX(E:E,ROW()-1)="s16",1,INDEX(E:E,ROW()-1)="s32",2,INDEX(E:E,ROW()-1)="s64",4,INDEX(E:E,ROW()-1)="u16",1,INDEX(E:E,ROW()-1)="u32",2,INDEX(E:E,ROW()-1)="u64",4,INDEX(E:E,ROW()-1)="f32",2,INDEX(E:E,ROW()-1)="f64",4)</f>
        <v>15</v>
      </c>
      <c r="E17" s="18" t="s">
        <v>31</v>
      </c>
      <c r="F17" s="19" t="s">
        <v>54</v>
      </c>
      <c r="G17" s="20" t="s">
        <v>24</v>
      </c>
      <c r="H17" s="20" t="s">
        <v>24</v>
      </c>
      <c r="I17" s="20" t="s">
        <v>33</v>
      </c>
      <c r="J17" s="16" t="s">
        <v>26</v>
      </c>
      <c r="K17" s="16" t="s">
        <v>27</v>
      </c>
      <c r="L17" s="16" t="s">
        <v>34</v>
      </c>
      <c r="M17" s="16" t="s">
        <v>29</v>
      </c>
      <c r="N17" s="18" t="s">
        <v>30</v>
      </c>
      <c r="O17" s="16"/>
      <c r="P17" s="24" t="s">
        <v>55</v>
      </c>
      <c r="Q17" s="23"/>
      <c r="R17" s="29">
        <f t="shared" si="2"/>
        <v>1</v>
      </c>
      <c r="S17" s="30" t="str">
        <f t="shared" si="0"/>
        <v>P00.015</v>
      </c>
    </row>
    <row r="18" spans="1:19">
      <c r="A18" s="16"/>
      <c r="B18" s="16"/>
      <c r="C18" s="16"/>
      <c r="D18" s="21">
        <f>INDEX(D:D,ROW()-1)+_xlfn.IFS(INDEX(E:E,ROW()-1)="u16",1,INDEX(E:E,ROW()-1)="s16",1,INDEX(E:E,ROW()-1)="s32",2,INDEX(E:E,ROW()-1)="s64",4,INDEX(E:E,ROW()-1)="u16",1,INDEX(E:E,ROW()-1)="u32",2,INDEX(E:E,ROW()-1)="u64",4,INDEX(E:E,ROW()-1)="f32",2,INDEX(E:E,ROW()-1)="f64",4)</f>
        <v>16</v>
      </c>
      <c r="E18" s="18" t="s">
        <v>31</v>
      </c>
      <c r="F18" s="19" t="s">
        <v>56</v>
      </c>
      <c r="G18" s="20" t="s">
        <v>24</v>
      </c>
      <c r="H18" s="20" t="s">
        <v>24</v>
      </c>
      <c r="I18" s="20" t="s">
        <v>33</v>
      </c>
      <c r="J18" s="16" t="s">
        <v>26</v>
      </c>
      <c r="K18" s="16" t="s">
        <v>27</v>
      </c>
      <c r="L18" s="16" t="s">
        <v>34</v>
      </c>
      <c r="M18" s="16" t="s">
        <v>29</v>
      </c>
      <c r="N18" s="18" t="s">
        <v>30</v>
      </c>
      <c r="O18" s="16"/>
      <c r="P18" s="24" t="s">
        <v>57</v>
      </c>
      <c r="Q18" s="23"/>
      <c r="R18" s="29">
        <f t="shared" si="2"/>
        <v>1</v>
      </c>
      <c r="S18" s="30" t="str">
        <f t="shared" si="0"/>
        <v>P00.016</v>
      </c>
    </row>
    <row r="19" spans="1:19">
      <c r="A19" s="16"/>
      <c r="B19" s="16"/>
      <c r="C19" s="16"/>
      <c r="D19" s="21">
        <f>INDEX(D:D,ROW()-1)+_xlfn.IFS(INDEX(E:E,ROW()-1)="u16",1,INDEX(E:E,ROW()-1)="s16",1,INDEX(E:E,ROW()-1)="s32",2,INDEX(E:E,ROW()-1)="s64",4,INDEX(E:E,ROW()-1)="u16",1,INDEX(E:E,ROW()-1)="u32",2,INDEX(E:E,ROW()-1)="u64",4,INDEX(E:E,ROW()-1)="f32",2,INDEX(E:E,ROW()-1)="f64",4)</f>
        <v>17</v>
      </c>
      <c r="E19" s="18" t="s">
        <v>31</v>
      </c>
      <c r="F19" s="19" t="s">
        <v>58</v>
      </c>
      <c r="G19" s="20" t="s">
        <v>24</v>
      </c>
      <c r="H19" s="20" t="s">
        <v>24</v>
      </c>
      <c r="I19" s="20" t="s">
        <v>33</v>
      </c>
      <c r="J19" s="16" t="s">
        <v>26</v>
      </c>
      <c r="K19" s="16" t="s">
        <v>27</v>
      </c>
      <c r="L19" s="16" t="s">
        <v>34</v>
      </c>
      <c r="M19" s="16" t="s">
        <v>29</v>
      </c>
      <c r="N19" s="18" t="s">
        <v>30</v>
      </c>
      <c r="O19" s="16"/>
      <c r="P19" s="24" t="s">
        <v>59</v>
      </c>
      <c r="Q19" s="23"/>
      <c r="R19" s="29">
        <f t="shared" si="2"/>
        <v>1</v>
      </c>
      <c r="S19" s="30" t="str">
        <f t="shared" si="0"/>
        <v>P00.017</v>
      </c>
    </row>
    <row r="20" spans="1:19">
      <c r="A20" s="16"/>
      <c r="B20" s="16"/>
      <c r="C20" s="16"/>
      <c r="D20" s="21">
        <f>INDEX(D:D,ROW()-1)+_xlfn.IFS(INDEX(E:E,ROW()-1)="u16",1,INDEX(E:E,ROW()-1)="s16",1,INDEX(E:E,ROW()-1)="s32",2,INDEX(E:E,ROW()-1)="s64",4,INDEX(E:E,ROW()-1)="u16",1,INDEX(E:E,ROW()-1)="u32",2,INDEX(E:E,ROW()-1)="u64",4,INDEX(E:E,ROW()-1)="f32",2,INDEX(E:E,ROW()-1)="f64",4)</f>
        <v>18</v>
      </c>
      <c r="E20" s="18" t="s">
        <v>31</v>
      </c>
      <c r="F20" s="22"/>
      <c r="G20" s="20" t="s">
        <v>24</v>
      </c>
      <c r="H20" s="20" t="s">
        <v>24</v>
      </c>
      <c r="I20" s="20" t="s">
        <v>33</v>
      </c>
      <c r="J20" s="16" t="s">
        <v>26</v>
      </c>
      <c r="K20" s="16" t="s">
        <v>27</v>
      </c>
      <c r="L20" s="16" t="s">
        <v>34</v>
      </c>
      <c r="M20" s="16" t="s">
        <v>29</v>
      </c>
      <c r="N20" s="18" t="s">
        <v>30</v>
      </c>
      <c r="O20" s="16"/>
      <c r="P20" s="23"/>
      <c r="Q20" s="23"/>
      <c r="R20" s="29">
        <f t="shared" si="2"/>
        <v>1</v>
      </c>
      <c r="S20" s="30" t="str">
        <f t="shared" si="0"/>
        <v>P00.018</v>
      </c>
    </row>
    <row r="21" spans="1:19">
      <c r="A21" s="16"/>
      <c r="B21" s="16"/>
      <c r="C21" s="16"/>
      <c r="D21" s="21">
        <f>INDEX(D:D,ROW()-1)+_xlfn.IFS(INDEX(E:E,ROW()-1)="u16",1,INDEX(E:E,ROW()-1)="s16",1,INDEX(E:E,ROW()-1)="s32",2,INDEX(E:E,ROW()-1)="s64",4,INDEX(E:E,ROW()-1)="u16",1,INDEX(E:E,ROW()-1)="u32",2,INDEX(E:E,ROW()-1)="u64",4,INDEX(E:E,ROW()-1)="f32",2,INDEX(E:E,ROW()-1)="f64",4)</f>
        <v>19</v>
      </c>
      <c r="E21" s="18" t="s">
        <v>31</v>
      </c>
      <c r="F21" s="24" t="s">
        <v>60</v>
      </c>
      <c r="G21" s="20" t="s">
        <v>61</v>
      </c>
      <c r="H21" s="20" t="s">
        <v>24</v>
      </c>
      <c r="I21" s="20" t="s">
        <v>33</v>
      </c>
      <c r="J21" s="16" t="s">
        <v>26</v>
      </c>
      <c r="K21" s="16" t="s">
        <v>62</v>
      </c>
      <c r="L21" s="16" t="s">
        <v>63</v>
      </c>
      <c r="M21" s="16" t="s">
        <v>29</v>
      </c>
      <c r="N21" s="18" t="s">
        <v>64</v>
      </c>
      <c r="O21" s="16"/>
      <c r="P21" s="24" t="s">
        <v>65</v>
      </c>
      <c r="Q21" s="23"/>
      <c r="R21" s="29">
        <f t="shared" si="2"/>
        <v>1</v>
      </c>
      <c r="S21" s="30" t="str">
        <f t="shared" si="0"/>
        <v>P00.019</v>
      </c>
    </row>
    <row r="22" spans="1:19">
      <c r="A22" s="16"/>
      <c r="B22" s="16"/>
      <c r="C22" s="16"/>
      <c r="D22" s="21">
        <f>INDEX(D:D,ROW()-1)+_xlfn.IFS(INDEX(E:E,ROW()-1)="u16",1,INDEX(E:E,ROW()-1)="s16",1,INDEX(E:E,ROW()-1)="s32",2,INDEX(E:E,ROW()-1)="s64",4,INDEX(E:E,ROW()-1)="u16",1,INDEX(E:E,ROW()-1)="u32",2,INDEX(E:E,ROW()-1)="u64",4,INDEX(E:E,ROW()-1)="f32",2,INDEX(E:E,ROW()-1)="f64",4)</f>
        <v>20</v>
      </c>
      <c r="E22" s="18" t="s">
        <v>31</v>
      </c>
      <c r="F22" s="22"/>
      <c r="G22" s="20" t="s">
        <v>24</v>
      </c>
      <c r="H22" s="20" t="s">
        <v>24</v>
      </c>
      <c r="I22" s="20" t="s">
        <v>33</v>
      </c>
      <c r="J22" s="16" t="s">
        <v>26</v>
      </c>
      <c r="K22" s="16" t="s">
        <v>27</v>
      </c>
      <c r="L22" s="16" t="s">
        <v>34</v>
      </c>
      <c r="M22" s="16" t="s">
        <v>29</v>
      </c>
      <c r="N22" s="18" t="s">
        <v>30</v>
      </c>
      <c r="O22" s="16"/>
      <c r="P22" s="23"/>
      <c r="Q22" s="23"/>
      <c r="R22" s="29">
        <f t="shared" si="2"/>
        <v>1</v>
      </c>
      <c r="S22" s="30" t="str">
        <f t="shared" si="0"/>
        <v>P00.020</v>
      </c>
    </row>
    <row r="23" spans="1:19">
      <c r="A23" s="16"/>
      <c r="B23" s="16"/>
      <c r="C23" s="16"/>
      <c r="D23" s="21">
        <f t="shared" ref="D23:D69" si="3">INDEX(D:D,ROW()-1)+_xlfn.IFS(INDEX(E:E,ROW()-1)="u16",1,INDEX(E:E,ROW()-1)="s16",1,INDEX(E:E,ROW()-1)="s32",2,INDEX(E:E,ROW()-1)="s64",4,INDEX(E:E,ROW()-1)="u16",1,INDEX(E:E,ROW()-1)="u32",2,INDEX(E:E,ROW()-1)="u64",4,INDEX(E:E,ROW()-1)="f32",2,INDEX(E:E,ROW()-1)="f64",4)</f>
        <v>21</v>
      </c>
      <c r="E23" s="18" t="s">
        <v>31</v>
      </c>
      <c r="F23" s="24" t="s">
        <v>66</v>
      </c>
      <c r="G23" s="20" t="s">
        <v>24</v>
      </c>
      <c r="H23" s="20" t="s">
        <v>24</v>
      </c>
      <c r="I23" s="20" t="s">
        <v>33</v>
      </c>
      <c r="J23" s="16" t="s">
        <v>26</v>
      </c>
      <c r="K23" s="16" t="s">
        <v>62</v>
      </c>
      <c r="L23" s="16" t="s">
        <v>34</v>
      </c>
      <c r="M23" s="16" t="s">
        <v>29</v>
      </c>
      <c r="N23" s="18" t="s">
        <v>30</v>
      </c>
      <c r="O23" s="24"/>
      <c r="P23" s="24" t="s">
        <v>67</v>
      </c>
      <c r="Q23" s="23"/>
      <c r="R23" s="29">
        <f t="shared" si="2"/>
        <v>1</v>
      </c>
      <c r="S23" s="30" t="str">
        <f t="shared" ref="S23:S40" si="4">"P"&amp;TEXT(INT(D23/256),"00")&amp;"."&amp;TEXT(MOD(D23,256),"000")</f>
        <v>P00.021</v>
      </c>
    </row>
    <row r="24" ht="39.6" spans="1:19">
      <c r="A24" s="16"/>
      <c r="B24" s="16"/>
      <c r="C24" s="16"/>
      <c r="D24" s="21">
        <f t="shared" si="3"/>
        <v>22</v>
      </c>
      <c r="E24" s="18" t="s">
        <v>31</v>
      </c>
      <c r="F24" s="24" t="s">
        <v>68</v>
      </c>
      <c r="G24" s="20" t="s">
        <v>24</v>
      </c>
      <c r="H24" s="20" t="s">
        <v>24</v>
      </c>
      <c r="I24" s="20" t="s">
        <v>69</v>
      </c>
      <c r="J24" s="16" t="s">
        <v>26</v>
      </c>
      <c r="K24" s="16" t="s">
        <v>27</v>
      </c>
      <c r="L24" s="16" t="s">
        <v>34</v>
      </c>
      <c r="M24" s="16" t="s">
        <v>29</v>
      </c>
      <c r="N24" s="18" t="s">
        <v>30</v>
      </c>
      <c r="O24" s="24"/>
      <c r="P24" s="24" t="s">
        <v>70</v>
      </c>
      <c r="Q24" s="31" t="s">
        <v>71</v>
      </c>
      <c r="R24" s="29">
        <f t="shared" si="2"/>
        <v>1</v>
      </c>
      <c r="S24" s="30" t="str">
        <f t="shared" si="4"/>
        <v>P00.022</v>
      </c>
    </row>
    <row r="25" spans="1:19">
      <c r="A25" s="16"/>
      <c r="B25" s="16"/>
      <c r="C25" s="16"/>
      <c r="D25" s="21">
        <f t="shared" si="3"/>
        <v>23</v>
      </c>
      <c r="E25" s="18" t="s">
        <v>31</v>
      </c>
      <c r="F25" s="24" t="s">
        <v>72</v>
      </c>
      <c r="G25" s="20" t="s">
        <v>24</v>
      </c>
      <c r="H25" s="20" t="s">
        <v>24</v>
      </c>
      <c r="I25" s="20" t="s">
        <v>73</v>
      </c>
      <c r="J25" s="16" t="s">
        <v>26</v>
      </c>
      <c r="K25" s="16" t="s">
        <v>62</v>
      </c>
      <c r="L25" s="16" t="s">
        <v>34</v>
      </c>
      <c r="M25" s="16" t="s">
        <v>29</v>
      </c>
      <c r="N25" s="18" t="s">
        <v>30</v>
      </c>
      <c r="O25" s="24"/>
      <c r="P25" s="24" t="s">
        <v>74</v>
      </c>
      <c r="Q25" s="24" t="s">
        <v>75</v>
      </c>
      <c r="R25" s="29">
        <f t="shared" si="2"/>
        <v>0</v>
      </c>
      <c r="S25" s="30" t="str">
        <f t="shared" si="4"/>
        <v>P00.023</v>
      </c>
    </row>
    <row r="26" spans="1:19">
      <c r="A26" s="16"/>
      <c r="B26" s="16"/>
      <c r="C26" s="16"/>
      <c r="D26" s="21">
        <f t="shared" si="3"/>
        <v>24</v>
      </c>
      <c r="E26" s="18" t="s">
        <v>31</v>
      </c>
      <c r="F26" s="22"/>
      <c r="G26" s="20" t="s">
        <v>24</v>
      </c>
      <c r="H26" s="20" t="s">
        <v>24</v>
      </c>
      <c r="I26" s="20" t="s">
        <v>33</v>
      </c>
      <c r="J26" s="16" t="s">
        <v>26</v>
      </c>
      <c r="K26" s="16" t="s">
        <v>27</v>
      </c>
      <c r="L26" s="16" t="s">
        <v>34</v>
      </c>
      <c r="M26" s="16" t="s">
        <v>29</v>
      </c>
      <c r="N26" s="18" t="s">
        <v>30</v>
      </c>
      <c r="O26" s="16"/>
      <c r="P26" s="23"/>
      <c r="Q26" s="23"/>
      <c r="R26" s="29">
        <f t="shared" si="2"/>
        <v>1</v>
      </c>
      <c r="S26" s="30" t="str">
        <f t="shared" si="4"/>
        <v>P00.024</v>
      </c>
    </row>
    <row r="27" ht="52.8" spans="1:19">
      <c r="A27" s="16"/>
      <c r="B27" s="16"/>
      <c r="C27" s="16"/>
      <c r="D27" s="21">
        <f t="shared" si="3"/>
        <v>25</v>
      </c>
      <c r="E27" s="18" t="s">
        <v>31</v>
      </c>
      <c r="F27" s="23" t="s">
        <v>76</v>
      </c>
      <c r="G27" s="20" t="s">
        <v>24</v>
      </c>
      <c r="H27" s="20" t="s">
        <v>24</v>
      </c>
      <c r="I27" s="20" t="s">
        <v>77</v>
      </c>
      <c r="J27" s="16" t="s">
        <v>26</v>
      </c>
      <c r="K27" s="16" t="s">
        <v>62</v>
      </c>
      <c r="L27" s="16" t="s">
        <v>34</v>
      </c>
      <c r="M27" s="16" t="s">
        <v>29</v>
      </c>
      <c r="N27" s="18" t="s">
        <v>30</v>
      </c>
      <c r="O27" s="16"/>
      <c r="P27" s="27" t="s">
        <v>78</v>
      </c>
      <c r="Q27" s="27" t="s">
        <v>79</v>
      </c>
      <c r="R27" s="29">
        <f t="shared" si="2"/>
        <v>0</v>
      </c>
      <c r="S27" s="30" t="str">
        <f t="shared" si="4"/>
        <v>P00.025</v>
      </c>
    </row>
    <row r="28" ht="52.8" spans="1:19">
      <c r="A28" s="16"/>
      <c r="B28" s="16"/>
      <c r="C28" s="16"/>
      <c r="D28" s="21">
        <f t="shared" si="3"/>
        <v>26</v>
      </c>
      <c r="E28" s="18" t="s">
        <v>31</v>
      </c>
      <c r="F28" s="23" t="s">
        <v>80</v>
      </c>
      <c r="G28" s="20" t="s">
        <v>24</v>
      </c>
      <c r="H28" s="20" t="s">
        <v>24</v>
      </c>
      <c r="I28" s="20" t="s">
        <v>81</v>
      </c>
      <c r="J28" s="16" t="s">
        <v>26</v>
      </c>
      <c r="K28" s="16" t="s">
        <v>27</v>
      </c>
      <c r="L28" s="16" t="s">
        <v>34</v>
      </c>
      <c r="M28" s="16" t="s">
        <v>29</v>
      </c>
      <c r="N28" s="18" t="s">
        <v>30</v>
      </c>
      <c r="O28" s="16"/>
      <c r="P28" s="27" t="s">
        <v>82</v>
      </c>
      <c r="Q28" s="27" t="s">
        <v>83</v>
      </c>
      <c r="R28" s="29">
        <f t="shared" si="2"/>
        <v>0</v>
      </c>
      <c r="S28" s="30" t="str">
        <f t="shared" si="4"/>
        <v>P00.026</v>
      </c>
    </row>
    <row r="29" spans="1:19">
      <c r="A29" s="16"/>
      <c r="B29" s="16"/>
      <c r="C29" s="16"/>
      <c r="D29" s="21">
        <f t="shared" si="3"/>
        <v>27</v>
      </c>
      <c r="E29" s="18" t="s">
        <v>31</v>
      </c>
      <c r="F29" s="23"/>
      <c r="G29" s="20" t="s">
        <v>24</v>
      </c>
      <c r="H29" s="20" t="s">
        <v>24</v>
      </c>
      <c r="I29" s="20" t="s">
        <v>33</v>
      </c>
      <c r="J29" s="16" t="s">
        <v>26</v>
      </c>
      <c r="K29" s="16" t="s">
        <v>27</v>
      </c>
      <c r="L29" s="16" t="s">
        <v>34</v>
      </c>
      <c r="M29" s="16" t="s">
        <v>29</v>
      </c>
      <c r="N29" s="18" t="s">
        <v>30</v>
      </c>
      <c r="O29" s="16"/>
      <c r="P29" s="23"/>
      <c r="Q29" s="24"/>
      <c r="R29" s="29">
        <f t="shared" ref="R29:R71" si="5">IF(OR(F29="",LEFT(TRIM(F29),3)=E29),1,0)</f>
        <v>1</v>
      </c>
      <c r="S29" s="30" t="str">
        <f t="shared" si="4"/>
        <v>P00.027</v>
      </c>
    </row>
    <row r="30" spans="1:19">
      <c r="A30" s="16"/>
      <c r="B30" s="16"/>
      <c r="C30" s="16"/>
      <c r="D30" s="21">
        <f t="shared" si="3"/>
        <v>28</v>
      </c>
      <c r="E30" s="18" t="s">
        <v>31</v>
      </c>
      <c r="F30" s="24" t="s">
        <v>84</v>
      </c>
      <c r="G30" s="20" t="s">
        <v>24</v>
      </c>
      <c r="H30" s="20" t="s">
        <v>24</v>
      </c>
      <c r="I30" s="20" t="s">
        <v>33</v>
      </c>
      <c r="J30" s="16" t="s">
        <v>26</v>
      </c>
      <c r="K30" s="16" t="s">
        <v>27</v>
      </c>
      <c r="L30" s="16" t="s">
        <v>34</v>
      </c>
      <c r="M30" s="16" t="s">
        <v>29</v>
      </c>
      <c r="N30" s="18" t="s">
        <v>30</v>
      </c>
      <c r="O30" s="16"/>
      <c r="P30" s="24" t="s">
        <v>85</v>
      </c>
      <c r="Q30" s="23"/>
      <c r="R30" s="29">
        <f t="shared" si="5"/>
        <v>1</v>
      </c>
      <c r="S30" s="30" t="str">
        <f t="shared" si="4"/>
        <v>P00.028</v>
      </c>
    </row>
    <row r="31" spans="1:19">
      <c r="A31" s="16"/>
      <c r="B31" s="16"/>
      <c r="C31" s="16"/>
      <c r="D31" s="21">
        <f t="shared" si="3"/>
        <v>29</v>
      </c>
      <c r="E31" s="18" t="s">
        <v>31</v>
      </c>
      <c r="F31" s="24" t="s">
        <v>86</v>
      </c>
      <c r="G31" s="20" t="s">
        <v>24</v>
      </c>
      <c r="H31" s="20" t="s">
        <v>24</v>
      </c>
      <c r="I31" s="20" t="s">
        <v>33</v>
      </c>
      <c r="J31" s="16" t="s">
        <v>26</v>
      </c>
      <c r="K31" s="16" t="s">
        <v>27</v>
      </c>
      <c r="L31" s="16" t="s">
        <v>34</v>
      </c>
      <c r="M31" s="16" t="s">
        <v>29</v>
      </c>
      <c r="N31" s="18" t="s">
        <v>30</v>
      </c>
      <c r="O31" s="16"/>
      <c r="P31" s="24" t="s">
        <v>87</v>
      </c>
      <c r="Q31" s="23"/>
      <c r="R31" s="29">
        <f t="shared" si="5"/>
        <v>1</v>
      </c>
      <c r="S31" s="30" t="str">
        <f t="shared" si="4"/>
        <v>P00.029</v>
      </c>
    </row>
    <row r="32" spans="1:19">
      <c r="A32" s="16"/>
      <c r="B32" s="16"/>
      <c r="C32" s="16"/>
      <c r="D32" s="21">
        <f t="shared" si="3"/>
        <v>30</v>
      </c>
      <c r="E32" s="18" t="s">
        <v>31</v>
      </c>
      <c r="F32" s="23"/>
      <c r="G32" s="20" t="s">
        <v>24</v>
      </c>
      <c r="H32" s="20" t="s">
        <v>24</v>
      </c>
      <c r="I32" s="20" t="s">
        <v>33</v>
      </c>
      <c r="J32" s="16" t="s">
        <v>26</v>
      </c>
      <c r="K32" s="16" t="s">
        <v>27</v>
      </c>
      <c r="L32" s="16" t="s">
        <v>34</v>
      </c>
      <c r="M32" s="16" t="s">
        <v>29</v>
      </c>
      <c r="N32" s="18" t="s">
        <v>30</v>
      </c>
      <c r="O32" s="16"/>
      <c r="P32" s="23"/>
      <c r="Q32" s="23"/>
      <c r="R32" s="29">
        <f t="shared" si="5"/>
        <v>1</v>
      </c>
      <c r="S32" s="30" t="str">
        <f t="shared" si="4"/>
        <v>P00.030</v>
      </c>
    </row>
    <row r="33" spans="1:19">
      <c r="A33" s="16"/>
      <c r="B33" s="16"/>
      <c r="C33" s="16"/>
      <c r="D33" s="21">
        <f t="shared" si="3"/>
        <v>31</v>
      </c>
      <c r="E33" s="18" t="s">
        <v>88</v>
      </c>
      <c r="F33" s="24" t="s">
        <v>89</v>
      </c>
      <c r="G33" s="20" t="s">
        <v>24</v>
      </c>
      <c r="H33" s="20" t="s">
        <v>90</v>
      </c>
      <c r="I33" s="20" t="s">
        <v>91</v>
      </c>
      <c r="J33" s="16" t="s">
        <v>92</v>
      </c>
      <c r="K33" s="16" t="s">
        <v>27</v>
      </c>
      <c r="L33" s="16" t="s">
        <v>34</v>
      </c>
      <c r="M33" s="16" t="s">
        <v>29</v>
      </c>
      <c r="N33" s="18" t="s">
        <v>30</v>
      </c>
      <c r="O33" s="16"/>
      <c r="P33" s="24" t="s">
        <v>93</v>
      </c>
      <c r="Q33" s="23"/>
      <c r="R33" s="29">
        <f t="shared" si="5"/>
        <v>1</v>
      </c>
      <c r="S33" s="30" t="str">
        <f t="shared" si="4"/>
        <v>P00.031</v>
      </c>
    </row>
    <row r="34" spans="1:19">
      <c r="A34" s="16"/>
      <c r="B34" s="16"/>
      <c r="C34" s="16"/>
      <c r="D34" s="21">
        <f t="shared" si="3"/>
        <v>32</v>
      </c>
      <c r="E34" s="18" t="s">
        <v>88</v>
      </c>
      <c r="F34" s="24" t="s">
        <v>94</v>
      </c>
      <c r="G34" s="20" t="s">
        <v>24</v>
      </c>
      <c r="H34" s="20" t="s">
        <v>90</v>
      </c>
      <c r="I34" s="20" t="s">
        <v>91</v>
      </c>
      <c r="J34" s="16" t="s">
        <v>92</v>
      </c>
      <c r="K34" s="16" t="s">
        <v>27</v>
      </c>
      <c r="L34" s="16" t="s">
        <v>34</v>
      </c>
      <c r="M34" s="16" t="s">
        <v>29</v>
      </c>
      <c r="N34" s="18" t="s">
        <v>30</v>
      </c>
      <c r="O34" s="16"/>
      <c r="P34" s="24" t="s">
        <v>95</v>
      </c>
      <c r="Q34" s="23"/>
      <c r="R34" s="29">
        <f t="shared" si="5"/>
        <v>1</v>
      </c>
      <c r="S34" s="30" t="str">
        <f t="shared" si="4"/>
        <v>P00.032</v>
      </c>
    </row>
    <row r="35" spans="1:19">
      <c r="A35" s="16"/>
      <c r="B35" s="16"/>
      <c r="C35" s="16"/>
      <c r="D35" s="21">
        <f t="shared" si="3"/>
        <v>33</v>
      </c>
      <c r="E35" s="18" t="s">
        <v>88</v>
      </c>
      <c r="F35" s="24" t="s">
        <v>96</v>
      </c>
      <c r="G35" s="20" t="s">
        <v>24</v>
      </c>
      <c r="H35" s="20" t="s">
        <v>90</v>
      </c>
      <c r="I35" s="20" t="s">
        <v>91</v>
      </c>
      <c r="J35" s="16" t="s">
        <v>92</v>
      </c>
      <c r="K35" s="16" t="s">
        <v>27</v>
      </c>
      <c r="L35" s="16" t="s">
        <v>34</v>
      </c>
      <c r="M35" s="16" t="s">
        <v>29</v>
      </c>
      <c r="N35" s="18" t="s">
        <v>30</v>
      </c>
      <c r="O35" s="16"/>
      <c r="P35" s="24" t="s">
        <v>97</v>
      </c>
      <c r="Q35" s="23"/>
      <c r="R35" s="29">
        <f t="shared" si="5"/>
        <v>1</v>
      </c>
      <c r="S35" s="30" t="str">
        <f t="shared" si="4"/>
        <v>P00.033</v>
      </c>
    </row>
    <row r="36" spans="1:19">
      <c r="A36" s="16"/>
      <c r="B36" s="16"/>
      <c r="C36" s="16"/>
      <c r="D36" s="21">
        <f t="shared" si="3"/>
        <v>34</v>
      </c>
      <c r="E36" s="18" t="s">
        <v>88</v>
      </c>
      <c r="F36" s="24" t="s">
        <v>98</v>
      </c>
      <c r="G36" s="20" t="s">
        <v>24</v>
      </c>
      <c r="H36" s="20" t="s">
        <v>90</v>
      </c>
      <c r="I36" s="20" t="s">
        <v>91</v>
      </c>
      <c r="J36" s="16" t="s">
        <v>92</v>
      </c>
      <c r="K36" s="16" t="s">
        <v>27</v>
      </c>
      <c r="L36" s="16" t="s">
        <v>34</v>
      </c>
      <c r="M36" s="16" t="s">
        <v>29</v>
      </c>
      <c r="N36" s="18" t="s">
        <v>30</v>
      </c>
      <c r="O36" s="16"/>
      <c r="P36" s="24" t="s">
        <v>99</v>
      </c>
      <c r="Q36" s="23"/>
      <c r="R36" s="29">
        <f t="shared" si="5"/>
        <v>1</v>
      </c>
      <c r="S36" s="30" t="str">
        <f t="shared" si="4"/>
        <v>P00.034</v>
      </c>
    </row>
    <row r="37" spans="1:19">
      <c r="A37" s="16"/>
      <c r="B37" s="16"/>
      <c r="C37" s="16"/>
      <c r="D37" s="21">
        <f t="shared" si="3"/>
        <v>35</v>
      </c>
      <c r="E37" s="18" t="s">
        <v>31</v>
      </c>
      <c r="F37" s="23"/>
      <c r="G37" s="20" t="s">
        <v>24</v>
      </c>
      <c r="H37" s="20" t="s">
        <v>24</v>
      </c>
      <c r="I37" s="20" t="s">
        <v>33</v>
      </c>
      <c r="J37" s="16" t="s">
        <v>26</v>
      </c>
      <c r="K37" s="16" t="s">
        <v>27</v>
      </c>
      <c r="L37" s="16" t="s">
        <v>34</v>
      </c>
      <c r="M37" s="16" t="s">
        <v>29</v>
      </c>
      <c r="N37" s="18" t="s">
        <v>30</v>
      </c>
      <c r="O37" s="16"/>
      <c r="P37" s="24"/>
      <c r="Q37" s="23"/>
      <c r="R37" s="29">
        <f t="shared" si="5"/>
        <v>1</v>
      </c>
      <c r="S37" s="30" t="str">
        <f t="shared" ref="S37:S56" si="6">"P"&amp;TEXT(INT(D37/256),"00")&amp;"."&amp;TEXT(MOD(D37,256),"000")</f>
        <v>P00.035</v>
      </c>
    </row>
    <row r="38" spans="1:19">
      <c r="A38" s="16"/>
      <c r="B38" s="16"/>
      <c r="C38" s="16"/>
      <c r="D38" s="21">
        <f t="shared" si="3"/>
        <v>36</v>
      </c>
      <c r="E38" s="18" t="s">
        <v>31</v>
      </c>
      <c r="F38" s="23" t="s">
        <v>100</v>
      </c>
      <c r="G38" s="20" t="s">
        <v>24</v>
      </c>
      <c r="H38" s="20" t="s">
        <v>24</v>
      </c>
      <c r="I38" s="20" t="s">
        <v>33</v>
      </c>
      <c r="J38" s="16" t="s">
        <v>101</v>
      </c>
      <c r="K38" s="16" t="s">
        <v>62</v>
      </c>
      <c r="L38" s="16" t="s">
        <v>28</v>
      </c>
      <c r="M38" s="16" t="s">
        <v>29</v>
      </c>
      <c r="N38" s="18" t="s">
        <v>30</v>
      </c>
      <c r="O38" s="16"/>
      <c r="P38" s="24" t="s">
        <v>102</v>
      </c>
      <c r="Q38" s="23"/>
      <c r="R38" s="29">
        <f t="shared" si="5"/>
        <v>1</v>
      </c>
      <c r="S38" s="30" t="str">
        <f t="shared" si="6"/>
        <v>P00.036</v>
      </c>
    </row>
    <row r="39" spans="1:19">
      <c r="A39" s="16"/>
      <c r="B39" s="16"/>
      <c r="C39" s="16"/>
      <c r="D39" s="21">
        <f t="shared" si="3"/>
        <v>37</v>
      </c>
      <c r="E39" s="18" t="s">
        <v>31</v>
      </c>
      <c r="F39" s="23" t="s">
        <v>103</v>
      </c>
      <c r="G39" s="20" t="s">
        <v>104</v>
      </c>
      <c r="H39" s="20" t="s">
        <v>24</v>
      </c>
      <c r="I39" s="20" t="s">
        <v>33</v>
      </c>
      <c r="J39" s="16" t="s">
        <v>105</v>
      </c>
      <c r="K39" s="16" t="s">
        <v>62</v>
      </c>
      <c r="L39" s="16" t="s">
        <v>28</v>
      </c>
      <c r="M39" s="16" t="s">
        <v>29</v>
      </c>
      <c r="N39" s="18" t="s">
        <v>30</v>
      </c>
      <c r="O39" s="16"/>
      <c r="P39" s="24" t="s">
        <v>106</v>
      </c>
      <c r="Q39" s="23"/>
      <c r="R39" s="29">
        <f t="shared" si="5"/>
        <v>1</v>
      </c>
      <c r="S39" s="30" t="str">
        <f t="shared" si="6"/>
        <v>P00.037</v>
      </c>
    </row>
    <row r="40" spans="1:19">
      <c r="A40" s="16"/>
      <c r="B40" s="16"/>
      <c r="C40" s="16"/>
      <c r="D40" s="21">
        <f t="shared" si="3"/>
        <v>38</v>
      </c>
      <c r="E40" s="18" t="s">
        <v>88</v>
      </c>
      <c r="F40" s="23" t="s">
        <v>107</v>
      </c>
      <c r="G40" s="20" t="s">
        <v>24</v>
      </c>
      <c r="H40" s="20" t="s">
        <v>90</v>
      </c>
      <c r="I40" s="20" t="s">
        <v>91</v>
      </c>
      <c r="J40" s="16" t="s">
        <v>26</v>
      </c>
      <c r="K40" s="16" t="s">
        <v>62</v>
      </c>
      <c r="L40" s="16" t="s">
        <v>28</v>
      </c>
      <c r="M40" s="16" t="s">
        <v>29</v>
      </c>
      <c r="N40" s="18" t="s">
        <v>30</v>
      </c>
      <c r="O40" s="16"/>
      <c r="P40" s="24" t="s">
        <v>108</v>
      </c>
      <c r="Q40" s="23"/>
      <c r="R40" s="29">
        <f t="shared" si="5"/>
        <v>1</v>
      </c>
      <c r="S40" s="30" t="str">
        <f t="shared" si="6"/>
        <v>P00.038</v>
      </c>
    </row>
    <row r="41" spans="1:21">
      <c r="A41" s="16"/>
      <c r="B41" s="16"/>
      <c r="C41" s="16"/>
      <c r="D41" s="21">
        <f t="shared" si="3"/>
        <v>39</v>
      </c>
      <c r="E41" s="18" t="s">
        <v>31</v>
      </c>
      <c r="F41" s="23" t="s">
        <v>109</v>
      </c>
      <c r="G41" s="20" t="s">
        <v>24</v>
      </c>
      <c r="H41" s="20" t="s">
        <v>24</v>
      </c>
      <c r="I41" s="20" t="s">
        <v>33</v>
      </c>
      <c r="J41" s="16" t="s">
        <v>26</v>
      </c>
      <c r="K41" s="16" t="s">
        <v>62</v>
      </c>
      <c r="L41" s="16" t="s">
        <v>28</v>
      </c>
      <c r="M41" s="16" t="s">
        <v>29</v>
      </c>
      <c r="N41" s="18" t="s">
        <v>30</v>
      </c>
      <c r="O41" s="16"/>
      <c r="P41" s="24" t="s">
        <v>110</v>
      </c>
      <c r="Q41" s="23"/>
      <c r="R41" s="29">
        <f t="shared" si="5"/>
        <v>1</v>
      </c>
      <c r="S41" s="30" t="str">
        <f t="shared" si="6"/>
        <v>P00.039</v>
      </c>
      <c r="U41" s="18"/>
    </row>
    <row r="42" spans="1:19">
      <c r="A42" s="16"/>
      <c r="B42" s="16"/>
      <c r="C42" s="16"/>
      <c r="D42" s="21">
        <f t="shared" si="3"/>
        <v>40</v>
      </c>
      <c r="E42" s="18" t="s">
        <v>31</v>
      </c>
      <c r="F42" s="23" t="s">
        <v>111</v>
      </c>
      <c r="G42" s="20" t="s">
        <v>24</v>
      </c>
      <c r="H42" s="20" t="s">
        <v>24</v>
      </c>
      <c r="I42" s="20" t="s">
        <v>33</v>
      </c>
      <c r="J42" s="16" t="s">
        <v>101</v>
      </c>
      <c r="K42" s="16" t="s">
        <v>62</v>
      </c>
      <c r="L42" s="16" t="s">
        <v>28</v>
      </c>
      <c r="M42" s="16" t="s">
        <v>29</v>
      </c>
      <c r="N42" s="18" t="s">
        <v>30</v>
      </c>
      <c r="O42" s="16"/>
      <c r="P42" s="24" t="s">
        <v>112</v>
      </c>
      <c r="Q42" s="23"/>
      <c r="R42" s="29">
        <f t="shared" si="5"/>
        <v>1</v>
      </c>
      <c r="S42" s="30" t="str">
        <f t="shared" si="6"/>
        <v>P00.040</v>
      </c>
    </row>
    <row r="43" spans="1:19">
      <c r="A43" s="16"/>
      <c r="B43" s="16"/>
      <c r="C43" s="16"/>
      <c r="D43" s="21">
        <f t="shared" si="3"/>
        <v>41</v>
      </c>
      <c r="E43" s="18" t="s">
        <v>31</v>
      </c>
      <c r="F43" s="23" t="s">
        <v>113</v>
      </c>
      <c r="G43" s="20" t="s">
        <v>104</v>
      </c>
      <c r="H43" s="20" t="s">
        <v>24</v>
      </c>
      <c r="I43" s="20" t="s">
        <v>33</v>
      </c>
      <c r="J43" s="16" t="s">
        <v>105</v>
      </c>
      <c r="K43" s="16" t="s">
        <v>62</v>
      </c>
      <c r="L43" s="16" t="s">
        <v>28</v>
      </c>
      <c r="M43" s="16" t="s">
        <v>29</v>
      </c>
      <c r="N43" s="18" t="s">
        <v>30</v>
      </c>
      <c r="O43" s="16"/>
      <c r="P43" s="24" t="s">
        <v>114</v>
      </c>
      <c r="Q43" s="23"/>
      <c r="R43" s="29">
        <f t="shared" si="5"/>
        <v>1</v>
      </c>
      <c r="S43" s="30" t="str">
        <f t="shared" si="6"/>
        <v>P00.041</v>
      </c>
    </row>
    <row r="44" spans="1:19">
      <c r="A44" s="16"/>
      <c r="B44" s="16"/>
      <c r="C44" s="16"/>
      <c r="D44" s="21">
        <f t="shared" si="3"/>
        <v>42</v>
      </c>
      <c r="E44" s="18" t="s">
        <v>88</v>
      </c>
      <c r="F44" s="23" t="s">
        <v>115</v>
      </c>
      <c r="G44" s="20" t="s">
        <v>24</v>
      </c>
      <c r="H44" s="20" t="s">
        <v>90</v>
      </c>
      <c r="I44" s="20" t="s">
        <v>91</v>
      </c>
      <c r="J44" s="16" t="s">
        <v>26</v>
      </c>
      <c r="K44" s="16" t="s">
        <v>62</v>
      </c>
      <c r="L44" s="16" t="s">
        <v>28</v>
      </c>
      <c r="M44" s="16" t="s">
        <v>29</v>
      </c>
      <c r="N44" s="18" t="s">
        <v>30</v>
      </c>
      <c r="O44" s="16"/>
      <c r="P44" s="24" t="s">
        <v>116</v>
      </c>
      <c r="Q44" s="23"/>
      <c r="R44" s="29">
        <f t="shared" si="5"/>
        <v>1</v>
      </c>
      <c r="S44" s="30" t="str">
        <f t="shared" si="6"/>
        <v>P00.042</v>
      </c>
    </row>
    <row r="45" spans="1:19">
      <c r="A45" s="16"/>
      <c r="B45" s="16"/>
      <c r="C45" s="16"/>
      <c r="D45" s="21">
        <f t="shared" si="3"/>
        <v>43</v>
      </c>
      <c r="E45" s="18" t="s">
        <v>31</v>
      </c>
      <c r="F45" s="23" t="s">
        <v>117</v>
      </c>
      <c r="G45" s="20" t="s">
        <v>24</v>
      </c>
      <c r="H45" s="20" t="s">
        <v>24</v>
      </c>
      <c r="I45" s="20" t="s">
        <v>33</v>
      </c>
      <c r="J45" s="16" t="s">
        <v>26</v>
      </c>
      <c r="K45" s="16" t="s">
        <v>62</v>
      </c>
      <c r="L45" s="16" t="s">
        <v>28</v>
      </c>
      <c r="M45" s="16" t="s">
        <v>29</v>
      </c>
      <c r="N45" s="18" t="s">
        <v>30</v>
      </c>
      <c r="O45" s="16"/>
      <c r="P45" s="24" t="s">
        <v>118</v>
      </c>
      <c r="Q45" s="23"/>
      <c r="R45" s="29">
        <f t="shared" si="5"/>
        <v>1</v>
      </c>
      <c r="S45" s="30" t="str">
        <f t="shared" si="6"/>
        <v>P00.043</v>
      </c>
    </row>
    <row r="46" spans="1:19">
      <c r="A46" s="16"/>
      <c r="B46" s="16"/>
      <c r="C46" s="16"/>
      <c r="D46" s="21">
        <f t="shared" si="3"/>
        <v>44</v>
      </c>
      <c r="E46" s="18" t="s">
        <v>31</v>
      </c>
      <c r="F46" s="23" t="s">
        <v>119</v>
      </c>
      <c r="G46" s="20" t="s">
        <v>24</v>
      </c>
      <c r="H46" s="20" t="s">
        <v>24</v>
      </c>
      <c r="I46" s="20" t="s">
        <v>33</v>
      </c>
      <c r="J46" s="16" t="s">
        <v>101</v>
      </c>
      <c r="K46" s="16" t="s">
        <v>62</v>
      </c>
      <c r="L46" s="16" t="s">
        <v>28</v>
      </c>
      <c r="M46" s="16" t="s">
        <v>29</v>
      </c>
      <c r="N46" s="18" t="s">
        <v>30</v>
      </c>
      <c r="O46" s="16"/>
      <c r="P46" s="24" t="s">
        <v>120</v>
      </c>
      <c r="Q46" s="23"/>
      <c r="R46" s="29">
        <f t="shared" si="5"/>
        <v>1</v>
      </c>
      <c r="S46" s="30" t="str">
        <f t="shared" si="6"/>
        <v>P00.044</v>
      </c>
    </row>
    <row r="47" spans="1:19">
      <c r="A47" s="16"/>
      <c r="B47" s="16"/>
      <c r="C47" s="16"/>
      <c r="D47" s="21">
        <f t="shared" si="3"/>
        <v>45</v>
      </c>
      <c r="E47" s="18" t="s">
        <v>31</v>
      </c>
      <c r="F47" s="23" t="s">
        <v>121</v>
      </c>
      <c r="G47" s="20" t="s">
        <v>104</v>
      </c>
      <c r="H47" s="20" t="s">
        <v>24</v>
      </c>
      <c r="I47" s="20" t="s">
        <v>33</v>
      </c>
      <c r="J47" s="16" t="s">
        <v>105</v>
      </c>
      <c r="K47" s="16" t="s">
        <v>62</v>
      </c>
      <c r="L47" s="16" t="s">
        <v>28</v>
      </c>
      <c r="M47" s="16" t="s">
        <v>29</v>
      </c>
      <c r="N47" s="18" t="s">
        <v>30</v>
      </c>
      <c r="O47" s="16"/>
      <c r="P47" s="24" t="s">
        <v>122</v>
      </c>
      <c r="Q47" s="23"/>
      <c r="R47" s="29">
        <f t="shared" si="5"/>
        <v>1</v>
      </c>
      <c r="S47" s="30" t="str">
        <f t="shared" si="6"/>
        <v>P00.045</v>
      </c>
    </row>
    <row r="48" spans="1:19">
      <c r="A48" s="16"/>
      <c r="B48" s="16"/>
      <c r="C48" s="16"/>
      <c r="D48" s="21">
        <f t="shared" si="3"/>
        <v>46</v>
      </c>
      <c r="E48" s="18" t="s">
        <v>88</v>
      </c>
      <c r="F48" s="23" t="s">
        <v>123</v>
      </c>
      <c r="G48" s="20" t="s">
        <v>24</v>
      </c>
      <c r="H48" s="20" t="s">
        <v>90</v>
      </c>
      <c r="I48" s="20" t="s">
        <v>91</v>
      </c>
      <c r="J48" s="16" t="s">
        <v>26</v>
      </c>
      <c r="K48" s="16" t="s">
        <v>62</v>
      </c>
      <c r="L48" s="16" t="s">
        <v>28</v>
      </c>
      <c r="M48" s="16" t="s">
        <v>29</v>
      </c>
      <c r="N48" s="18" t="s">
        <v>30</v>
      </c>
      <c r="O48" s="16"/>
      <c r="P48" s="24" t="s">
        <v>124</v>
      </c>
      <c r="Q48" s="23"/>
      <c r="R48" s="29">
        <f t="shared" si="5"/>
        <v>1</v>
      </c>
      <c r="S48" s="30" t="str">
        <f t="shared" si="6"/>
        <v>P00.046</v>
      </c>
    </row>
    <row r="49" spans="1:19">
      <c r="A49" s="16"/>
      <c r="B49" s="16"/>
      <c r="C49" s="16"/>
      <c r="D49" s="21">
        <f t="shared" si="3"/>
        <v>47</v>
      </c>
      <c r="E49" s="18" t="s">
        <v>31</v>
      </c>
      <c r="F49" s="23" t="s">
        <v>125</v>
      </c>
      <c r="G49" s="20" t="s">
        <v>24</v>
      </c>
      <c r="H49" s="20" t="s">
        <v>24</v>
      </c>
      <c r="I49" s="20" t="s">
        <v>33</v>
      </c>
      <c r="J49" s="16" t="s">
        <v>26</v>
      </c>
      <c r="K49" s="16" t="s">
        <v>62</v>
      </c>
      <c r="L49" s="16" t="s">
        <v>28</v>
      </c>
      <c r="M49" s="16" t="s">
        <v>29</v>
      </c>
      <c r="N49" s="18" t="s">
        <v>30</v>
      </c>
      <c r="O49" s="16"/>
      <c r="P49" s="24" t="s">
        <v>126</v>
      </c>
      <c r="Q49" s="23"/>
      <c r="R49" s="29">
        <f t="shared" si="5"/>
        <v>1</v>
      </c>
      <c r="S49" s="30" t="str">
        <f t="shared" si="6"/>
        <v>P00.047</v>
      </c>
    </row>
    <row r="50" spans="1:19">
      <c r="A50" s="16"/>
      <c r="B50" s="16"/>
      <c r="C50" s="16"/>
      <c r="D50" s="21">
        <f t="shared" si="3"/>
        <v>48</v>
      </c>
      <c r="E50" s="18" t="s">
        <v>31</v>
      </c>
      <c r="F50" s="23" t="s">
        <v>127</v>
      </c>
      <c r="G50" s="20" t="s">
        <v>24</v>
      </c>
      <c r="H50" s="20" t="s">
        <v>24</v>
      </c>
      <c r="I50" s="20" t="s">
        <v>33</v>
      </c>
      <c r="J50" s="16" t="s">
        <v>101</v>
      </c>
      <c r="K50" s="16" t="s">
        <v>62</v>
      </c>
      <c r="L50" s="16" t="s">
        <v>28</v>
      </c>
      <c r="M50" s="16" t="s">
        <v>29</v>
      </c>
      <c r="N50" s="18" t="s">
        <v>30</v>
      </c>
      <c r="O50" s="16"/>
      <c r="P50" s="24" t="s">
        <v>128</v>
      </c>
      <c r="Q50" s="23"/>
      <c r="R50" s="29">
        <f t="shared" si="5"/>
        <v>1</v>
      </c>
      <c r="S50" s="30" t="str">
        <f t="shared" si="6"/>
        <v>P00.048</v>
      </c>
    </row>
    <row r="51" spans="1:19">
      <c r="A51" s="16"/>
      <c r="B51" s="16"/>
      <c r="C51" s="16"/>
      <c r="D51" s="21">
        <f t="shared" si="3"/>
        <v>49</v>
      </c>
      <c r="E51" s="18" t="s">
        <v>31</v>
      </c>
      <c r="F51" s="23" t="s">
        <v>129</v>
      </c>
      <c r="G51" s="20" t="s">
        <v>104</v>
      </c>
      <c r="H51" s="20" t="s">
        <v>24</v>
      </c>
      <c r="I51" s="20" t="s">
        <v>33</v>
      </c>
      <c r="J51" s="16" t="s">
        <v>105</v>
      </c>
      <c r="K51" s="16" t="s">
        <v>62</v>
      </c>
      <c r="L51" s="16" t="s">
        <v>28</v>
      </c>
      <c r="M51" s="16" t="s">
        <v>29</v>
      </c>
      <c r="N51" s="18" t="s">
        <v>30</v>
      </c>
      <c r="O51" s="16"/>
      <c r="P51" s="24" t="s">
        <v>130</v>
      </c>
      <c r="Q51" s="23"/>
      <c r="R51" s="29">
        <f t="shared" si="5"/>
        <v>1</v>
      </c>
      <c r="S51" s="30" t="str">
        <f t="shared" si="6"/>
        <v>P00.049</v>
      </c>
    </row>
    <row r="52" spans="1:19">
      <c r="A52" s="16"/>
      <c r="B52" s="16"/>
      <c r="C52" s="16"/>
      <c r="D52" s="21">
        <f t="shared" si="3"/>
        <v>50</v>
      </c>
      <c r="E52" s="18" t="s">
        <v>88</v>
      </c>
      <c r="F52" s="23" t="s">
        <v>131</v>
      </c>
      <c r="G52" s="20" t="s">
        <v>24</v>
      </c>
      <c r="H52" s="20" t="s">
        <v>90</v>
      </c>
      <c r="I52" s="20" t="s">
        <v>91</v>
      </c>
      <c r="J52" s="16" t="s">
        <v>26</v>
      </c>
      <c r="K52" s="16" t="s">
        <v>62</v>
      </c>
      <c r="L52" s="16" t="s">
        <v>28</v>
      </c>
      <c r="M52" s="16" t="s">
        <v>29</v>
      </c>
      <c r="N52" s="18" t="s">
        <v>30</v>
      </c>
      <c r="O52" s="16"/>
      <c r="P52" s="24" t="s">
        <v>132</v>
      </c>
      <c r="Q52" s="23"/>
      <c r="R52" s="29">
        <f t="shared" si="5"/>
        <v>1</v>
      </c>
      <c r="S52" s="30" t="str">
        <f t="shared" si="6"/>
        <v>P00.050</v>
      </c>
    </row>
    <row r="53" spans="1:19">
      <c r="A53" s="16"/>
      <c r="B53" s="16"/>
      <c r="C53" s="16"/>
      <c r="D53" s="21">
        <f t="shared" si="3"/>
        <v>51</v>
      </c>
      <c r="E53" s="18" t="s">
        <v>31</v>
      </c>
      <c r="F53" s="23" t="s">
        <v>133</v>
      </c>
      <c r="G53" s="20" t="s">
        <v>24</v>
      </c>
      <c r="H53" s="20" t="s">
        <v>24</v>
      </c>
      <c r="I53" s="20" t="s">
        <v>33</v>
      </c>
      <c r="J53" s="16" t="s">
        <v>26</v>
      </c>
      <c r="K53" s="16" t="s">
        <v>62</v>
      </c>
      <c r="L53" s="16" t="s">
        <v>28</v>
      </c>
      <c r="M53" s="16" t="s">
        <v>29</v>
      </c>
      <c r="N53" s="18" t="s">
        <v>30</v>
      </c>
      <c r="O53" s="16"/>
      <c r="P53" s="24" t="s">
        <v>134</v>
      </c>
      <c r="Q53" s="23"/>
      <c r="R53" s="29">
        <f t="shared" si="5"/>
        <v>1</v>
      </c>
      <c r="S53" s="30" t="str">
        <f t="shared" si="6"/>
        <v>P00.051</v>
      </c>
    </row>
    <row r="54" spans="1:19">
      <c r="A54" s="16"/>
      <c r="B54" s="16"/>
      <c r="C54" s="16"/>
      <c r="D54" s="21">
        <f t="shared" si="3"/>
        <v>52</v>
      </c>
      <c r="E54" s="18" t="s">
        <v>31</v>
      </c>
      <c r="F54" s="23"/>
      <c r="G54" s="20" t="s">
        <v>24</v>
      </c>
      <c r="H54" s="20" t="s">
        <v>24</v>
      </c>
      <c r="I54" s="20" t="s">
        <v>33</v>
      </c>
      <c r="J54" s="16" t="s">
        <v>26</v>
      </c>
      <c r="K54" s="16" t="s">
        <v>27</v>
      </c>
      <c r="L54" s="16" t="s">
        <v>34</v>
      </c>
      <c r="M54" s="16" t="s">
        <v>29</v>
      </c>
      <c r="N54" s="18" t="s">
        <v>30</v>
      </c>
      <c r="O54" s="16"/>
      <c r="P54" s="24"/>
      <c r="Q54" s="23"/>
      <c r="R54" s="29">
        <f t="shared" si="5"/>
        <v>1</v>
      </c>
      <c r="S54" s="30" t="str">
        <f t="shared" si="6"/>
        <v>P00.052</v>
      </c>
    </row>
    <row r="55" spans="1:19">
      <c r="A55" s="16"/>
      <c r="B55" s="16"/>
      <c r="C55" s="16"/>
      <c r="D55" s="21">
        <f t="shared" si="3"/>
        <v>53</v>
      </c>
      <c r="E55" s="18" t="s">
        <v>31</v>
      </c>
      <c r="F55" s="23"/>
      <c r="G55" s="20" t="s">
        <v>24</v>
      </c>
      <c r="H55" s="20" t="s">
        <v>24</v>
      </c>
      <c r="I55" s="20" t="s">
        <v>33</v>
      </c>
      <c r="J55" s="16" t="s">
        <v>26</v>
      </c>
      <c r="K55" s="16" t="s">
        <v>27</v>
      </c>
      <c r="L55" s="16" t="s">
        <v>34</v>
      </c>
      <c r="M55" s="16" t="s">
        <v>29</v>
      </c>
      <c r="N55" s="18" t="s">
        <v>30</v>
      </c>
      <c r="O55" s="16"/>
      <c r="P55" s="23"/>
      <c r="Q55" s="23"/>
      <c r="R55" s="29">
        <f t="shared" si="5"/>
        <v>1</v>
      </c>
      <c r="S55" s="30" t="str">
        <f t="shared" ref="S55:S73" si="7">"P"&amp;TEXT(INT(D55/256),"00")&amp;"."&amp;TEXT(MOD(D55,256),"000")</f>
        <v>P00.053</v>
      </c>
    </row>
    <row r="56" spans="1:19">
      <c r="A56" s="16"/>
      <c r="B56" s="16"/>
      <c r="C56" s="16"/>
      <c r="D56" s="21">
        <f t="shared" si="3"/>
        <v>54</v>
      </c>
      <c r="E56" s="18" t="s">
        <v>31</v>
      </c>
      <c r="F56" s="23" t="s">
        <v>135</v>
      </c>
      <c r="G56" s="20" t="s">
        <v>24</v>
      </c>
      <c r="H56" s="20" t="s">
        <v>24</v>
      </c>
      <c r="I56" s="20" t="s">
        <v>73</v>
      </c>
      <c r="J56" s="16" t="s">
        <v>26</v>
      </c>
      <c r="K56" s="16" t="s">
        <v>62</v>
      </c>
      <c r="L56" s="16" t="s">
        <v>34</v>
      </c>
      <c r="M56" s="16" t="s">
        <v>29</v>
      </c>
      <c r="N56" s="18" t="s">
        <v>30</v>
      </c>
      <c r="O56" s="16"/>
      <c r="P56" s="23" t="s">
        <v>136</v>
      </c>
      <c r="Q56" s="23" t="s">
        <v>75</v>
      </c>
      <c r="R56" s="29">
        <f t="shared" si="5"/>
        <v>0</v>
      </c>
      <c r="S56" s="30" t="str">
        <f t="shared" si="7"/>
        <v>P00.054</v>
      </c>
    </row>
    <row r="57" spans="1:19">
      <c r="A57" s="16"/>
      <c r="B57" s="16"/>
      <c r="C57" s="16"/>
      <c r="D57" s="21">
        <f t="shared" si="3"/>
        <v>55</v>
      </c>
      <c r="E57" s="18" t="s">
        <v>21</v>
      </c>
      <c r="F57" s="23" t="s">
        <v>137</v>
      </c>
      <c r="G57" s="20" t="s">
        <v>24</v>
      </c>
      <c r="H57" s="20" t="s">
        <v>24</v>
      </c>
      <c r="I57" s="20" t="s">
        <v>25</v>
      </c>
      <c r="J57" s="16" t="s">
        <v>26</v>
      </c>
      <c r="K57" s="16" t="s">
        <v>138</v>
      </c>
      <c r="L57" s="16" t="s">
        <v>28</v>
      </c>
      <c r="M57" s="16" t="s">
        <v>29</v>
      </c>
      <c r="N57" s="18" t="s">
        <v>30</v>
      </c>
      <c r="O57" s="16"/>
      <c r="P57" s="23" t="s">
        <v>139</v>
      </c>
      <c r="Q57" s="27"/>
      <c r="R57" s="29">
        <f t="shared" si="5"/>
        <v>1</v>
      </c>
      <c r="S57" s="30" t="str">
        <f t="shared" si="7"/>
        <v>P00.055</v>
      </c>
    </row>
    <row r="58" spans="1:19">
      <c r="A58" s="16"/>
      <c r="B58" s="16"/>
      <c r="C58" s="16"/>
      <c r="D58" s="21">
        <f t="shared" si="3"/>
        <v>57</v>
      </c>
      <c r="E58" s="18" t="s">
        <v>21</v>
      </c>
      <c r="F58" s="23" t="s">
        <v>140</v>
      </c>
      <c r="G58" s="20" t="s">
        <v>141</v>
      </c>
      <c r="H58" s="20" t="s">
        <v>73</v>
      </c>
      <c r="I58" s="20" t="s">
        <v>142</v>
      </c>
      <c r="J58" s="16" t="s">
        <v>143</v>
      </c>
      <c r="K58" s="16" t="s">
        <v>138</v>
      </c>
      <c r="L58" s="16" t="s">
        <v>28</v>
      </c>
      <c r="M58" s="16" t="s">
        <v>29</v>
      </c>
      <c r="N58" s="18" t="s">
        <v>30</v>
      </c>
      <c r="O58" s="16"/>
      <c r="P58" s="23" t="s">
        <v>144</v>
      </c>
      <c r="Q58" s="23"/>
      <c r="R58" s="29">
        <f t="shared" si="5"/>
        <v>1</v>
      </c>
      <c r="S58" s="30" t="str">
        <f t="shared" si="7"/>
        <v>P00.057</v>
      </c>
    </row>
    <row r="59" spans="1:19">
      <c r="A59" s="16"/>
      <c r="B59" s="16"/>
      <c r="C59" s="16"/>
      <c r="D59" s="21">
        <f t="shared" si="3"/>
        <v>59</v>
      </c>
      <c r="E59" s="18" t="s">
        <v>31</v>
      </c>
      <c r="F59" s="23" t="s">
        <v>145</v>
      </c>
      <c r="G59" s="20" t="s">
        <v>146</v>
      </c>
      <c r="H59" s="20" t="s">
        <v>24</v>
      </c>
      <c r="I59" s="20" t="s">
        <v>104</v>
      </c>
      <c r="J59" s="16" t="s">
        <v>105</v>
      </c>
      <c r="K59" s="16" t="s">
        <v>138</v>
      </c>
      <c r="L59" s="16" t="s">
        <v>28</v>
      </c>
      <c r="M59" s="16" t="s">
        <v>29</v>
      </c>
      <c r="N59" s="18" t="s">
        <v>30</v>
      </c>
      <c r="O59" s="16"/>
      <c r="P59" s="23" t="s">
        <v>147</v>
      </c>
      <c r="Q59" s="23"/>
      <c r="R59" s="29">
        <f t="shared" si="5"/>
        <v>1</v>
      </c>
      <c r="S59" s="30" t="str">
        <f t="shared" si="7"/>
        <v>P00.059</v>
      </c>
    </row>
    <row r="60" spans="1:19">
      <c r="A60" s="16"/>
      <c r="B60" s="16"/>
      <c r="C60" s="16"/>
      <c r="D60" s="21">
        <f t="shared" si="3"/>
        <v>60</v>
      </c>
      <c r="E60" s="18" t="s">
        <v>31</v>
      </c>
      <c r="F60" s="23"/>
      <c r="G60" s="20" t="s">
        <v>24</v>
      </c>
      <c r="H60" s="20" t="s">
        <v>24</v>
      </c>
      <c r="I60" s="20" t="s">
        <v>33</v>
      </c>
      <c r="J60" s="16" t="s">
        <v>26</v>
      </c>
      <c r="K60" s="16" t="s">
        <v>27</v>
      </c>
      <c r="L60" s="16" t="s">
        <v>34</v>
      </c>
      <c r="M60" s="16" t="s">
        <v>29</v>
      </c>
      <c r="N60" s="18" t="s">
        <v>30</v>
      </c>
      <c r="O60" s="16"/>
      <c r="P60" s="23"/>
      <c r="Q60" s="23"/>
      <c r="R60" s="29">
        <f t="shared" si="5"/>
        <v>1</v>
      </c>
      <c r="S60" s="30" t="str">
        <f t="shared" si="7"/>
        <v>P00.060</v>
      </c>
    </row>
    <row r="61" spans="1:19">
      <c r="A61" s="16"/>
      <c r="B61" s="16"/>
      <c r="C61" s="16"/>
      <c r="D61" s="21">
        <f t="shared" si="3"/>
        <v>61</v>
      </c>
      <c r="E61" s="18" t="s">
        <v>31</v>
      </c>
      <c r="F61" s="23" t="s">
        <v>148</v>
      </c>
      <c r="G61" s="20" t="s">
        <v>73</v>
      </c>
      <c r="H61" s="20" t="s">
        <v>24</v>
      </c>
      <c r="I61" s="20" t="s">
        <v>73</v>
      </c>
      <c r="J61" s="16" t="s">
        <v>26</v>
      </c>
      <c r="K61" s="16" t="s">
        <v>62</v>
      </c>
      <c r="L61" s="16" t="s">
        <v>34</v>
      </c>
      <c r="M61" s="16" t="s">
        <v>29</v>
      </c>
      <c r="N61" s="18" t="s">
        <v>30</v>
      </c>
      <c r="O61" s="16"/>
      <c r="P61" s="23" t="s">
        <v>149</v>
      </c>
      <c r="Q61" s="23" t="s">
        <v>75</v>
      </c>
      <c r="R61" s="29">
        <f t="shared" si="5"/>
        <v>0</v>
      </c>
      <c r="S61" s="30" t="str">
        <f t="shared" si="7"/>
        <v>P00.061</v>
      </c>
    </row>
    <row r="62" ht="66" spans="1:19">
      <c r="A62" s="16"/>
      <c r="B62" s="16"/>
      <c r="C62" s="16"/>
      <c r="D62" s="21">
        <f t="shared" si="3"/>
        <v>62</v>
      </c>
      <c r="E62" s="18" t="s">
        <v>31</v>
      </c>
      <c r="F62" s="23" t="s">
        <v>150</v>
      </c>
      <c r="G62" s="20" t="s">
        <v>73</v>
      </c>
      <c r="H62" s="20" t="s">
        <v>24</v>
      </c>
      <c r="I62" s="20" t="s">
        <v>81</v>
      </c>
      <c r="J62" s="16" t="s">
        <v>26</v>
      </c>
      <c r="K62" s="16" t="s">
        <v>138</v>
      </c>
      <c r="L62" s="16" t="s">
        <v>28</v>
      </c>
      <c r="M62" s="16" t="s">
        <v>29</v>
      </c>
      <c r="N62" s="18" t="s">
        <v>30</v>
      </c>
      <c r="O62" s="16"/>
      <c r="P62" s="23" t="s">
        <v>151</v>
      </c>
      <c r="Q62" s="27" t="s">
        <v>152</v>
      </c>
      <c r="R62" s="29">
        <f t="shared" si="5"/>
        <v>1</v>
      </c>
      <c r="S62" s="30" t="str">
        <f t="shared" si="7"/>
        <v>P00.062</v>
      </c>
    </row>
    <row r="63" spans="1:19">
      <c r="A63" s="16"/>
      <c r="B63" s="16"/>
      <c r="C63" s="16"/>
      <c r="D63" s="21">
        <f t="shared" si="3"/>
        <v>63</v>
      </c>
      <c r="E63" s="18" t="s">
        <v>153</v>
      </c>
      <c r="F63" s="23" t="s">
        <v>154</v>
      </c>
      <c r="G63" s="20" t="s">
        <v>24</v>
      </c>
      <c r="H63" s="20" t="s">
        <v>155</v>
      </c>
      <c r="I63" s="20" t="s">
        <v>156</v>
      </c>
      <c r="J63" s="16" t="s">
        <v>26</v>
      </c>
      <c r="K63" s="16" t="s">
        <v>27</v>
      </c>
      <c r="L63" s="16" t="s">
        <v>34</v>
      </c>
      <c r="M63" s="16" t="s">
        <v>29</v>
      </c>
      <c r="N63" s="18" t="s">
        <v>30</v>
      </c>
      <c r="O63" s="16"/>
      <c r="P63" s="23" t="s">
        <v>157</v>
      </c>
      <c r="Q63" s="23"/>
      <c r="R63" s="29">
        <f t="shared" si="5"/>
        <v>1</v>
      </c>
      <c r="S63" s="30" t="str">
        <f t="shared" si="7"/>
        <v>P00.063</v>
      </c>
    </row>
    <row r="64" spans="1:19">
      <c r="A64" s="16"/>
      <c r="B64" s="16"/>
      <c r="C64" s="16"/>
      <c r="D64" s="21">
        <f t="shared" si="3"/>
        <v>67</v>
      </c>
      <c r="E64" s="18" t="s">
        <v>21</v>
      </c>
      <c r="F64" s="23" t="s">
        <v>158</v>
      </c>
      <c r="G64" s="20" t="s">
        <v>159</v>
      </c>
      <c r="H64" s="20" t="s">
        <v>73</v>
      </c>
      <c r="I64" s="20" t="s">
        <v>25</v>
      </c>
      <c r="J64" s="16" t="s">
        <v>26</v>
      </c>
      <c r="K64" s="16" t="s">
        <v>62</v>
      </c>
      <c r="L64" s="16" t="s">
        <v>28</v>
      </c>
      <c r="M64" s="16" t="s">
        <v>29</v>
      </c>
      <c r="N64" s="18" t="s">
        <v>30</v>
      </c>
      <c r="O64" s="16"/>
      <c r="P64" s="23" t="s">
        <v>160</v>
      </c>
      <c r="Q64" s="23"/>
      <c r="R64" s="29">
        <f t="shared" si="5"/>
        <v>1</v>
      </c>
      <c r="S64" s="30" t="str">
        <f t="shared" si="7"/>
        <v>P00.067</v>
      </c>
    </row>
    <row r="65" spans="1:19">
      <c r="A65" s="16"/>
      <c r="B65" s="16"/>
      <c r="C65" s="16"/>
      <c r="D65" s="21">
        <f t="shared" si="3"/>
        <v>69</v>
      </c>
      <c r="E65" s="18" t="s">
        <v>21</v>
      </c>
      <c r="F65" s="23" t="s">
        <v>161</v>
      </c>
      <c r="G65" s="20" t="s">
        <v>24</v>
      </c>
      <c r="H65" s="20" t="s">
        <v>24</v>
      </c>
      <c r="I65" s="20" t="s">
        <v>25</v>
      </c>
      <c r="J65" s="16" t="s">
        <v>26</v>
      </c>
      <c r="K65" s="16" t="s">
        <v>27</v>
      </c>
      <c r="L65" s="16" t="s">
        <v>28</v>
      </c>
      <c r="M65" s="16" t="s">
        <v>29</v>
      </c>
      <c r="N65" s="18" t="s">
        <v>30</v>
      </c>
      <c r="O65" s="16"/>
      <c r="P65" s="23" t="s">
        <v>162</v>
      </c>
      <c r="Q65" s="23"/>
      <c r="R65" s="29">
        <f t="shared" si="5"/>
        <v>1</v>
      </c>
      <c r="S65" s="30" t="str">
        <f t="shared" si="7"/>
        <v>P00.069</v>
      </c>
    </row>
    <row r="66" spans="1:19">
      <c r="A66" s="16"/>
      <c r="B66" s="16"/>
      <c r="C66" s="16"/>
      <c r="D66" s="21">
        <f t="shared" si="3"/>
        <v>71</v>
      </c>
      <c r="E66" s="18" t="s">
        <v>163</v>
      </c>
      <c r="F66" s="23" t="s">
        <v>164</v>
      </c>
      <c r="G66" s="20" t="s">
        <v>24</v>
      </c>
      <c r="H66" s="20" t="s">
        <v>165</v>
      </c>
      <c r="I66" s="20" t="s">
        <v>166</v>
      </c>
      <c r="J66" s="16" t="s">
        <v>26</v>
      </c>
      <c r="K66" s="16" t="s">
        <v>27</v>
      </c>
      <c r="L66" s="16" t="s">
        <v>28</v>
      </c>
      <c r="M66" s="16" t="s">
        <v>29</v>
      </c>
      <c r="N66" s="18" t="s">
        <v>30</v>
      </c>
      <c r="O66" s="16"/>
      <c r="P66" s="23" t="s">
        <v>167</v>
      </c>
      <c r="Q66" s="23"/>
      <c r="R66" s="29">
        <f t="shared" si="5"/>
        <v>1</v>
      </c>
      <c r="S66" s="30" t="str">
        <f t="shared" si="7"/>
        <v>P00.071</v>
      </c>
    </row>
    <row r="67" spans="1:19">
      <c r="A67" s="16"/>
      <c r="B67" s="16"/>
      <c r="C67" s="16"/>
      <c r="D67" s="21">
        <f t="shared" si="3"/>
        <v>73</v>
      </c>
      <c r="E67" s="18" t="s">
        <v>31</v>
      </c>
      <c r="F67" s="23"/>
      <c r="G67" s="20" t="s">
        <v>24</v>
      </c>
      <c r="H67" s="20" t="s">
        <v>24</v>
      </c>
      <c r="I67" s="20" t="s">
        <v>33</v>
      </c>
      <c r="J67" s="16" t="s">
        <v>26</v>
      </c>
      <c r="K67" s="16" t="s">
        <v>27</v>
      </c>
      <c r="L67" s="16" t="s">
        <v>34</v>
      </c>
      <c r="M67" s="16" t="s">
        <v>29</v>
      </c>
      <c r="N67" s="18" t="s">
        <v>30</v>
      </c>
      <c r="O67" s="16"/>
      <c r="P67" s="23"/>
      <c r="Q67" s="23"/>
      <c r="R67" s="29">
        <f t="shared" si="5"/>
        <v>1</v>
      </c>
      <c r="S67" s="30" t="str">
        <f t="shared" si="7"/>
        <v>P00.073</v>
      </c>
    </row>
    <row r="68" spans="1:19">
      <c r="A68" s="16"/>
      <c r="B68" s="16"/>
      <c r="C68" s="16"/>
      <c r="D68" s="21">
        <f t="shared" si="3"/>
        <v>74</v>
      </c>
      <c r="E68" s="18" t="s">
        <v>31</v>
      </c>
      <c r="F68" s="23" t="s">
        <v>168</v>
      </c>
      <c r="G68" s="20" t="s">
        <v>24</v>
      </c>
      <c r="H68" s="20" t="s">
        <v>24</v>
      </c>
      <c r="I68" s="20" t="s">
        <v>73</v>
      </c>
      <c r="J68" s="16" t="s">
        <v>26</v>
      </c>
      <c r="K68" s="16" t="s">
        <v>62</v>
      </c>
      <c r="L68" s="16" t="s">
        <v>34</v>
      </c>
      <c r="M68" s="16" t="s">
        <v>29</v>
      </c>
      <c r="N68" s="18" t="s">
        <v>30</v>
      </c>
      <c r="O68" s="16"/>
      <c r="P68" s="23" t="s">
        <v>169</v>
      </c>
      <c r="Q68" s="23" t="s">
        <v>75</v>
      </c>
      <c r="R68" s="29">
        <f t="shared" si="5"/>
        <v>0</v>
      </c>
      <c r="S68" s="30" t="str">
        <f t="shared" si="7"/>
        <v>P00.074</v>
      </c>
    </row>
    <row r="69" spans="1:19">
      <c r="A69" s="16"/>
      <c r="B69" s="16"/>
      <c r="C69" s="16"/>
      <c r="D69" s="21">
        <f t="shared" si="3"/>
        <v>75</v>
      </c>
      <c r="E69" s="18" t="s">
        <v>21</v>
      </c>
      <c r="F69" s="23" t="s">
        <v>170</v>
      </c>
      <c r="G69" s="20" t="s">
        <v>141</v>
      </c>
      <c r="H69" s="20" t="s">
        <v>73</v>
      </c>
      <c r="I69" s="20" t="s">
        <v>171</v>
      </c>
      <c r="J69" s="16" t="s">
        <v>143</v>
      </c>
      <c r="K69" s="16" t="s">
        <v>138</v>
      </c>
      <c r="L69" s="16" t="s">
        <v>28</v>
      </c>
      <c r="M69" s="16" t="s">
        <v>29</v>
      </c>
      <c r="N69" s="18" t="s">
        <v>30</v>
      </c>
      <c r="O69" s="16"/>
      <c r="P69" s="23" t="s">
        <v>172</v>
      </c>
      <c r="Q69" s="23"/>
      <c r="R69" s="29">
        <f t="shared" si="5"/>
        <v>1</v>
      </c>
      <c r="S69" s="30" t="str">
        <f t="shared" si="7"/>
        <v>P00.075</v>
      </c>
    </row>
    <row r="70" spans="1:19">
      <c r="A70" s="16"/>
      <c r="B70" s="16"/>
      <c r="C70" s="16"/>
      <c r="D70" s="21">
        <f t="shared" ref="D70:D133" si="8">INDEX(D:D,ROW()-1)+_xlfn.IFS(INDEX(E:E,ROW()-1)="u16",1,INDEX(E:E,ROW()-1)="s16",1,INDEX(E:E,ROW()-1)="s32",2,INDEX(E:E,ROW()-1)="s64",4,INDEX(E:E,ROW()-1)="u16",1,INDEX(E:E,ROW()-1)="u32",2,INDEX(E:E,ROW()-1)="u64",4,INDEX(E:E,ROW()-1)="f32",2,INDEX(E:E,ROW()-1)="f64",4)</f>
        <v>77</v>
      </c>
      <c r="E70" s="18" t="s">
        <v>31</v>
      </c>
      <c r="F70" s="23" t="s">
        <v>173</v>
      </c>
      <c r="G70" s="20" t="s">
        <v>24</v>
      </c>
      <c r="H70" s="20" t="s">
        <v>24</v>
      </c>
      <c r="I70" s="33">
        <f>D71</f>
        <v>78</v>
      </c>
      <c r="J70" s="16" t="s">
        <v>26</v>
      </c>
      <c r="K70" s="16" t="s">
        <v>138</v>
      </c>
      <c r="L70" s="16" t="s">
        <v>28</v>
      </c>
      <c r="M70" s="16" t="s">
        <v>174</v>
      </c>
      <c r="N70" s="18" t="s">
        <v>30</v>
      </c>
      <c r="O70" s="16"/>
      <c r="P70" s="23" t="s">
        <v>175</v>
      </c>
      <c r="Q70" s="23"/>
      <c r="R70" s="29">
        <f t="shared" si="5"/>
        <v>1</v>
      </c>
      <c r="S70" s="30" t="str">
        <f t="shared" si="7"/>
        <v>P00.077</v>
      </c>
    </row>
    <row r="71" spans="1:19">
      <c r="A71" s="16"/>
      <c r="B71" s="16"/>
      <c r="C71" s="16"/>
      <c r="D71" s="21">
        <f t="shared" si="8"/>
        <v>78</v>
      </c>
      <c r="E71" s="18" t="s">
        <v>31</v>
      </c>
      <c r="F71" s="23" t="s">
        <v>176</v>
      </c>
      <c r="G71" s="20" t="s">
        <v>73</v>
      </c>
      <c r="H71" s="32">
        <f>D70</f>
        <v>77</v>
      </c>
      <c r="I71" s="20" t="s">
        <v>177</v>
      </c>
      <c r="J71" s="16" t="s">
        <v>26</v>
      </c>
      <c r="K71" s="16" t="s">
        <v>138</v>
      </c>
      <c r="L71" s="16" t="s">
        <v>28</v>
      </c>
      <c r="M71" s="16" t="s">
        <v>178</v>
      </c>
      <c r="N71" s="18" t="s">
        <v>30</v>
      </c>
      <c r="O71" s="16"/>
      <c r="P71" s="23" t="s">
        <v>179</v>
      </c>
      <c r="Q71" s="23"/>
      <c r="R71" s="29">
        <f t="shared" si="5"/>
        <v>1</v>
      </c>
      <c r="S71" s="30" t="str">
        <f t="shared" si="7"/>
        <v>P00.078</v>
      </c>
    </row>
    <row r="72" ht="52.8" spans="1:19">
      <c r="A72" s="16"/>
      <c r="B72" s="16"/>
      <c r="C72" s="16"/>
      <c r="D72" s="21">
        <f t="shared" si="8"/>
        <v>79</v>
      </c>
      <c r="E72" s="18" t="s">
        <v>31</v>
      </c>
      <c r="F72" s="23" t="s">
        <v>180</v>
      </c>
      <c r="G72" s="20" t="s">
        <v>24</v>
      </c>
      <c r="H72" s="20" t="s">
        <v>24</v>
      </c>
      <c r="I72" s="20" t="s">
        <v>181</v>
      </c>
      <c r="J72" s="16" t="s">
        <v>26</v>
      </c>
      <c r="K72" s="16" t="s">
        <v>62</v>
      </c>
      <c r="L72" s="16" t="s">
        <v>28</v>
      </c>
      <c r="M72" s="16" t="s">
        <v>29</v>
      </c>
      <c r="N72" s="18" t="s">
        <v>30</v>
      </c>
      <c r="O72" s="16"/>
      <c r="P72" s="23" t="s">
        <v>182</v>
      </c>
      <c r="Q72" s="27" t="s">
        <v>183</v>
      </c>
      <c r="R72" s="29">
        <f t="shared" ref="R72:R94" si="9">IF(OR(F72="",LEFT(TRIM(F72),3)=E72),1,0)</f>
        <v>1</v>
      </c>
      <c r="S72" s="30" t="str">
        <f t="shared" ref="S72:S94" si="10">"P"&amp;TEXT(INT(D72/256),"00")&amp;"."&amp;TEXT(MOD(D72,256),"000")</f>
        <v>P00.079</v>
      </c>
    </row>
    <row r="73" spans="1:19">
      <c r="A73" s="16"/>
      <c r="B73" s="16"/>
      <c r="C73" s="16"/>
      <c r="D73" s="21">
        <f t="shared" si="8"/>
        <v>80</v>
      </c>
      <c r="E73" s="18" t="s">
        <v>31</v>
      </c>
      <c r="F73" s="23" t="s">
        <v>184</v>
      </c>
      <c r="G73" s="20" t="s">
        <v>24</v>
      </c>
      <c r="H73" s="20" t="s">
        <v>24</v>
      </c>
      <c r="I73" s="20" t="s">
        <v>181</v>
      </c>
      <c r="J73" s="16" t="s">
        <v>26</v>
      </c>
      <c r="K73" s="16" t="s">
        <v>62</v>
      </c>
      <c r="L73" s="16" t="s">
        <v>28</v>
      </c>
      <c r="M73" s="16" t="s">
        <v>29</v>
      </c>
      <c r="N73" s="18" t="s">
        <v>30</v>
      </c>
      <c r="O73" s="16"/>
      <c r="P73" s="23" t="s">
        <v>185</v>
      </c>
      <c r="Q73" s="23"/>
      <c r="R73" s="29">
        <f t="shared" si="9"/>
        <v>1</v>
      </c>
      <c r="S73" s="30" t="str">
        <f t="shared" si="10"/>
        <v>P00.080</v>
      </c>
    </row>
    <row r="74" spans="1:19">
      <c r="A74" s="16"/>
      <c r="B74" s="16"/>
      <c r="C74" s="16"/>
      <c r="D74" s="21">
        <f t="shared" si="8"/>
        <v>81</v>
      </c>
      <c r="E74" s="18" t="s">
        <v>31</v>
      </c>
      <c r="F74" s="23" t="s">
        <v>186</v>
      </c>
      <c r="G74" s="20" t="s">
        <v>24</v>
      </c>
      <c r="H74" s="20" t="s">
        <v>24</v>
      </c>
      <c r="I74" s="20" t="s">
        <v>181</v>
      </c>
      <c r="J74" s="16" t="s">
        <v>26</v>
      </c>
      <c r="K74" s="16" t="s">
        <v>62</v>
      </c>
      <c r="L74" s="16" t="s">
        <v>28</v>
      </c>
      <c r="M74" s="16" t="s">
        <v>29</v>
      </c>
      <c r="N74" s="18" t="s">
        <v>30</v>
      </c>
      <c r="O74" s="16"/>
      <c r="P74" s="23" t="s">
        <v>187</v>
      </c>
      <c r="Q74" s="23"/>
      <c r="R74" s="29">
        <f t="shared" si="9"/>
        <v>1</v>
      </c>
      <c r="S74" s="30" t="str">
        <f t="shared" si="10"/>
        <v>P00.081</v>
      </c>
    </row>
    <row r="75" spans="1:19">
      <c r="A75" s="16"/>
      <c r="B75" s="16"/>
      <c r="C75" s="16"/>
      <c r="D75" s="21">
        <f t="shared" si="8"/>
        <v>82</v>
      </c>
      <c r="E75" s="18" t="s">
        <v>31</v>
      </c>
      <c r="F75" s="23" t="s">
        <v>188</v>
      </c>
      <c r="G75" s="20" t="s">
        <v>24</v>
      </c>
      <c r="H75" s="20" t="s">
        <v>24</v>
      </c>
      <c r="I75" s="20" t="s">
        <v>181</v>
      </c>
      <c r="J75" s="16" t="s">
        <v>26</v>
      </c>
      <c r="K75" s="16" t="s">
        <v>62</v>
      </c>
      <c r="L75" s="16" t="s">
        <v>28</v>
      </c>
      <c r="M75" s="16" t="s">
        <v>29</v>
      </c>
      <c r="N75" s="18" t="s">
        <v>30</v>
      </c>
      <c r="O75" s="16"/>
      <c r="P75" s="23" t="s">
        <v>189</v>
      </c>
      <c r="Q75" s="23"/>
      <c r="R75" s="29">
        <f t="shared" si="9"/>
        <v>1</v>
      </c>
      <c r="S75" s="30" t="str">
        <f t="shared" si="10"/>
        <v>P00.082</v>
      </c>
    </row>
    <row r="76" spans="1:19">
      <c r="A76" s="16"/>
      <c r="B76" s="16"/>
      <c r="C76" s="16"/>
      <c r="D76" s="21">
        <f t="shared" si="8"/>
        <v>83</v>
      </c>
      <c r="E76" s="18" t="s">
        <v>31</v>
      </c>
      <c r="F76" s="23" t="s">
        <v>190</v>
      </c>
      <c r="G76" s="20" t="s">
        <v>24</v>
      </c>
      <c r="H76" s="20" t="s">
        <v>24</v>
      </c>
      <c r="I76" s="20" t="s">
        <v>181</v>
      </c>
      <c r="J76" s="16" t="s">
        <v>26</v>
      </c>
      <c r="K76" s="16" t="s">
        <v>62</v>
      </c>
      <c r="L76" s="16" t="s">
        <v>28</v>
      </c>
      <c r="M76" s="16" t="s">
        <v>29</v>
      </c>
      <c r="N76" s="18" t="s">
        <v>30</v>
      </c>
      <c r="O76" s="16"/>
      <c r="P76" s="23" t="s">
        <v>191</v>
      </c>
      <c r="Q76" s="23"/>
      <c r="R76" s="29" t="e">
        <f>IF(OR(#REF!="",LEFT(TRIM(#REF!),3)=E76),1,0)</f>
        <v>#REF!</v>
      </c>
      <c r="S76" s="30" t="str">
        <f t="shared" si="10"/>
        <v>P00.083</v>
      </c>
    </row>
    <row r="77" spans="1:19">
      <c r="A77" s="16"/>
      <c r="B77" s="16"/>
      <c r="C77" s="16"/>
      <c r="D77" s="21">
        <f t="shared" si="8"/>
        <v>84</v>
      </c>
      <c r="E77" s="18" t="s">
        <v>31</v>
      </c>
      <c r="F77" s="23" t="s">
        <v>192</v>
      </c>
      <c r="G77" s="20" t="s">
        <v>24</v>
      </c>
      <c r="H77" s="20" t="s">
        <v>24</v>
      </c>
      <c r="I77" s="20" t="s">
        <v>181</v>
      </c>
      <c r="J77" s="16" t="s">
        <v>26</v>
      </c>
      <c r="K77" s="16" t="s">
        <v>62</v>
      </c>
      <c r="L77" s="16" t="s">
        <v>28</v>
      </c>
      <c r="M77" s="16" t="s">
        <v>29</v>
      </c>
      <c r="N77" s="18" t="s">
        <v>30</v>
      </c>
      <c r="O77" s="16"/>
      <c r="P77" s="23" t="s">
        <v>193</v>
      </c>
      <c r="Q77" s="23"/>
      <c r="R77" s="29">
        <f t="shared" si="9"/>
        <v>1</v>
      </c>
      <c r="S77" s="30" t="str">
        <f t="shared" si="10"/>
        <v>P00.084</v>
      </c>
    </row>
    <row r="78" spans="1:19">
      <c r="A78" s="16"/>
      <c r="B78" s="16"/>
      <c r="C78" s="16"/>
      <c r="D78" s="21">
        <f t="shared" si="8"/>
        <v>85</v>
      </c>
      <c r="E78" s="18" t="s">
        <v>31</v>
      </c>
      <c r="F78" s="23" t="s">
        <v>194</v>
      </c>
      <c r="G78" s="20" t="s">
        <v>24</v>
      </c>
      <c r="H78" s="20" t="s">
        <v>24</v>
      </c>
      <c r="I78" s="20" t="s">
        <v>181</v>
      </c>
      <c r="J78" s="16" t="s">
        <v>26</v>
      </c>
      <c r="K78" s="16" t="s">
        <v>62</v>
      </c>
      <c r="L78" s="16" t="s">
        <v>28</v>
      </c>
      <c r="M78" s="16" t="s">
        <v>29</v>
      </c>
      <c r="N78" s="18" t="s">
        <v>30</v>
      </c>
      <c r="O78" s="16"/>
      <c r="P78" s="23" t="s">
        <v>195</v>
      </c>
      <c r="Q78" s="23"/>
      <c r="R78" s="29">
        <f t="shared" si="9"/>
        <v>1</v>
      </c>
      <c r="S78" s="30" t="str">
        <f t="shared" si="10"/>
        <v>P00.085</v>
      </c>
    </row>
    <row r="79" spans="1:19">
      <c r="A79" s="16"/>
      <c r="B79" s="16"/>
      <c r="C79" s="16"/>
      <c r="D79" s="21">
        <f t="shared" si="8"/>
        <v>86</v>
      </c>
      <c r="E79" s="18" t="s">
        <v>31</v>
      </c>
      <c r="F79" s="23" t="s">
        <v>196</v>
      </c>
      <c r="G79" s="20" t="s">
        <v>24</v>
      </c>
      <c r="H79" s="20" t="s">
        <v>24</v>
      </c>
      <c r="I79" s="20" t="s">
        <v>181</v>
      </c>
      <c r="J79" s="16" t="s">
        <v>26</v>
      </c>
      <c r="K79" s="16" t="s">
        <v>62</v>
      </c>
      <c r="L79" s="16" t="s">
        <v>28</v>
      </c>
      <c r="M79" s="16" t="s">
        <v>29</v>
      </c>
      <c r="N79" s="18" t="s">
        <v>30</v>
      </c>
      <c r="O79" s="16"/>
      <c r="P79" s="23" t="s">
        <v>197</v>
      </c>
      <c r="Q79" s="23"/>
      <c r="R79" s="29">
        <f t="shared" si="9"/>
        <v>1</v>
      </c>
      <c r="S79" s="30" t="str">
        <f t="shared" si="10"/>
        <v>P00.086</v>
      </c>
    </row>
    <row r="80" spans="1:19">
      <c r="A80" s="16"/>
      <c r="B80" s="16"/>
      <c r="C80" s="16"/>
      <c r="D80" s="21">
        <f t="shared" si="8"/>
        <v>87</v>
      </c>
      <c r="E80" s="18" t="s">
        <v>31</v>
      </c>
      <c r="F80" s="23" t="s">
        <v>198</v>
      </c>
      <c r="G80" s="20" t="s">
        <v>24</v>
      </c>
      <c r="H80" s="20" t="s">
        <v>24</v>
      </c>
      <c r="I80" s="20" t="s">
        <v>181</v>
      </c>
      <c r="J80" s="16" t="s">
        <v>26</v>
      </c>
      <c r="K80" s="16" t="s">
        <v>62</v>
      </c>
      <c r="L80" s="16" t="s">
        <v>28</v>
      </c>
      <c r="M80" s="16" t="s">
        <v>29</v>
      </c>
      <c r="N80" s="18" t="s">
        <v>30</v>
      </c>
      <c r="O80" s="16"/>
      <c r="P80" s="23" t="s">
        <v>199</v>
      </c>
      <c r="Q80" s="23"/>
      <c r="R80" s="29">
        <f t="shared" si="9"/>
        <v>1</v>
      </c>
      <c r="S80" s="30" t="str">
        <f t="shared" si="10"/>
        <v>P00.087</v>
      </c>
    </row>
    <row r="81" spans="1:19">
      <c r="A81" s="16"/>
      <c r="B81" s="16"/>
      <c r="C81" s="16"/>
      <c r="D81" s="21">
        <f t="shared" si="8"/>
        <v>88</v>
      </c>
      <c r="E81" s="18" t="s">
        <v>31</v>
      </c>
      <c r="F81" s="23" t="s">
        <v>200</v>
      </c>
      <c r="G81" s="20" t="s">
        <v>24</v>
      </c>
      <c r="H81" s="20" t="s">
        <v>24</v>
      </c>
      <c r="I81" s="20" t="s">
        <v>181</v>
      </c>
      <c r="J81" s="16" t="s">
        <v>26</v>
      </c>
      <c r="K81" s="16" t="s">
        <v>62</v>
      </c>
      <c r="L81" s="16" t="s">
        <v>28</v>
      </c>
      <c r="M81" s="16" t="s">
        <v>29</v>
      </c>
      <c r="N81" s="18" t="s">
        <v>30</v>
      </c>
      <c r="O81" s="16"/>
      <c r="P81" s="23" t="s">
        <v>201</v>
      </c>
      <c r="Q81" s="23"/>
      <c r="R81" s="29">
        <f t="shared" si="9"/>
        <v>1</v>
      </c>
      <c r="S81" s="30" t="str">
        <f t="shared" si="10"/>
        <v>P00.088</v>
      </c>
    </row>
    <row r="82" spans="1:19">
      <c r="A82" s="16"/>
      <c r="B82" s="16"/>
      <c r="C82" s="16"/>
      <c r="D82" s="21">
        <f t="shared" si="8"/>
        <v>89</v>
      </c>
      <c r="E82" s="18" t="s">
        <v>31</v>
      </c>
      <c r="F82" s="23" t="s">
        <v>202</v>
      </c>
      <c r="G82" s="20" t="s">
        <v>24</v>
      </c>
      <c r="H82" s="20" t="s">
        <v>24</v>
      </c>
      <c r="I82" s="20" t="s">
        <v>181</v>
      </c>
      <c r="J82" s="16" t="s">
        <v>26</v>
      </c>
      <c r="K82" s="16" t="s">
        <v>62</v>
      </c>
      <c r="L82" s="16" t="s">
        <v>28</v>
      </c>
      <c r="M82" s="16" t="s">
        <v>29</v>
      </c>
      <c r="N82" s="18" t="s">
        <v>30</v>
      </c>
      <c r="O82" s="16"/>
      <c r="P82" s="23" t="s">
        <v>203</v>
      </c>
      <c r="Q82" s="23"/>
      <c r="R82" s="29">
        <f t="shared" si="9"/>
        <v>1</v>
      </c>
      <c r="S82" s="30" t="str">
        <f t="shared" si="10"/>
        <v>P00.089</v>
      </c>
    </row>
    <row r="83" spans="1:19">
      <c r="A83" s="16"/>
      <c r="B83" s="16"/>
      <c r="C83" s="16"/>
      <c r="D83" s="21">
        <f t="shared" si="8"/>
        <v>90</v>
      </c>
      <c r="E83" s="18" t="s">
        <v>31</v>
      </c>
      <c r="F83" s="23" t="s">
        <v>204</v>
      </c>
      <c r="G83" s="20" t="s">
        <v>24</v>
      </c>
      <c r="H83" s="20" t="s">
        <v>24</v>
      </c>
      <c r="I83" s="20" t="s">
        <v>181</v>
      </c>
      <c r="J83" s="16" t="s">
        <v>26</v>
      </c>
      <c r="K83" s="16" t="s">
        <v>62</v>
      </c>
      <c r="L83" s="16" t="s">
        <v>28</v>
      </c>
      <c r="M83" s="16" t="s">
        <v>29</v>
      </c>
      <c r="N83" s="18" t="s">
        <v>30</v>
      </c>
      <c r="O83" s="16"/>
      <c r="P83" s="23" t="s">
        <v>205</v>
      </c>
      <c r="Q83" s="23"/>
      <c r="R83" s="29">
        <f t="shared" si="9"/>
        <v>1</v>
      </c>
      <c r="S83" s="30" t="str">
        <f t="shared" si="10"/>
        <v>P00.090</v>
      </c>
    </row>
    <row r="84" spans="1:19">
      <c r="A84" s="16"/>
      <c r="B84" s="16"/>
      <c r="C84" s="16"/>
      <c r="D84" s="21">
        <f t="shared" si="8"/>
        <v>91</v>
      </c>
      <c r="E84" s="18" t="s">
        <v>31</v>
      </c>
      <c r="F84" s="23" t="s">
        <v>206</v>
      </c>
      <c r="G84" s="20" t="s">
        <v>24</v>
      </c>
      <c r="H84" s="20" t="s">
        <v>24</v>
      </c>
      <c r="I84" s="20" t="s">
        <v>181</v>
      </c>
      <c r="J84" s="16" t="s">
        <v>26</v>
      </c>
      <c r="K84" s="16" t="s">
        <v>62</v>
      </c>
      <c r="L84" s="16" t="s">
        <v>28</v>
      </c>
      <c r="M84" s="16" t="s">
        <v>29</v>
      </c>
      <c r="N84" s="18" t="s">
        <v>30</v>
      </c>
      <c r="O84" s="16"/>
      <c r="P84" s="23" t="s">
        <v>207</v>
      </c>
      <c r="Q84" s="23"/>
      <c r="R84" s="29">
        <f t="shared" si="9"/>
        <v>1</v>
      </c>
      <c r="S84" s="30" t="str">
        <f t="shared" si="10"/>
        <v>P00.091</v>
      </c>
    </row>
    <row r="85" spans="1:19">
      <c r="A85" s="16"/>
      <c r="B85" s="16"/>
      <c r="C85" s="16"/>
      <c r="D85" s="21">
        <f t="shared" si="8"/>
        <v>92</v>
      </c>
      <c r="E85" s="18" t="s">
        <v>31</v>
      </c>
      <c r="F85" s="23" t="s">
        <v>208</v>
      </c>
      <c r="G85" s="20" t="s">
        <v>24</v>
      </c>
      <c r="H85" s="20" t="s">
        <v>24</v>
      </c>
      <c r="I85" s="20" t="s">
        <v>181</v>
      </c>
      <c r="J85" s="16" t="s">
        <v>26</v>
      </c>
      <c r="K85" s="16" t="s">
        <v>62</v>
      </c>
      <c r="L85" s="16" t="s">
        <v>28</v>
      </c>
      <c r="M85" s="16" t="s">
        <v>29</v>
      </c>
      <c r="N85" s="18" t="s">
        <v>30</v>
      </c>
      <c r="O85" s="16"/>
      <c r="P85" s="23" t="s">
        <v>209</v>
      </c>
      <c r="Q85" s="23"/>
      <c r="R85" s="29">
        <f t="shared" si="9"/>
        <v>1</v>
      </c>
      <c r="S85" s="30" t="str">
        <f t="shared" si="10"/>
        <v>P00.092</v>
      </c>
    </row>
    <row r="86" spans="1:19">
      <c r="A86" s="16"/>
      <c r="B86" s="16"/>
      <c r="C86" s="16"/>
      <c r="D86" s="21">
        <f t="shared" si="8"/>
        <v>93</v>
      </c>
      <c r="E86" s="18" t="s">
        <v>31</v>
      </c>
      <c r="F86" s="23" t="s">
        <v>210</v>
      </c>
      <c r="G86" s="20" t="s">
        <v>24</v>
      </c>
      <c r="H86" s="20" t="s">
        <v>24</v>
      </c>
      <c r="I86" s="20" t="s">
        <v>181</v>
      </c>
      <c r="J86" s="16" t="s">
        <v>26</v>
      </c>
      <c r="K86" s="16" t="s">
        <v>62</v>
      </c>
      <c r="L86" s="16" t="s">
        <v>28</v>
      </c>
      <c r="M86" s="16" t="s">
        <v>29</v>
      </c>
      <c r="N86" s="18" t="s">
        <v>30</v>
      </c>
      <c r="O86" s="16"/>
      <c r="P86" s="23" t="s">
        <v>211</v>
      </c>
      <c r="Q86" s="23"/>
      <c r="R86" s="29">
        <f t="shared" si="9"/>
        <v>1</v>
      </c>
      <c r="S86" s="30" t="str">
        <f t="shared" si="10"/>
        <v>P00.093</v>
      </c>
    </row>
    <row r="87" spans="1:19">
      <c r="A87" s="16"/>
      <c r="B87" s="16"/>
      <c r="C87" s="16"/>
      <c r="D87" s="21">
        <f t="shared" si="8"/>
        <v>94</v>
      </c>
      <c r="E87" s="18" t="s">
        <v>31</v>
      </c>
      <c r="F87" s="23" t="s">
        <v>212</v>
      </c>
      <c r="G87" s="20" t="s">
        <v>24</v>
      </c>
      <c r="H87" s="20" t="s">
        <v>24</v>
      </c>
      <c r="I87" s="20" t="s">
        <v>181</v>
      </c>
      <c r="J87" s="16" t="s">
        <v>26</v>
      </c>
      <c r="K87" s="16" t="s">
        <v>62</v>
      </c>
      <c r="L87" s="16" t="s">
        <v>28</v>
      </c>
      <c r="M87" s="16" t="s">
        <v>29</v>
      </c>
      <c r="N87" s="18" t="s">
        <v>30</v>
      </c>
      <c r="O87" s="16"/>
      <c r="P87" s="23" t="s">
        <v>213</v>
      </c>
      <c r="Q87" s="23"/>
      <c r="R87" s="29">
        <f t="shared" si="9"/>
        <v>1</v>
      </c>
      <c r="S87" s="30" t="str">
        <f t="shared" si="10"/>
        <v>P00.094</v>
      </c>
    </row>
    <row r="88" spans="1:19">
      <c r="A88" s="16"/>
      <c r="B88" s="16"/>
      <c r="C88" s="16"/>
      <c r="D88" s="21">
        <f t="shared" si="8"/>
        <v>95</v>
      </c>
      <c r="E88" s="18" t="s">
        <v>31</v>
      </c>
      <c r="F88" s="23" t="s">
        <v>214</v>
      </c>
      <c r="G88" s="20" t="s">
        <v>24</v>
      </c>
      <c r="H88" s="20" t="s">
        <v>24</v>
      </c>
      <c r="I88" s="20" t="s">
        <v>181</v>
      </c>
      <c r="J88" s="16" t="s">
        <v>26</v>
      </c>
      <c r="K88" s="16" t="s">
        <v>62</v>
      </c>
      <c r="L88" s="16" t="s">
        <v>28</v>
      </c>
      <c r="M88" s="16" t="s">
        <v>29</v>
      </c>
      <c r="N88" s="18" t="s">
        <v>30</v>
      </c>
      <c r="O88" s="16"/>
      <c r="P88" s="23" t="s">
        <v>215</v>
      </c>
      <c r="Q88" s="23"/>
      <c r="R88" s="29">
        <f t="shared" si="9"/>
        <v>1</v>
      </c>
      <c r="S88" s="30" t="str">
        <f t="shared" si="10"/>
        <v>P00.095</v>
      </c>
    </row>
    <row r="89" spans="1:19">
      <c r="A89" s="16"/>
      <c r="B89" s="16"/>
      <c r="C89" s="16"/>
      <c r="D89" s="21">
        <f t="shared" si="8"/>
        <v>96</v>
      </c>
      <c r="E89" s="18" t="s">
        <v>31</v>
      </c>
      <c r="F89" s="23" t="s">
        <v>216</v>
      </c>
      <c r="G89" s="20" t="s">
        <v>24</v>
      </c>
      <c r="H89" s="20" t="s">
        <v>24</v>
      </c>
      <c r="I89" s="20" t="s">
        <v>181</v>
      </c>
      <c r="J89" s="16" t="s">
        <v>26</v>
      </c>
      <c r="K89" s="16" t="s">
        <v>62</v>
      </c>
      <c r="L89" s="16" t="s">
        <v>28</v>
      </c>
      <c r="M89" s="16" t="s">
        <v>29</v>
      </c>
      <c r="N89" s="18" t="s">
        <v>30</v>
      </c>
      <c r="O89" s="16"/>
      <c r="P89" s="23" t="s">
        <v>217</v>
      </c>
      <c r="Q89" s="23"/>
      <c r="R89" s="29">
        <f t="shared" si="9"/>
        <v>1</v>
      </c>
      <c r="S89" s="30" t="str">
        <f t="shared" si="10"/>
        <v>P00.096</v>
      </c>
    </row>
    <row r="90" spans="1:19">
      <c r="A90" s="16"/>
      <c r="B90" s="16"/>
      <c r="C90" s="16"/>
      <c r="D90" s="21">
        <f t="shared" si="8"/>
        <v>97</v>
      </c>
      <c r="E90" s="18" t="s">
        <v>31</v>
      </c>
      <c r="F90" s="23" t="s">
        <v>218</v>
      </c>
      <c r="G90" s="20" t="s">
        <v>24</v>
      </c>
      <c r="H90" s="20" t="s">
        <v>24</v>
      </c>
      <c r="I90" s="20" t="s">
        <v>181</v>
      </c>
      <c r="J90" s="16" t="s">
        <v>26</v>
      </c>
      <c r="K90" s="16" t="s">
        <v>62</v>
      </c>
      <c r="L90" s="16" t="s">
        <v>28</v>
      </c>
      <c r="M90" s="16" t="s">
        <v>29</v>
      </c>
      <c r="N90" s="18" t="s">
        <v>30</v>
      </c>
      <c r="O90" s="16"/>
      <c r="P90" s="23" t="s">
        <v>219</v>
      </c>
      <c r="Q90" s="23"/>
      <c r="R90" s="29">
        <f t="shared" si="9"/>
        <v>1</v>
      </c>
      <c r="S90" s="30" t="str">
        <f t="shared" si="10"/>
        <v>P00.097</v>
      </c>
    </row>
    <row r="91" spans="1:19">
      <c r="A91" s="16"/>
      <c r="B91" s="16"/>
      <c r="C91" s="16"/>
      <c r="D91" s="21">
        <f t="shared" si="8"/>
        <v>98</v>
      </c>
      <c r="E91" s="18" t="s">
        <v>31</v>
      </c>
      <c r="F91" s="23" t="s">
        <v>220</v>
      </c>
      <c r="G91" s="20" t="s">
        <v>24</v>
      </c>
      <c r="H91" s="20" t="s">
        <v>24</v>
      </c>
      <c r="I91" s="20" t="s">
        <v>181</v>
      </c>
      <c r="J91" s="16" t="s">
        <v>26</v>
      </c>
      <c r="K91" s="16" t="s">
        <v>62</v>
      </c>
      <c r="L91" s="16" t="s">
        <v>28</v>
      </c>
      <c r="M91" s="16" t="s">
        <v>29</v>
      </c>
      <c r="N91" s="18" t="s">
        <v>30</v>
      </c>
      <c r="O91" s="16"/>
      <c r="P91" s="23" t="s">
        <v>221</v>
      </c>
      <c r="Q91" s="23"/>
      <c r="R91" s="29">
        <f t="shared" si="9"/>
        <v>1</v>
      </c>
      <c r="S91" s="30" t="str">
        <f t="shared" si="10"/>
        <v>P00.098</v>
      </c>
    </row>
    <row r="92" spans="1:19">
      <c r="A92" s="16"/>
      <c r="B92" s="16"/>
      <c r="C92" s="16"/>
      <c r="D92" s="21">
        <f t="shared" si="8"/>
        <v>99</v>
      </c>
      <c r="E92" s="18" t="s">
        <v>31</v>
      </c>
      <c r="F92" s="23" t="s">
        <v>222</v>
      </c>
      <c r="G92" s="20" t="s">
        <v>24</v>
      </c>
      <c r="H92" s="20" t="s">
        <v>24</v>
      </c>
      <c r="I92" s="20" t="s">
        <v>181</v>
      </c>
      <c r="J92" s="16" t="s">
        <v>26</v>
      </c>
      <c r="K92" s="16" t="s">
        <v>62</v>
      </c>
      <c r="L92" s="16" t="s">
        <v>28</v>
      </c>
      <c r="M92" s="16" t="s">
        <v>29</v>
      </c>
      <c r="N92" s="18" t="s">
        <v>30</v>
      </c>
      <c r="O92" s="16"/>
      <c r="P92" s="23" t="s">
        <v>223</v>
      </c>
      <c r="Q92" s="23"/>
      <c r="R92" s="29">
        <f t="shared" si="9"/>
        <v>1</v>
      </c>
      <c r="S92" s="30" t="str">
        <f t="shared" si="10"/>
        <v>P00.099</v>
      </c>
    </row>
    <row r="93" spans="1:19">
      <c r="A93" s="16"/>
      <c r="B93" s="16"/>
      <c r="C93" s="16"/>
      <c r="D93" s="21">
        <f t="shared" si="8"/>
        <v>100</v>
      </c>
      <c r="E93" s="18" t="s">
        <v>31</v>
      </c>
      <c r="F93" s="23" t="s">
        <v>224</v>
      </c>
      <c r="G93" s="20" t="s">
        <v>24</v>
      </c>
      <c r="H93" s="20" t="s">
        <v>24</v>
      </c>
      <c r="I93" s="20" t="s">
        <v>181</v>
      </c>
      <c r="J93" s="16" t="s">
        <v>26</v>
      </c>
      <c r="K93" s="16" t="s">
        <v>62</v>
      </c>
      <c r="L93" s="16" t="s">
        <v>28</v>
      </c>
      <c r="M93" s="16" t="s">
        <v>29</v>
      </c>
      <c r="N93" s="18" t="s">
        <v>30</v>
      </c>
      <c r="O93" s="16"/>
      <c r="P93" s="23" t="s">
        <v>225</v>
      </c>
      <c r="Q93" s="23"/>
      <c r="R93" s="29">
        <f t="shared" si="9"/>
        <v>1</v>
      </c>
      <c r="S93" s="30" t="str">
        <f t="shared" si="10"/>
        <v>P00.100</v>
      </c>
    </row>
    <row r="94" spans="1:19">
      <c r="A94" s="16"/>
      <c r="B94" s="16"/>
      <c r="C94" s="16"/>
      <c r="D94" s="21">
        <f t="shared" si="8"/>
        <v>101</v>
      </c>
      <c r="E94" s="18" t="s">
        <v>31</v>
      </c>
      <c r="F94" s="23" t="s">
        <v>226</v>
      </c>
      <c r="G94" s="20" t="s">
        <v>24</v>
      </c>
      <c r="H94" s="20" t="s">
        <v>24</v>
      </c>
      <c r="I94" s="20" t="s">
        <v>181</v>
      </c>
      <c r="J94" s="16" t="s">
        <v>26</v>
      </c>
      <c r="K94" s="16" t="s">
        <v>62</v>
      </c>
      <c r="L94" s="16" t="s">
        <v>28</v>
      </c>
      <c r="M94" s="16" t="s">
        <v>29</v>
      </c>
      <c r="N94" s="18" t="s">
        <v>30</v>
      </c>
      <c r="O94" s="16"/>
      <c r="P94" s="23" t="s">
        <v>227</v>
      </c>
      <c r="Q94" s="23"/>
      <c r="R94" s="29">
        <f t="shared" si="9"/>
        <v>1</v>
      </c>
      <c r="S94" s="30" t="str">
        <f t="shared" si="10"/>
        <v>P00.101</v>
      </c>
    </row>
    <row r="95" spans="1:19">
      <c r="A95" s="16"/>
      <c r="B95" s="16"/>
      <c r="C95" s="16"/>
      <c r="D95" s="21">
        <f t="shared" si="8"/>
        <v>102</v>
      </c>
      <c r="E95" s="18" t="s">
        <v>31</v>
      </c>
      <c r="F95" s="23" t="s">
        <v>228</v>
      </c>
      <c r="G95" s="20" t="s">
        <v>24</v>
      </c>
      <c r="H95" s="20" t="s">
        <v>24</v>
      </c>
      <c r="I95" s="20" t="s">
        <v>181</v>
      </c>
      <c r="J95" s="16" t="s">
        <v>26</v>
      </c>
      <c r="K95" s="16" t="s">
        <v>62</v>
      </c>
      <c r="L95" s="16" t="s">
        <v>28</v>
      </c>
      <c r="M95" s="16" t="s">
        <v>29</v>
      </c>
      <c r="N95" s="18" t="s">
        <v>30</v>
      </c>
      <c r="O95" s="16"/>
      <c r="P95" s="23" t="s">
        <v>229</v>
      </c>
      <c r="Q95" s="23"/>
      <c r="R95" s="29">
        <f t="shared" ref="R95:R111" si="11">IF(OR(F95="",LEFT(TRIM(F95),3)=E95),1,0)</f>
        <v>1</v>
      </c>
      <c r="S95" s="30" t="str">
        <f t="shared" ref="S95:S111" si="12">"P"&amp;TEXT(INT(D95/256),"00")&amp;"."&amp;TEXT(MOD(D95,256),"000")</f>
        <v>P00.102</v>
      </c>
    </row>
    <row r="96" spans="1:19">
      <c r="A96" s="16"/>
      <c r="B96" s="16"/>
      <c r="C96" s="16"/>
      <c r="D96" s="21">
        <f t="shared" si="8"/>
        <v>103</v>
      </c>
      <c r="E96" s="18" t="s">
        <v>31</v>
      </c>
      <c r="F96" s="23" t="s">
        <v>230</v>
      </c>
      <c r="G96" s="20" t="s">
        <v>24</v>
      </c>
      <c r="H96" s="20" t="s">
        <v>24</v>
      </c>
      <c r="I96" s="20" t="s">
        <v>181</v>
      </c>
      <c r="J96" s="16" t="s">
        <v>26</v>
      </c>
      <c r="K96" s="16" t="s">
        <v>62</v>
      </c>
      <c r="L96" s="16" t="s">
        <v>28</v>
      </c>
      <c r="M96" s="16" t="s">
        <v>29</v>
      </c>
      <c r="N96" s="18" t="s">
        <v>30</v>
      </c>
      <c r="O96" s="16"/>
      <c r="P96" s="23" t="s">
        <v>231</v>
      </c>
      <c r="Q96" s="23"/>
      <c r="R96" s="29">
        <f t="shared" si="11"/>
        <v>1</v>
      </c>
      <c r="S96" s="30" t="str">
        <f t="shared" si="12"/>
        <v>P00.103</v>
      </c>
    </row>
    <row r="97" spans="1:19">
      <c r="A97" s="16"/>
      <c r="B97" s="16"/>
      <c r="C97" s="16"/>
      <c r="D97" s="21">
        <f t="shared" si="8"/>
        <v>104</v>
      </c>
      <c r="E97" s="18" t="s">
        <v>31</v>
      </c>
      <c r="F97" s="23" t="s">
        <v>232</v>
      </c>
      <c r="G97" s="20" t="s">
        <v>24</v>
      </c>
      <c r="H97" s="20" t="s">
        <v>24</v>
      </c>
      <c r="I97" s="20" t="s">
        <v>181</v>
      </c>
      <c r="J97" s="16" t="s">
        <v>26</v>
      </c>
      <c r="K97" s="16" t="s">
        <v>62</v>
      </c>
      <c r="L97" s="16" t="s">
        <v>28</v>
      </c>
      <c r="M97" s="16" t="s">
        <v>29</v>
      </c>
      <c r="N97" s="18" t="s">
        <v>30</v>
      </c>
      <c r="O97" s="16"/>
      <c r="P97" s="23" t="s">
        <v>233</v>
      </c>
      <c r="Q97" s="23"/>
      <c r="R97" s="29">
        <f t="shared" si="11"/>
        <v>1</v>
      </c>
      <c r="S97" s="30" t="str">
        <f t="shared" si="12"/>
        <v>P00.104</v>
      </c>
    </row>
    <row r="98" spans="1:19">
      <c r="A98" s="16"/>
      <c r="B98" s="16"/>
      <c r="C98" s="16"/>
      <c r="D98" s="21">
        <f t="shared" si="8"/>
        <v>105</v>
      </c>
      <c r="E98" s="18" t="s">
        <v>31</v>
      </c>
      <c r="F98" s="23" t="s">
        <v>234</v>
      </c>
      <c r="G98" s="20" t="s">
        <v>24</v>
      </c>
      <c r="H98" s="20" t="s">
        <v>24</v>
      </c>
      <c r="I98" s="20" t="s">
        <v>181</v>
      </c>
      <c r="J98" s="16" t="s">
        <v>26</v>
      </c>
      <c r="K98" s="16" t="s">
        <v>62</v>
      </c>
      <c r="L98" s="16" t="s">
        <v>28</v>
      </c>
      <c r="M98" s="16" t="s">
        <v>29</v>
      </c>
      <c r="N98" s="18" t="s">
        <v>30</v>
      </c>
      <c r="O98" s="16"/>
      <c r="P98" s="23" t="s">
        <v>235</v>
      </c>
      <c r="Q98" s="23"/>
      <c r="R98" s="29">
        <f t="shared" si="11"/>
        <v>1</v>
      </c>
      <c r="S98" s="30" t="str">
        <f t="shared" si="12"/>
        <v>P00.105</v>
      </c>
    </row>
    <row r="99" spans="1:19">
      <c r="A99" s="16"/>
      <c r="B99" s="16"/>
      <c r="C99" s="16"/>
      <c r="D99" s="21">
        <f t="shared" si="8"/>
        <v>106</v>
      </c>
      <c r="E99" s="18" t="s">
        <v>31</v>
      </c>
      <c r="F99" s="23" t="s">
        <v>236</v>
      </c>
      <c r="G99" s="20" t="s">
        <v>24</v>
      </c>
      <c r="H99" s="20" t="s">
        <v>24</v>
      </c>
      <c r="I99" s="20" t="s">
        <v>181</v>
      </c>
      <c r="J99" s="16" t="s">
        <v>26</v>
      </c>
      <c r="K99" s="16" t="s">
        <v>62</v>
      </c>
      <c r="L99" s="16" t="s">
        <v>28</v>
      </c>
      <c r="M99" s="16" t="s">
        <v>29</v>
      </c>
      <c r="N99" s="18" t="s">
        <v>30</v>
      </c>
      <c r="O99" s="16"/>
      <c r="P99" s="23" t="s">
        <v>237</v>
      </c>
      <c r="Q99" s="23"/>
      <c r="R99" s="29">
        <f t="shared" si="11"/>
        <v>1</v>
      </c>
      <c r="S99" s="30" t="str">
        <f t="shared" si="12"/>
        <v>P00.106</v>
      </c>
    </row>
    <row r="100" spans="1:19">
      <c r="A100" s="16"/>
      <c r="B100" s="16"/>
      <c r="C100" s="16"/>
      <c r="D100" s="21">
        <f t="shared" si="8"/>
        <v>107</v>
      </c>
      <c r="E100" s="18" t="s">
        <v>31</v>
      </c>
      <c r="F100" s="23" t="s">
        <v>238</v>
      </c>
      <c r="G100" s="20" t="s">
        <v>24</v>
      </c>
      <c r="H100" s="20" t="s">
        <v>24</v>
      </c>
      <c r="I100" s="20" t="s">
        <v>181</v>
      </c>
      <c r="J100" s="16" t="s">
        <v>26</v>
      </c>
      <c r="K100" s="16" t="s">
        <v>62</v>
      </c>
      <c r="L100" s="16" t="s">
        <v>28</v>
      </c>
      <c r="M100" s="16" t="s">
        <v>29</v>
      </c>
      <c r="N100" s="18" t="s">
        <v>30</v>
      </c>
      <c r="O100" s="16"/>
      <c r="P100" s="23" t="s">
        <v>239</v>
      </c>
      <c r="Q100" s="23"/>
      <c r="R100" s="29">
        <f t="shared" si="11"/>
        <v>1</v>
      </c>
      <c r="S100" s="30" t="str">
        <f t="shared" si="12"/>
        <v>P00.107</v>
      </c>
    </row>
    <row r="101" spans="1:19">
      <c r="A101" s="16"/>
      <c r="B101" s="16"/>
      <c r="C101" s="16"/>
      <c r="D101" s="21">
        <f t="shared" si="8"/>
        <v>108</v>
      </c>
      <c r="E101" s="18" t="s">
        <v>31</v>
      </c>
      <c r="F101" s="23" t="s">
        <v>240</v>
      </c>
      <c r="G101" s="20" t="s">
        <v>24</v>
      </c>
      <c r="H101" s="20" t="s">
        <v>24</v>
      </c>
      <c r="I101" s="20" t="s">
        <v>181</v>
      </c>
      <c r="J101" s="16" t="s">
        <v>26</v>
      </c>
      <c r="K101" s="16" t="s">
        <v>62</v>
      </c>
      <c r="L101" s="16" t="s">
        <v>28</v>
      </c>
      <c r="M101" s="16" t="s">
        <v>29</v>
      </c>
      <c r="N101" s="18" t="s">
        <v>30</v>
      </c>
      <c r="O101" s="16"/>
      <c r="P101" s="23" t="s">
        <v>241</v>
      </c>
      <c r="Q101" s="23"/>
      <c r="R101" s="29">
        <f t="shared" si="11"/>
        <v>1</v>
      </c>
      <c r="S101" s="30" t="str">
        <f t="shared" si="12"/>
        <v>P00.108</v>
      </c>
    </row>
    <row r="102" spans="1:19">
      <c r="A102" s="16"/>
      <c r="B102" s="16"/>
      <c r="C102" s="16"/>
      <c r="D102" s="21">
        <f t="shared" si="8"/>
        <v>109</v>
      </c>
      <c r="E102" s="18" t="s">
        <v>31</v>
      </c>
      <c r="F102" s="23" t="s">
        <v>242</v>
      </c>
      <c r="G102" s="20" t="s">
        <v>24</v>
      </c>
      <c r="H102" s="20" t="s">
        <v>24</v>
      </c>
      <c r="I102" s="20" t="s">
        <v>181</v>
      </c>
      <c r="J102" s="16" t="s">
        <v>26</v>
      </c>
      <c r="K102" s="16" t="s">
        <v>62</v>
      </c>
      <c r="L102" s="16" t="s">
        <v>28</v>
      </c>
      <c r="M102" s="16" t="s">
        <v>29</v>
      </c>
      <c r="N102" s="18" t="s">
        <v>30</v>
      </c>
      <c r="O102" s="16"/>
      <c r="P102" s="23" t="s">
        <v>243</v>
      </c>
      <c r="Q102" s="23"/>
      <c r="R102" s="29">
        <f t="shared" si="11"/>
        <v>1</v>
      </c>
      <c r="S102" s="30" t="str">
        <f t="shared" si="12"/>
        <v>P00.109</v>
      </c>
    </row>
    <row r="103" spans="1:19">
      <c r="A103" s="16"/>
      <c r="B103" s="16"/>
      <c r="C103" s="16"/>
      <c r="D103" s="21">
        <f t="shared" si="8"/>
        <v>110</v>
      </c>
      <c r="E103" s="18" t="s">
        <v>31</v>
      </c>
      <c r="F103" s="23" t="s">
        <v>244</v>
      </c>
      <c r="G103" s="20" t="s">
        <v>24</v>
      </c>
      <c r="H103" s="20" t="s">
        <v>24</v>
      </c>
      <c r="I103" s="20" t="s">
        <v>181</v>
      </c>
      <c r="J103" s="16" t="s">
        <v>26</v>
      </c>
      <c r="K103" s="16" t="s">
        <v>62</v>
      </c>
      <c r="L103" s="16" t="s">
        <v>28</v>
      </c>
      <c r="M103" s="16" t="s">
        <v>29</v>
      </c>
      <c r="N103" s="18" t="s">
        <v>30</v>
      </c>
      <c r="O103" s="16"/>
      <c r="P103" s="23" t="s">
        <v>245</v>
      </c>
      <c r="Q103" s="23"/>
      <c r="R103" s="29">
        <f t="shared" si="11"/>
        <v>1</v>
      </c>
      <c r="S103" s="30" t="str">
        <f t="shared" si="12"/>
        <v>P00.110</v>
      </c>
    </row>
    <row r="104" spans="1:19">
      <c r="A104" s="16"/>
      <c r="B104" s="16"/>
      <c r="C104" s="16"/>
      <c r="D104" s="21">
        <f t="shared" si="8"/>
        <v>111</v>
      </c>
      <c r="E104" s="18" t="s">
        <v>31</v>
      </c>
      <c r="F104" s="23" t="s">
        <v>246</v>
      </c>
      <c r="G104" s="20" t="s">
        <v>24</v>
      </c>
      <c r="H104" s="20" t="s">
        <v>24</v>
      </c>
      <c r="I104" s="20" t="s">
        <v>181</v>
      </c>
      <c r="J104" s="16" t="s">
        <v>26</v>
      </c>
      <c r="K104" s="16" t="s">
        <v>62</v>
      </c>
      <c r="L104" s="16" t="s">
        <v>28</v>
      </c>
      <c r="M104" s="16" t="s">
        <v>29</v>
      </c>
      <c r="N104" s="18" t="s">
        <v>30</v>
      </c>
      <c r="O104" s="16"/>
      <c r="P104" s="23" t="s">
        <v>247</v>
      </c>
      <c r="Q104" s="23"/>
      <c r="R104" s="29">
        <f t="shared" si="11"/>
        <v>1</v>
      </c>
      <c r="S104" s="30" t="str">
        <f t="shared" si="12"/>
        <v>P00.111</v>
      </c>
    </row>
    <row r="105" spans="1:19">
      <c r="A105" s="16"/>
      <c r="B105" s="16"/>
      <c r="C105" s="16"/>
      <c r="D105" s="21">
        <f t="shared" si="8"/>
        <v>112</v>
      </c>
      <c r="E105" s="18" t="s">
        <v>31</v>
      </c>
      <c r="F105" s="23" t="s">
        <v>248</v>
      </c>
      <c r="G105" s="20" t="s">
        <v>24</v>
      </c>
      <c r="H105" s="20" t="s">
        <v>24</v>
      </c>
      <c r="I105" s="20" t="s">
        <v>181</v>
      </c>
      <c r="J105" s="16" t="s">
        <v>26</v>
      </c>
      <c r="K105" s="16" t="s">
        <v>62</v>
      </c>
      <c r="L105" s="16" t="s">
        <v>28</v>
      </c>
      <c r="M105" s="16" t="s">
        <v>29</v>
      </c>
      <c r="N105" s="18" t="s">
        <v>30</v>
      </c>
      <c r="O105" s="16"/>
      <c r="P105" s="23" t="s">
        <v>249</v>
      </c>
      <c r="Q105" s="23"/>
      <c r="R105" s="29">
        <f t="shared" si="11"/>
        <v>1</v>
      </c>
      <c r="S105" s="30" t="str">
        <f t="shared" si="12"/>
        <v>P00.112</v>
      </c>
    </row>
    <row r="106" spans="1:19">
      <c r="A106" s="16"/>
      <c r="B106" s="16"/>
      <c r="C106" s="16"/>
      <c r="D106" s="21">
        <f t="shared" si="8"/>
        <v>113</v>
      </c>
      <c r="E106" s="18" t="s">
        <v>31</v>
      </c>
      <c r="F106" s="23" t="s">
        <v>250</v>
      </c>
      <c r="G106" s="20" t="s">
        <v>24</v>
      </c>
      <c r="H106" s="20" t="s">
        <v>24</v>
      </c>
      <c r="I106" s="20" t="s">
        <v>181</v>
      </c>
      <c r="J106" s="16" t="s">
        <v>26</v>
      </c>
      <c r="K106" s="16" t="s">
        <v>62</v>
      </c>
      <c r="L106" s="16" t="s">
        <v>28</v>
      </c>
      <c r="M106" s="16" t="s">
        <v>29</v>
      </c>
      <c r="N106" s="18" t="s">
        <v>30</v>
      </c>
      <c r="O106" s="16"/>
      <c r="P106" s="23" t="s">
        <v>251</v>
      </c>
      <c r="Q106" s="23"/>
      <c r="R106" s="29">
        <f t="shared" si="11"/>
        <v>1</v>
      </c>
      <c r="S106" s="30" t="str">
        <f t="shared" si="12"/>
        <v>P00.113</v>
      </c>
    </row>
    <row r="107" spans="1:19">
      <c r="A107" s="16"/>
      <c r="B107" s="16"/>
      <c r="C107" s="16"/>
      <c r="D107" s="21">
        <f t="shared" si="8"/>
        <v>114</v>
      </c>
      <c r="E107" s="18" t="s">
        <v>31</v>
      </c>
      <c r="F107" s="23" t="s">
        <v>252</v>
      </c>
      <c r="G107" s="20" t="s">
        <v>24</v>
      </c>
      <c r="H107" s="20" t="s">
        <v>24</v>
      </c>
      <c r="I107" s="20" t="s">
        <v>181</v>
      </c>
      <c r="J107" s="16" t="s">
        <v>26</v>
      </c>
      <c r="K107" s="16" t="s">
        <v>62</v>
      </c>
      <c r="L107" s="16" t="s">
        <v>28</v>
      </c>
      <c r="M107" s="16" t="s">
        <v>29</v>
      </c>
      <c r="N107" s="18" t="s">
        <v>30</v>
      </c>
      <c r="O107" s="16"/>
      <c r="P107" s="23" t="s">
        <v>253</v>
      </c>
      <c r="Q107" s="23"/>
      <c r="R107" s="29">
        <f t="shared" si="11"/>
        <v>1</v>
      </c>
      <c r="S107" s="30" t="str">
        <f t="shared" si="12"/>
        <v>P00.114</v>
      </c>
    </row>
    <row r="108" spans="1:19">
      <c r="A108" s="16"/>
      <c r="B108" s="16"/>
      <c r="C108" s="16"/>
      <c r="D108" s="21">
        <f t="shared" si="8"/>
        <v>115</v>
      </c>
      <c r="E108" s="18" t="s">
        <v>31</v>
      </c>
      <c r="F108" s="23" t="s">
        <v>254</v>
      </c>
      <c r="G108" s="20" t="s">
        <v>24</v>
      </c>
      <c r="H108" s="20" t="s">
        <v>24</v>
      </c>
      <c r="I108" s="20" t="s">
        <v>181</v>
      </c>
      <c r="J108" s="16" t="s">
        <v>26</v>
      </c>
      <c r="K108" s="16" t="s">
        <v>62</v>
      </c>
      <c r="L108" s="16" t="s">
        <v>28</v>
      </c>
      <c r="M108" s="16" t="s">
        <v>29</v>
      </c>
      <c r="N108" s="18" t="s">
        <v>30</v>
      </c>
      <c r="O108" s="16"/>
      <c r="P108" s="23" t="s">
        <v>255</v>
      </c>
      <c r="Q108" s="23"/>
      <c r="R108" s="29">
        <f t="shared" si="11"/>
        <v>1</v>
      </c>
      <c r="S108" s="30" t="str">
        <f t="shared" si="12"/>
        <v>P00.115</v>
      </c>
    </row>
    <row r="109" spans="1:19">
      <c r="A109" s="16"/>
      <c r="B109" s="16"/>
      <c r="C109" s="16"/>
      <c r="D109" s="21">
        <f t="shared" si="8"/>
        <v>116</v>
      </c>
      <c r="E109" s="18" t="s">
        <v>31</v>
      </c>
      <c r="F109" s="23" t="s">
        <v>256</v>
      </c>
      <c r="G109" s="20" t="s">
        <v>24</v>
      </c>
      <c r="H109" s="20" t="s">
        <v>24</v>
      </c>
      <c r="I109" s="20" t="s">
        <v>181</v>
      </c>
      <c r="J109" s="16" t="s">
        <v>26</v>
      </c>
      <c r="K109" s="16" t="s">
        <v>62</v>
      </c>
      <c r="L109" s="16" t="s">
        <v>28</v>
      </c>
      <c r="M109" s="16" t="s">
        <v>29</v>
      </c>
      <c r="N109" s="18" t="s">
        <v>30</v>
      </c>
      <c r="O109" s="16"/>
      <c r="P109" s="23" t="s">
        <v>257</v>
      </c>
      <c r="Q109" s="23"/>
      <c r="R109" s="29">
        <f t="shared" si="11"/>
        <v>1</v>
      </c>
      <c r="S109" s="30" t="str">
        <f t="shared" si="12"/>
        <v>P00.116</v>
      </c>
    </row>
    <row r="110" spans="1:19">
      <c r="A110" s="16"/>
      <c r="B110" s="16"/>
      <c r="C110" s="16"/>
      <c r="D110" s="21">
        <f t="shared" si="8"/>
        <v>117</v>
      </c>
      <c r="E110" s="18" t="s">
        <v>31</v>
      </c>
      <c r="F110" s="23" t="s">
        <v>258</v>
      </c>
      <c r="G110" s="20" t="s">
        <v>24</v>
      </c>
      <c r="H110" s="20" t="s">
        <v>24</v>
      </c>
      <c r="I110" s="20" t="s">
        <v>181</v>
      </c>
      <c r="J110" s="16" t="s">
        <v>26</v>
      </c>
      <c r="K110" s="16" t="s">
        <v>62</v>
      </c>
      <c r="L110" s="16" t="s">
        <v>28</v>
      </c>
      <c r="M110" s="16" t="s">
        <v>29</v>
      </c>
      <c r="N110" s="18" t="s">
        <v>30</v>
      </c>
      <c r="O110" s="16"/>
      <c r="P110" s="23" t="s">
        <v>259</v>
      </c>
      <c r="Q110" s="23"/>
      <c r="R110" s="29">
        <f t="shared" si="11"/>
        <v>1</v>
      </c>
      <c r="S110" s="30" t="str">
        <f t="shared" si="12"/>
        <v>P00.117</v>
      </c>
    </row>
    <row r="111" spans="1:19">
      <c r="A111" s="16"/>
      <c r="B111" s="16"/>
      <c r="C111" s="16"/>
      <c r="D111" s="21">
        <f t="shared" si="8"/>
        <v>118</v>
      </c>
      <c r="E111" s="18" t="s">
        <v>31</v>
      </c>
      <c r="F111" s="23" t="s">
        <v>260</v>
      </c>
      <c r="G111" s="20" t="s">
        <v>24</v>
      </c>
      <c r="H111" s="20" t="s">
        <v>24</v>
      </c>
      <c r="I111" s="20" t="s">
        <v>181</v>
      </c>
      <c r="J111" s="16" t="s">
        <v>26</v>
      </c>
      <c r="K111" s="16" t="s">
        <v>62</v>
      </c>
      <c r="L111" s="16" t="s">
        <v>28</v>
      </c>
      <c r="M111" s="16" t="s">
        <v>29</v>
      </c>
      <c r="N111" s="18" t="s">
        <v>30</v>
      </c>
      <c r="O111" s="16"/>
      <c r="P111" s="23" t="s">
        <v>261</v>
      </c>
      <c r="Q111" s="23"/>
      <c r="R111" s="29">
        <f t="shared" si="11"/>
        <v>1</v>
      </c>
      <c r="S111" s="30" t="str">
        <f t="shared" si="12"/>
        <v>P00.118</v>
      </c>
    </row>
    <row r="112" spans="1:19">
      <c r="A112" s="16"/>
      <c r="B112" s="16"/>
      <c r="C112" s="16"/>
      <c r="D112" s="21">
        <f t="shared" si="8"/>
        <v>119</v>
      </c>
      <c r="E112" s="18" t="s">
        <v>31</v>
      </c>
      <c r="F112" s="23" t="s">
        <v>262</v>
      </c>
      <c r="G112" s="20" t="s">
        <v>24</v>
      </c>
      <c r="H112" s="20" t="s">
        <v>24</v>
      </c>
      <c r="I112" s="20" t="s">
        <v>181</v>
      </c>
      <c r="J112" s="16" t="s">
        <v>26</v>
      </c>
      <c r="K112" s="16" t="s">
        <v>62</v>
      </c>
      <c r="L112" s="16" t="s">
        <v>28</v>
      </c>
      <c r="M112" s="16" t="s">
        <v>29</v>
      </c>
      <c r="N112" s="18" t="s">
        <v>30</v>
      </c>
      <c r="O112" s="16"/>
      <c r="P112" s="23" t="s">
        <v>263</v>
      </c>
      <c r="Q112" s="23"/>
      <c r="R112" s="29">
        <f t="shared" ref="R112:R154" si="13">IF(OR(F112="",LEFT(TRIM(F112),3)=E112),1,0)</f>
        <v>1</v>
      </c>
      <c r="S112" s="30" t="str">
        <f t="shared" ref="S112:S154" si="14">"P"&amp;TEXT(INT(D112/256),"00")&amp;"."&amp;TEXT(MOD(D112,256),"000")</f>
        <v>P00.119</v>
      </c>
    </row>
    <row r="113" spans="1:19">
      <c r="A113" s="16"/>
      <c r="B113" s="16"/>
      <c r="C113" s="16"/>
      <c r="D113" s="21">
        <f t="shared" si="8"/>
        <v>120</v>
      </c>
      <c r="E113" s="18" t="s">
        <v>31</v>
      </c>
      <c r="F113" s="23" t="s">
        <v>264</v>
      </c>
      <c r="G113" s="20" t="s">
        <v>24</v>
      </c>
      <c r="H113" s="20" t="s">
        <v>24</v>
      </c>
      <c r="I113" s="20" t="s">
        <v>181</v>
      </c>
      <c r="J113" s="16" t="s">
        <v>26</v>
      </c>
      <c r="K113" s="16" t="s">
        <v>62</v>
      </c>
      <c r="L113" s="16" t="s">
        <v>28</v>
      </c>
      <c r="M113" s="16" t="s">
        <v>29</v>
      </c>
      <c r="N113" s="18" t="s">
        <v>30</v>
      </c>
      <c r="O113" s="16"/>
      <c r="P113" s="23" t="s">
        <v>265</v>
      </c>
      <c r="Q113" s="23"/>
      <c r="R113" s="29">
        <f t="shared" si="13"/>
        <v>1</v>
      </c>
      <c r="S113" s="30" t="str">
        <f t="shared" si="14"/>
        <v>P00.120</v>
      </c>
    </row>
    <row r="114" spans="1:19">
      <c r="A114" s="16"/>
      <c r="B114" s="16"/>
      <c r="C114" s="16"/>
      <c r="D114" s="21">
        <f t="shared" si="8"/>
        <v>121</v>
      </c>
      <c r="E114" s="18" t="s">
        <v>31</v>
      </c>
      <c r="F114" s="23" t="s">
        <v>266</v>
      </c>
      <c r="G114" s="20" t="s">
        <v>24</v>
      </c>
      <c r="H114" s="20" t="s">
        <v>24</v>
      </c>
      <c r="I114" s="20" t="s">
        <v>181</v>
      </c>
      <c r="J114" s="16" t="s">
        <v>26</v>
      </c>
      <c r="K114" s="16" t="s">
        <v>62</v>
      </c>
      <c r="L114" s="16" t="s">
        <v>28</v>
      </c>
      <c r="M114" s="16" t="s">
        <v>29</v>
      </c>
      <c r="N114" s="18" t="s">
        <v>30</v>
      </c>
      <c r="O114" s="16"/>
      <c r="P114" s="23" t="s">
        <v>267</v>
      </c>
      <c r="Q114" s="23"/>
      <c r="R114" s="29">
        <f t="shared" si="13"/>
        <v>1</v>
      </c>
      <c r="S114" s="30" t="str">
        <f t="shared" si="14"/>
        <v>P00.121</v>
      </c>
    </row>
    <row r="115" spans="1:19">
      <c r="A115" s="16"/>
      <c r="B115" s="16"/>
      <c r="C115" s="16"/>
      <c r="D115" s="21">
        <f t="shared" si="8"/>
        <v>122</v>
      </c>
      <c r="E115" s="18" t="s">
        <v>31</v>
      </c>
      <c r="F115" s="23" t="s">
        <v>268</v>
      </c>
      <c r="G115" s="20" t="s">
        <v>24</v>
      </c>
      <c r="H115" s="20" t="s">
        <v>24</v>
      </c>
      <c r="I115" s="20" t="s">
        <v>181</v>
      </c>
      <c r="J115" s="16" t="s">
        <v>26</v>
      </c>
      <c r="K115" s="16" t="s">
        <v>62</v>
      </c>
      <c r="L115" s="16" t="s">
        <v>28</v>
      </c>
      <c r="M115" s="16" t="s">
        <v>29</v>
      </c>
      <c r="N115" s="18" t="s">
        <v>30</v>
      </c>
      <c r="O115" s="16"/>
      <c r="P115" s="23" t="s">
        <v>269</v>
      </c>
      <c r="Q115" s="23"/>
      <c r="R115" s="29">
        <f t="shared" si="13"/>
        <v>1</v>
      </c>
      <c r="S115" s="30" t="str">
        <f t="shared" si="14"/>
        <v>P00.122</v>
      </c>
    </row>
    <row r="116" spans="1:19">
      <c r="A116" s="16"/>
      <c r="B116" s="16"/>
      <c r="C116" s="16"/>
      <c r="D116" s="21">
        <f t="shared" si="8"/>
        <v>123</v>
      </c>
      <c r="E116" s="18" t="s">
        <v>31</v>
      </c>
      <c r="F116" s="23" t="s">
        <v>270</v>
      </c>
      <c r="G116" s="20" t="s">
        <v>24</v>
      </c>
      <c r="H116" s="20" t="s">
        <v>24</v>
      </c>
      <c r="I116" s="20" t="s">
        <v>181</v>
      </c>
      <c r="J116" s="16" t="s">
        <v>26</v>
      </c>
      <c r="K116" s="16" t="s">
        <v>62</v>
      </c>
      <c r="L116" s="16" t="s">
        <v>28</v>
      </c>
      <c r="M116" s="16" t="s">
        <v>29</v>
      </c>
      <c r="N116" s="18" t="s">
        <v>30</v>
      </c>
      <c r="O116" s="16"/>
      <c r="P116" s="23" t="s">
        <v>271</v>
      </c>
      <c r="Q116" s="23"/>
      <c r="R116" s="29">
        <f t="shared" si="13"/>
        <v>1</v>
      </c>
      <c r="S116" s="30" t="str">
        <f t="shared" si="14"/>
        <v>P00.123</v>
      </c>
    </row>
    <row r="117" spans="1:19">
      <c r="A117" s="16"/>
      <c r="B117" s="16"/>
      <c r="C117" s="16"/>
      <c r="D117" s="21">
        <f t="shared" si="8"/>
        <v>124</v>
      </c>
      <c r="E117" s="18" t="s">
        <v>31</v>
      </c>
      <c r="F117" s="23" t="s">
        <v>272</v>
      </c>
      <c r="G117" s="20" t="s">
        <v>24</v>
      </c>
      <c r="H117" s="20" t="s">
        <v>24</v>
      </c>
      <c r="I117" s="20" t="s">
        <v>181</v>
      </c>
      <c r="J117" s="16" t="s">
        <v>26</v>
      </c>
      <c r="K117" s="16" t="s">
        <v>62</v>
      </c>
      <c r="L117" s="16" t="s">
        <v>28</v>
      </c>
      <c r="M117" s="16" t="s">
        <v>29</v>
      </c>
      <c r="N117" s="18" t="s">
        <v>30</v>
      </c>
      <c r="O117" s="16"/>
      <c r="P117" s="23" t="s">
        <v>273</v>
      </c>
      <c r="Q117" s="23"/>
      <c r="R117" s="29">
        <f t="shared" si="13"/>
        <v>1</v>
      </c>
      <c r="S117" s="30" t="str">
        <f t="shared" si="14"/>
        <v>P00.124</v>
      </c>
    </row>
    <row r="118" spans="1:19">
      <c r="A118" s="16"/>
      <c r="B118" s="16"/>
      <c r="C118" s="16"/>
      <c r="D118" s="21">
        <f t="shared" si="8"/>
        <v>125</v>
      </c>
      <c r="E118" s="18" t="s">
        <v>31</v>
      </c>
      <c r="F118" s="23" t="s">
        <v>274</v>
      </c>
      <c r="G118" s="20" t="s">
        <v>24</v>
      </c>
      <c r="H118" s="20" t="s">
        <v>24</v>
      </c>
      <c r="I118" s="20" t="s">
        <v>181</v>
      </c>
      <c r="J118" s="16" t="s">
        <v>26</v>
      </c>
      <c r="K118" s="16" t="s">
        <v>62</v>
      </c>
      <c r="L118" s="16" t="s">
        <v>28</v>
      </c>
      <c r="M118" s="16" t="s">
        <v>29</v>
      </c>
      <c r="N118" s="18" t="s">
        <v>30</v>
      </c>
      <c r="O118" s="16"/>
      <c r="P118" s="23" t="s">
        <v>275</v>
      </c>
      <c r="Q118" s="23"/>
      <c r="R118" s="29">
        <f t="shared" si="13"/>
        <v>1</v>
      </c>
      <c r="S118" s="30" t="str">
        <f t="shared" si="14"/>
        <v>P00.125</v>
      </c>
    </row>
    <row r="119" spans="1:19">
      <c r="A119" s="16"/>
      <c r="B119" s="16"/>
      <c r="C119" s="16"/>
      <c r="D119" s="21">
        <f t="shared" si="8"/>
        <v>126</v>
      </c>
      <c r="E119" s="18" t="s">
        <v>31</v>
      </c>
      <c r="F119" s="23" t="s">
        <v>276</v>
      </c>
      <c r="G119" s="20" t="s">
        <v>24</v>
      </c>
      <c r="H119" s="20" t="s">
        <v>24</v>
      </c>
      <c r="I119" s="20" t="s">
        <v>181</v>
      </c>
      <c r="J119" s="16" t="s">
        <v>26</v>
      </c>
      <c r="K119" s="16" t="s">
        <v>62</v>
      </c>
      <c r="L119" s="16" t="s">
        <v>28</v>
      </c>
      <c r="M119" s="16" t="s">
        <v>29</v>
      </c>
      <c r="N119" s="18" t="s">
        <v>30</v>
      </c>
      <c r="O119" s="16"/>
      <c r="P119" s="23" t="s">
        <v>277</v>
      </c>
      <c r="Q119" s="23"/>
      <c r="R119" s="29">
        <f t="shared" si="13"/>
        <v>1</v>
      </c>
      <c r="S119" s="30" t="str">
        <f t="shared" si="14"/>
        <v>P00.126</v>
      </c>
    </row>
    <row r="120" spans="1:19">
      <c r="A120" s="16"/>
      <c r="B120" s="16"/>
      <c r="C120" s="16"/>
      <c r="D120" s="21">
        <f t="shared" si="8"/>
        <v>127</v>
      </c>
      <c r="E120" s="18" t="s">
        <v>31</v>
      </c>
      <c r="F120" s="23" t="s">
        <v>278</v>
      </c>
      <c r="G120" s="20" t="s">
        <v>24</v>
      </c>
      <c r="H120" s="20" t="s">
        <v>24</v>
      </c>
      <c r="I120" s="20" t="s">
        <v>181</v>
      </c>
      <c r="J120" s="16" t="s">
        <v>26</v>
      </c>
      <c r="K120" s="16" t="s">
        <v>62</v>
      </c>
      <c r="L120" s="16" t="s">
        <v>28</v>
      </c>
      <c r="M120" s="16" t="s">
        <v>29</v>
      </c>
      <c r="N120" s="18" t="s">
        <v>30</v>
      </c>
      <c r="O120" s="16"/>
      <c r="P120" s="23" t="s">
        <v>279</v>
      </c>
      <c r="Q120" s="23"/>
      <c r="R120" s="29">
        <f t="shared" si="13"/>
        <v>1</v>
      </c>
      <c r="S120" s="30" t="str">
        <f t="shared" si="14"/>
        <v>P00.127</v>
      </c>
    </row>
    <row r="121" spans="1:19">
      <c r="A121" s="16"/>
      <c r="B121" s="16"/>
      <c r="C121" s="16"/>
      <c r="D121" s="21">
        <f t="shared" si="8"/>
        <v>128</v>
      </c>
      <c r="E121" s="18" t="s">
        <v>31</v>
      </c>
      <c r="F121" s="23" t="s">
        <v>280</v>
      </c>
      <c r="G121" s="20" t="s">
        <v>24</v>
      </c>
      <c r="H121" s="20" t="s">
        <v>24</v>
      </c>
      <c r="I121" s="20" t="s">
        <v>181</v>
      </c>
      <c r="J121" s="16" t="s">
        <v>26</v>
      </c>
      <c r="K121" s="16" t="s">
        <v>62</v>
      </c>
      <c r="L121" s="16" t="s">
        <v>28</v>
      </c>
      <c r="M121" s="16" t="s">
        <v>29</v>
      </c>
      <c r="N121" s="18" t="s">
        <v>30</v>
      </c>
      <c r="O121" s="16"/>
      <c r="P121" s="23" t="s">
        <v>281</v>
      </c>
      <c r="Q121" s="23"/>
      <c r="R121" s="29">
        <f t="shared" si="13"/>
        <v>1</v>
      </c>
      <c r="S121" s="30" t="str">
        <f t="shared" si="14"/>
        <v>P00.128</v>
      </c>
    </row>
    <row r="122" spans="1:19">
      <c r="A122" s="16"/>
      <c r="B122" s="16"/>
      <c r="C122" s="16"/>
      <c r="D122" s="21">
        <f t="shared" si="8"/>
        <v>129</v>
      </c>
      <c r="E122" s="18" t="s">
        <v>31</v>
      </c>
      <c r="F122" s="23" t="s">
        <v>282</v>
      </c>
      <c r="G122" s="20" t="s">
        <v>24</v>
      </c>
      <c r="H122" s="20" t="s">
        <v>24</v>
      </c>
      <c r="I122" s="20" t="s">
        <v>181</v>
      </c>
      <c r="J122" s="16" t="s">
        <v>26</v>
      </c>
      <c r="K122" s="16" t="s">
        <v>62</v>
      </c>
      <c r="L122" s="16" t="s">
        <v>28</v>
      </c>
      <c r="M122" s="16" t="s">
        <v>29</v>
      </c>
      <c r="N122" s="18" t="s">
        <v>30</v>
      </c>
      <c r="O122" s="16"/>
      <c r="P122" s="23" t="s">
        <v>283</v>
      </c>
      <c r="Q122" s="23"/>
      <c r="R122" s="29">
        <f t="shared" si="13"/>
        <v>1</v>
      </c>
      <c r="S122" s="30" t="str">
        <f t="shared" si="14"/>
        <v>P00.129</v>
      </c>
    </row>
    <row r="123" spans="1:19">
      <c r="A123" s="16"/>
      <c r="B123" s="16"/>
      <c r="C123" s="16"/>
      <c r="D123" s="21">
        <f t="shared" si="8"/>
        <v>130</v>
      </c>
      <c r="E123" s="18" t="s">
        <v>31</v>
      </c>
      <c r="F123" s="23" t="s">
        <v>284</v>
      </c>
      <c r="G123" s="20" t="s">
        <v>24</v>
      </c>
      <c r="H123" s="20" t="s">
        <v>24</v>
      </c>
      <c r="I123" s="20" t="s">
        <v>181</v>
      </c>
      <c r="J123" s="16" t="s">
        <v>26</v>
      </c>
      <c r="K123" s="16" t="s">
        <v>62</v>
      </c>
      <c r="L123" s="16" t="s">
        <v>28</v>
      </c>
      <c r="M123" s="16" t="s">
        <v>29</v>
      </c>
      <c r="N123" s="18" t="s">
        <v>30</v>
      </c>
      <c r="O123" s="16"/>
      <c r="P123" s="23" t="s">
        <v>285</v>
      </c>
      <c r="Q123" s="23"/>
      <c r="R123" s="29">
        <f t="shared" si="13"/>
        <v>1</v>
      </c>
      <c r="S123" s="30" t="str">
        <f t="shared" si="14"/>
        <v>P00.130</v>
      </c>
    </row>
    <row r="124" spans="1:19">
      <c r="A124" s="16"/>
      <c r="B124" s="16"/>
      <c r="C124" s="16"/>
      <c r="D124" s="21">
        <f t="shared" si="8"/>
        <v>131</v>
      </c>
      <c r="E124" s="18" t="s">
        <v>31</v>
      </c>
      <c r="F124" s="23" t="s">
        <v>286</v>
      </c>
      <c r="G124" s="20" t="s">
        <v>24</v>
      </c>
      <c r="H124" s="20" t="s">
        <v>24</v>
      </c>
      <c r="I124" s="20" t="s">
        <v>181</v>
      </c>
      <c r="J124" s="16" t="s">
        <v>26</v>
      </c>
      <c r="K124" s="16" t="s">
        <v>62</v>
      </c>
      <c r="L124" s="16" t="s">
        <v>28</v>
      </c>
      <c r="M124" s="16" t="s">
        <v>29</v>
      </c>
      <c r="N124" s="18" t="s">
        <v>30</v>
      </c>
      <c r="O124" s="16"/>
      <c r="P124" s="23" t="s">
        <v>287</v>
      </c>
      <c r="Q124" s="23"/>
      <c r="R124" s="29">
        <f t="shared" si="13"/>
        <v>1</v>
      </c>
      <c r="S124" s="30" t="str">
        <f t="shared" si="14"/>
        <v>P00.131</v>
      </c>
    </row>
    <row r="125" spans="1:19">
      <c r="A125" s="16"/>
      <c r="B125" s="16"/>
      <c r="C125" s="16"/>
      <c r="D125" s="21">
        <f t="shared" si="8"/>
        <v>132</v>
      </c>
      <c r="E125" s="18" t="s">
        <v>31</v>
      </c>
      <c r="F125" s="23" t="s">
        <v>288</v>
      </c>
      <c r="G125" s="20" t="s">
        <v>24</v>
      </c>
      <c r="H125" s="20" t="s">
        <v>24</v>
      </c>
      <c r="I125" s="20" t="s">
        <v>181</v>
      </c>
      <c r="J125" s="16" t="s">
        <v>26</v>
      </c>
      <c r="K125" s="16" t="s">
        <v>62</v>
      </c>
      <c r="L125" s="16" t="s">
        <v>28</v>
      </c>
      <c r="M125" s="16" t="s">
        <v>29</v>
      </c>
      <c r="N125" s="18" t="s">
        <v>30</v>
      </c>
      <c r="O125" s="16"/>
      <c r="P125" s="23" t="s">
        <v>289</v>
      </c>
      <c r="Q125" s="23"/>
      <c r="R125" s="29">
        <f t="shared" si="13"/>
        <v>1</v>
      </c>
      <c r="S125" s="30" t="str">
        <f t="shared" si="14"/>
        <v>P00.132</v>
      </c>
    </row>
    <row r="126" spans="1:19">
      <c r="A126" s="16"/>
      <c r="B126" s="16"/>
      <c r="C126" s="16"/>
      <c r="D126" s="21">
        <f t="shared" si="8"/>
        <v>133</v>
      </c>
      <c r="E126" s="18" t="s">
        <v>31</v>
      </c>
      <c r="F126" s="23" t="s">
        <v>290</v>
      </c>
      <c r="G126" s="20" t="s">
        <v>24</v>
      </c>
      <c r="H126" s="20" t="s">
        <v>24</v>
      </c>
      <c r="I126" s="20" t="s">
        <v>181</v>
      </c>
      <c r="J126" s="16" t="s">
        <v>26</v>
      </c>
      <c r="K126" s="16" t="s">
        <v>62</v>
      </c>
      <c r="L126" s="16" t="s">
        <v>28</v>
      </c>
      <c r="M126" s="16" t="s">
        <v>29</v>
      </c>
      <c r="N126" s="18" t="s">
        <v>30</v>
      </c>
      <c r="O126" s="16"/>
      <c r="P126" s="23" t="s">
        <v>291</v>
      </c>
      <c r="Q126" s="23"/>
      <c r="R126" s="29">
        <f t="shared" si="13"/>
        <v>1</v>
      </c>
      <c r="S126" s="30" t="str">
        <f t="shared" si="14"/>
        <v>P00.133</v>
      </c>
    </row>
    <row r="127" spans="1:19">
      <c r="A127" s="16"/>
      <c r="B127" s="16"/>
      <c r="C127" s="16"/>
      <c r="D127" s="21">
        <f t="shared" si="8"/>
        <v>134</v>
      </c>
      <c r="E127" s="18" t="s">
        <v>31</v>
      </c>
      <c r="F127" s="23" t="s">
        <v>292</v>
      </c>
      <c r="G127" s="20" t="s">
        <v>24</v>
      </c>
      <c r="H127" s="20" t="s">
        <v>24</v>
      </c>
      <c r="I127" s="20" t="s">
        <v>181</v>
      </c>
      <c r="J127" s="16" t="s">
        <v>26</v>
      </c>
      <c r="K127" s="16" t="s">
        <v>62</v>
      </c>
      <c r="L127" s="16" t="s">
        <v>28</v>
      </c>
      <c r="M127" s="16" t="s">
        <v>29</v>
      </c>
      <c r="N127" s="18" t="s">
        <v>30</v>
      </c>
      <c r="O127" s="16"/>
      <c r="P127" s="23" t="s">
        <v>293</v>
      </c>
      <c r="Q127" s="23"/>
      <c r="R127" s="29">
        <f t="shared" si="13"/>
        <v>1</v>
      </c>
      <c r="S127" s="30" t="str">
        <f t="shared" si="14"/>
        <v>P00.134</v>
      </c>
    </row>
    <row r="128" spans="1:19">
      <c r="A128" s="16"/>
      <c r="B128" s="16"/>
      <c r="C128" s="16"/>
      <c r="D128" s="21">
        <f t="shared" si="8"/>
        <v>135</v>
      </c>
      <c r="E128" s="18" t="s">
        <v>31</v>
      </c>
      <c r="F128" s="23" t="s">
        <v>294</v>
      </c>
      <c r="G128" s="20" t="s">
        <v>24</v>
      </c>
      <c r="H128" s="20" t="s">
        <v>24</v>
      </c>
      <c r="I128" s="20" t="s">
        <v>181</v>
      </c>
      <c r="J128" s="16" t="s">
        <v>26</v>
      </c>
      <c r="K128" s="16" t="s">
        <v>62</v>
      </c>
      <c r="L128" s="16" t="s">
        <v>28</v>
      </c>
      <c r="M128" s="16" t="s">
        <v>29</v>
      </c>
      <c r="N128" s="18" t="s">
        <v>30</v>
      </c>
      <c r="O128" s="16"/>
      <c r="P128" s="23" t="s">
        <v>295</v>
      </c>
      <c r="Q128" s="23"/>
      <c r="R128" s="29">
        <f t="shared" si="13"/>
        <v>1</v>
      </c>
      <c r="S128" s="30" t="str">
        <f t="shared" si="14"/>
        <v>P00.135</v>
      </c>
    </row>
    <row r="129" spans="1:19">
      <c r="A129" s="16"/>
      <c r="B129" s="16"/>
      <c r="C129" s="16"/>
      <c r="D129" s="21">
        <f t="shared" si="8"/>
        <v>136</v>
      </c>
      <c r="E129" s="18" t="s">
        <v>31</v>
      </c>
      <c r="F129" s="23" t="s">
        <v>296</v>
      </c>
      <c r="G129" s="20" t="s">
        <v>24</v>
      </c>
      <c r="H129" s="20" t="s">
        <v>24</v>
      </c>
      <c r="I129" s="20" t="s">
        <v>181</v>
      </c>
      <c r="J129" s="16" t="s">
        <v>26</v>
      </c>
      <c r="K129" s="16" t="s">
        <v>62</v>
      </c>
      <c r="L129" s="16" t="s">
        <v>28</v>
      </c>
      <c r="M129" s="16" t="s">
        <v>29</v>
      </c>
      <c r="N129" s="18" t="s">
        <v>30</v>
      </c>
      <c r="O129" s="16"/>
      <c r="P129" s="23" t="s">
        <v>297</v>
      </c>
      <c r="Q129" s="23"/>
      <c r="R129" s="29">
        <f t="shared" si="13"/>
        <v>1</v>
      </c>
      <c r="S129" s="30" t="str">
        <f t="shared" si="14"/>
        <v>P00.136</v>
      </c>
    </row>
    <row r="130" spans="1:19">
      <c r="A130" s="16"/>
      <c r="B130" s="16"/>
      <c r="C130" s="16"/>
      <c r="D130" s="21">
        <f t="shared" si="8"/>
        <v>137</v>
      </c>
      <c r="E130" s="18" t="s">
        <v>31</v>
      </c>
      <c r="F130" s="23" t="s">
        <v>298</v>
      </c>
      <c r="G130" s="20" t="s">
        <v>24</v>
      </c>
      <c r="H130" s="20" t="s">
        <v>24</v>
      </c>
      <c r="I130" s="20" t="s">
        <v>181</v>
      </c>
      <c r="J130" s="16" t="s">
        <v>26</v>
      </c>
      <c r="K130" s="16" t="s">
        <v>62</v>
      </c>
      <c r="L130" s="16" t="s">
        <v>28</v>
      </c>
      <c r="M130" s="16" t="s">
        <v>29</v>
      </c>
      <c r="N130" s="18" t="s">
        <v>30</v>
      </c>
      <c r="O130" s="16"/>
      <c r="P130" s="23" t="s">
        <v>299</v>
      </c>
      <c r="Q130" s="23"/>
      <c r="R130" s="29">
        <f t="shared" si="13"/>
        <v>1</v>
      </c>
      <c r="S130" s="30" t="str">
        <f t="shared" si="14"/>
        <v>P00.137</v>
      </c>
    </row>
    <row r="131" spans="1:19">
      <c r="A131" s="16"/>
      <c r="B131" s="16"/>
      <c r="C131" s="16"/>
      <c r="D131" s="21">
        <f t="shared" si="8"/>
        <v>138</v>
      </c>
      <c r="E131" s="18" t="s">
        <v>31</v>
      </c>
      <c r="F131" s="23" t="s">
        <v>300</v>
      </c>
      <c r="G131" s="20" t="s">
        <v>24</v>
      </c>
      <c r="H131" s="20" t="s">
        <v>24</v>
      </c>
      <c r="I131" s="20" t="s">
        <v>181</v>
      </c>
      <c r="J131" s="16" t="s">
        <v>26</v>
      </c>
      <c r="K131" s="16" t="s">
        <v>62</v>
      </c>
      <c r="L131" s="16" t="s">
        <v>28</v>
      </c>
      <c r="M131" s="16" t="s">
        <v>29</v>
      </c>
      <c r="N131" s="18" t="s">
        <v>30</v>
      </c>
      <c r="O131" s="16"/>
      <c r="P131" s="23" t="s">
        <v>301</v>
      </c>
      <c r="Q131" s="23"/>
      <c r="R131" s="29">
        <f t="shared" si="13"/>
        <v>1</v>
      </c>
      <c r="S131" s="30" t="str">
        <f t="shared" si="14"/>
        <v>P00.138</v>
      </c>
    </row>
    <row r="132" spans="1:19">
      <c r="A132" s="16"/>
      <c r="B132" s="16"/>
      <c r="C132" s="16"/>
      <c r="D132" s="21">
        <f t="shared" si="8"/>
        <v>139</v>
      </c>
      <c r="E132" s="18" t="s">
        <v>31</v>
      </c>
      <c r="F132" s="23" t="s">
        <v>302</v>
      </c>
      <c r="G132" s="20" t="s">
        <v>24</v>
      </c>
      <c r="H132" s="20" t="s">
        <v>24</v>
      </c>
      <c r="I132" s="20" t="s">
        <v>181</v>
      </c>
      <c r="J132" s="16" t="s">
        <v>26</v>
      </c>
      <c r="K132" s="16" t="s">
        <v>62</v>
      </c>
      <c r="L132" s="16" t="s">
        <v>28</v>
      </c>
      <c r="M132" s="16" t="s">
        <v>29</v>
      </c>
      <c r="N132" s="18" t="s">
        <v>30</v>
      </c>
      <c r="O132" s="16"/>
      <c r="P132" s="23" t="s">
        <v>303</v>
      </c>
      <c r="Q132" s="23"/>
      <c r="R132" s="29">
        <f t="shared" si="13"/>
        <v>1</v>
      </c>
      <c r="S132" s="30" t="str">
        <f t="shared" si="14"/>
        <v>P00.139</v>
      </c>
    </row>
    <row r="133" spans="1:19">
      <c r="A133" s="16"/>
      <c r="B133" s="16"/>
      <c r="C133" s="16"/>
      <c r="D133" s="21">
        <f t="shared" si="8"/>
        <v>140</v>
      </c>
      <c r="E133" s="18" t="s">
        <v>31</v>
      </c>
      <c r="F133" s="23" t="s">
        <v>304</v>
      </c>
      <c r="G133" s="20" t="s">
        <v>24</v>
      </c>
      <c r="H133" s="20" t="s">
        <v>24</v>
      </c>
      <c r="I133" s="20" t="s">
        <v>181</v>
      </c>
      <c r="J133" s="16" t="s">
        <v>26</v>
      </c>
      <c r="K133" s="16" t="s">
        <v>62</v>
      </c>
      <c r="L133" s="16" t="s">
        <v>28</v>
      </c>
      <c r="M133" s="16" t="s">
        <v>29</v>
      </c>
      <c r="N133" s="18" t="s">
        <v>30</v>
      </c>
      <c r="O133" s="16"/>
      <c r="P133" s="23" t="s">
        <v>305</v>
      </c>
      <c r="Q133" s="23"/>
      <c r="R133" s="29">
        <f t="shared" si="13"/>
        <v>1</v>
      </c>
      <c r="S133" s="30" t="str">
        <f t="shared" si="14"/>
        <v>P00.140</v>
      </c>
    </row>
    <row r="134" spans="1:19">
      <c r="A134" s="16"/>
      <c r="B134" s="16"/>
      <c r="C134" s="16"/>
      <c r="D134" s="21">
        <f t="shared" ref="D134:D197" si="15">INDEX(D:D,ROW()-1)+_xlfn.IFS(INDEX(E:E,ROW()-1)="u16",1,INDEX(E:E,ROW()-1)="s16",1,INDEX(E:E,ROW()-1)="s32",2,INDEX(E:E,ROW()-1)="s64",4,INDEX(E:E,ROW()-1)="u16",1,INDEX(E:E,ROW()-1)="u32",2,INDEX(E:E,ROW()-1)="u64",4,INDEX(E:E,ROW()-1)="f32",2,INDEX(E:E,ROW()-1)="f64",4)</f>
        <v>141</v>
      </c>
      <c r="E134" s="18" t="s">
        <v>31</v>
      </c>
      <c r="F134" s="23" t="s">
        <v>306</v>
      </c>
      <c r="G134" s="20" t="s">
        <v>24</v>
      </c>
      <c r="H134" s="20" t="s">
        <v>24</v>
      </c>
      <c r="I134" s="20" t="s">
        <v>181</v>
      </c>
      <c r="J134" s="16" t="s">
        <v>26</v>
      </c>
      <c r="K134" s="16" t="s">
        <v>62</v>
      </c>
      <c r="L134" s="16" t="s">
        <v>28</v>
      </c>
      <c r="M134" s="16" t="s">
        <v>29</v>
      </c>
      <c r="N134" s="18" t="s">
        <v>30</v>
      </c>
      <c r="O134" s="16"/>
      <c r="P134" s="23" t="s">
        <v>307</v>
      </c>
      <c r="Q134" s="23"/>
      <c r="R134" s="29">
        <f t="shared" si="13"/>
        <v>1</v>
      </c>
      <c r="S134" s="30" t="str">
        <f t="shared" si="14"/>
        <v>P00.141</v>
      </c>
    </row>
    <row r="135" spans="1:19">
      <c r="A135" s="16"/>
      <c r="B135" s="16"/>
      <c r="C135" s="16"/>
      <c r="D135" s="21">
        <f t="shared" si="15"/>
        <v>142</v>
      </c>
      <c r="E135" s="18" t="s">
        <v>31</v>
      </c>
      <c r="F135" s="23" t="s">
        <v>308</v>
      </c>
      <c r="G135" s="20" t="s">
        <v>24</v>
      </c>
      <c r="H135" s="20" t="s">
        <v>24</v>
      </c>
      <c r="I135" s="20" t="s">
        <v>181</v>
      </c>
      <c r="J135" s="16" t="s">
        <v>26</v>
      </c>
      <c r="K135" s="16" t="s">
        <v>62</v>
      </c>
      <c r="L135" s="16" t="s">
        <v>28</v>
      </c>
      <c r="M135" s="16" t="s">
        <v>29</v>
      </c>
      <c r="N135" s="18" t="s">
        <v>30</v>
      </c>
      <c r="O135" s="16"/>
      <c r="P135" s="23" t="s">
        <v>309</v>
      </c>
      <c r="Q135" s="23"/>
      <c r="R135" s="29">
        <f t="shared" si="13"/>
        <v>1</v>
      </c>
      <c r="S135" s="30" t="str">
        <f t="shared" si="14"/>
        <v>P00.142</v>
      </c>
    </row>
    <row r="136" spans="1:19">
      <c r="A136" s="16"/>
      <c r="B136" s="16"/>
      <c r="C136" s="16"/>
      <c r="D136" s="21">
        <f t="shared" si="15"/>
        <v>143</v>
      </c>
      <c r="E136" s="18" t="s">
        <v>31</v>
      </c>
      <c r="F136" s="23"/>
      <c r="G136" s="20" t="s">
        <v>24</v>
      </c>
      <c r="H136" s="20" t="s">
        <v>24</v>
      </c>
      <c r="I136" s="20" t="s">
        <v>33</v>
      </c>
      <c r="J136" s="16" t="s">
        <v>26</v>
      </c>
      <c r="K136" s="16" t="s">
        <v>27</v>
      </c>
      <c r="L136" s="16" t="s">
        <v>34</v>
      </c>
      <c r="M136" s="16" t="s">
        <v>29</v>
      </c>
      <c r="N136" s="18" t="s">
        <v>30</v>
      </c>
      <c r="O136" s="16"/>
      <c r="P136" s="23"/>
      <c r="Q136" s="23"/>
      <c r="R136" s="29">
        <f t="shared" si="13"/>
        <v>1</v>
      </c>
      <c r="S136" s="30" t="str">
        <f t="shared" si="14"/>
        <v>P00.143</v>
      </c>
    </row>
    <row r="137" spans="1:19">
      <c r="A137" s="16"/>
      <c r="B137" s="16"/>
      <c r="C137" s="16"/>
      <c r="D137" s="21">
        <f t="shared" si="15"/>
        <v>144</v>
      </c>
      <c r="E137" s="18" t="s">
        <v>31</v>
      </c>
      <c r="F137" s="23"/>
      <c r="G137" s="20" t="s">
        <v>24</v>
      </c>
      <c r="H137" s="20" t="s">
        <v>24</v>
      </c>
      <c r="I137" s="20" t="s">
        <v>33</v>
      </c>
      <c r="J137" s="16" t="s">
        <v>26</v>
      </c>
      <c r="K137" s="16" t="s">
        <v>27</v>
      </c>
      <c r="L137" s="16" t="s">
        <v>34</v>
      </c>
      <c r="M137" s="16" t="s">
        <v>29</v>
      </c>
      <c r="N137" s="18" t="s">
        <v>30</v>
      </c>
      <c r="O137" s="16"/>
      <c r="P137" s="23"/>
      <c r="Q137" s="23"/>
      <c r="R137" s="29">
        <f t="shared" si="13"/>
        <v>1</v>
      </c>
      <c r="S137" s="30" t="str">
        <f t="shared" si="14"/>
        <v>P00.144</v>
      </c>
    </row>
    <row r="138" ht="26.4" spans="1:19">
      <c r="A138" s="16"/>
      <c r="B138" s="16"/>
      <c r="C138" s="16"/>
      <c r="D138" s="21">
        <f t="shared" si="15"/>
        <v>145</v>
      </c>
      <c r="E138" s="18" t="s">
        <v>31</v>
      </c>
      <c r="F138" s="23" t="s">
        <v>310</v>
      </c>
      <c r="G138" s="20" t="s">
        <v>73</v>
      </c>
      <c r="H138" s="20" t="s">
        <v>24</v>
      </c>
      <c r="I138" s="20" t="s">
        <v>73</v>
      </c>
      <c r="J138" s="16" t="s">
        <v>26</v>
      </c>
      <c r="K138" s="16" t="s">
        <v>62</v>
      </c>
      <c r="L138" s="16" t="s">
        <v>28</v>
      </c>
      <c r="M138" s="16" t="s">
        <v>29</v>
      </c>
      <c r="N138" s="18" t="s">
        <v>30</v>
      </c>
      <c r="O138" s="16"/>
      <c r="P138" s="23" t="s">
        <v>311</v>
      </c>
      <c r="Q138" s="27" t="s">
        <v>312</v>
      </c>
      <c r="R138" s="29">
        <f t="shared" si="13"/>
        <v>0</v>
      </c>
      <c r="S138" s="30" t="str">
        <f t="shared" si="14"/>
        <v>P00.145</v>
      </c>
    </row>
    <row r="139" spans="1:19">
      <c r="A139" s="16"/>
      <c r="B139" s="16"/>
      <c r="C139" s="16"/>
      <c r="D139" s="21">
        <f t="shared" si="15"/>
        <v>146</v>
      </c>
      <c r="E139" s="18" t="s">
        <v>31</v>
      </c>
      <c r="F139" s="23" t="s">
        <v>313</v>
      </c>
      <c r="G139" s="20" t="s">
        <v>24</v>
      </c>
      <c r="H139" s="20" t="s">
        <v>24</v>
      </c>
      <c r="I139" s="20" t="s">
        <v>33</v>
      </c>
      <c r="J139" s="16" t="s">
        <v>26</v>
      </c>
      <c r="K139" s="16" t="s">
        <v>62</v>
      </c>
      <c r="L139" s="16" t="s">
        <v>28</v>
      </c>
      <c r="M139" s="16" t="s">
        <v>29</v>
      </c>
      <c r="N139" s="18" t="s">
        <v>30</v>
      </c>
      <c r="O139" s="16"/>
      <c r="P139" s="23" t="s">
        <v>314</v>
      </c>
      <c r="Q139" s="23"/>
      <c r="R139" s="29">
        <f t="shared" si="13"/>
        <v>1</v>
      </c>
      <c r="S139" s="30" t="str">
        <f t="shared" si="14"/>
        <v>P00.146</v>
      </c>
    </row>
    <row r="140" ht="26.4" spans="1:19">
      <c r="A140" s="16"/>
      <c r="B140" s="16"/>
      <c r="C140" s="16"/>
      <c r="D140" s="21">
        <f t="shared" si="15"/>
        <v>147</v>
      </c>
      <c r="E140" s="18" t="s">
        <v>31</v>
      </c>
      <c r="F140" s="23" t="s">
        <v>315</v>
      </c>
      <c r="G140" s="20" t="s">
        <v>24</v>
      </c>
      <c r="H140" s="20" t="s">
        <v>24</v>
      </c>
      <c r="I140" s="20" t="s">
        <v>73</v>
      </c>
      <c r="J140" s="16" t="s">
        <v>26</v>
      </c>
      <c r="K140" s="16" t="s">
        <v>62</v>
      </c>
      <c r="L140" s="16" t="s">
        <v>28</v>
      </c>
      <c r="M140" s="16" t="s">
        <v>29</v>
      </c>
      <c r="N140" s="18" t="s">
        <v>30</v>
      </c>
      <c r="O140" s="16"/>
      <c r="P140" s="23" t="s">
        <v>316</v>
      </c>
      <c r="Q140" s="27" t="s">
        <v>317</v>
      </c>
      <c r="R140" s="29">
        <f t="shared" si="13"/>
        <v>0</v>
      </c>
      <c r="S140" s="30" t="str">
        <f t="shared" si="14"/>
        <v>P00.147</v>
      </c>
    </row>
    <row r="141" ht="26.4" spans="1:19">
      <c r="A141" s="16"/>
      <c r="B141" s="16"/>
      <c r="C141" s="16"/>
      <c r="D141" s="21">
        <f t="shared" si="15"/>
        <v>148</v>
      </c>
      <c r="E141" s="18" t="s">
        <v>31</v>
      </c>
      <c r="F141" s="23" t="s">
        <v>318</v>
      </c>
      <c r="G141" s="20" t="s">
        <v>73</v>
      </c>
      <c r="H141" s="20" t="s">
        <v>24</v>
      </c>
      <c r="I141" s="20" t="s">
        <v>73</v>
      </c>
      <c r="J141" s="16" t="s">
        <v>26</v>
      </c>
      <c r="K141" s="16" t="s">
        <v>62</v>
      </c>
      <c r="L141" s="16" t="s">
        <v>28</v>
      </c>
      <c r="M141" s="16" t="s">
        <v>29</v>
      </c>
      <c r="N141" s="18" t="s">
        <v>30</v>
      </c>
      <c r="O141" s="16"/>
      <c r="P141" s="23" t="s">
        <v>319</v>
      </c>
      <c r="Q141" s="27" t="s">
        <v>312</v>
      </c>
      <c r="R141" s="29">
        <f t="shared" si="13"/>
        <v>0</v>
      </c>
      <c r="S141" s="30" t="str">
        <f t="shared" si="14"/>
        <v>P00.148</v>
      </c>
    </row>
    <row r="142" spans="1:19">
      <c r="A142" s="16"/>
      <c r="B142" s="16"/>
      <c r="C142" s="16"/>
      <c r="D142" s="21">
        <f t="shared" si="15"/>
        <v>149</v>
      </c>
      <c r="E142" s="18" t="s">
        <v>31</v>
      </c>
      <c r="F142" s="23" t="s">
        <v>320</v>
      </c>
      <c r="G142" s="20" t="s">
        <v>24</v>
      </c>
      <c r="H142" s="20" t="s">
        <v>24</v>
      </c>
      <c r="I142" s="20" t="s">
        <v>33</v>
      </c>
      <c r="J142" s="16" t="s">
        <v>26</v>
      </c>
      <c r="K142" s="16" t="s">
        <v>62</v>
      </c>
      <c r="L142" s="16" t="s">
        <v>28</v>
      </c>
      <c r="M142" s="16" t="s">
        <v>29</v>
      </c>
      <c r="N142" s="18" t="s">
        <v>30</v>
      </c>
      <c r="O142" s="16"/>
      <c r="P142" s="23" t="s">
        <v>321</v>
      </c>
      <c r="Q142" s="23"/>
      <c r="R142" s="29">
        <f t="shared" si="13"/>
        <v>1</v>
      </c>
      <c r="S142" s="30" t="str">
        <f t="shared" si="14"/>
        <v>P00.149</v>
      </c>
    </row>
    <row r="143" ht="26.4" spans="1:19">
      <c r="A143" s="16"/>
      <c r="B143" s="16"/>
      <c r="C143" s="16"/>
      <c r="D143" s="21">
        <f t="shared" si="15"/>
        <v>150</v>
      </c>
      <c r="E143" s="18" t="s">
        <v>31</v>
      </c>
      <c r="F143" s="23" t="s">
        <v>322</v>
      </c>
      <c r="G143" s="20" t="s">
        <v>24</v>
      </c>
      <c r="H143" s="20" t="s">
        <v>24</v>
      </c>
      <c r="I143" s="20" t="s">
        <v>73</v>
      </c>
      <c r="J143" s="16" t="s">
        <v>26</v>
      </c>
      <c r="K143" s="16" t="s">
        <v>62</v>
      </c>
      <c r="L143" s="16" t="s">
        <v>28</v>
      </c>
      <c r="M143" s="16" t="s">
        <v>29</v>
      </c>
      <c r="N143" s="18" t="s">
        <v>30</v>
      </c>
      <c r="O143" s="16"/>
      <c r="P143" s="23" t="s">
        <v>323</v>
      </c>
      <c r="Q143" s="27" t="s">
        <v>317</v>
      </c>
      <c r="R143" s="29">
        <f t="shared" si="13"/>
        <v>0</v>
      </c>
      <c r="S143" s="30" t="str">
        <f t="shared" si="14"/>
        <v>P00.150</v>
      </c>
    </row>
    <row r="144" ht="26.4" spans="1:19">
      <c r="A144" s="16"/>
      <c r="B144" s="16"/>
      <c r="C144" s="16"/>
      <c r="D144" s="21">
        <f t="shared" si="15"/>
        <v>151</v>
      </c>
      <c r="E144" s="18" t="s">
        <v>31</v>
      </c>
      <c r="F144" s="23" t="s">
        <v>324</v>
      </c>
      <c r="G144" s="20" t="s">
        <v>73</v>
      </c>
      <c r="H144" s="20" t="s">
        <v>24</v>
      </c>
      <c r="I144" s="20" t="s">
        <v>73</v>
      </c>
      <c r="J144" s="16" t="s">
        <v>26</v>
      </c>
      <c r="K144" s="16" t="s">
        <v>62</v>
      </c>
      <c r="L144" s="16" t="s">
        <v>28</v>
      </c>
      <c r="M144" s="16" t="s">
        <v>29</v>
      </c>
      <c r="N144" s="18" t="s">
        <v>30</v>
      </c>
      <c r="O144" s="16"/>
      <c r="P144" s="23" t="s">
        <v>325</v>
      </c>
      <c r="Q144" s="27" t="s">
        <v>312</v>
      </c>
      <c r="R144" s="29">
        <f t="shared" si="13"/>
        <v>0</v>
      </c>
      <c r="S144" s="30" t="str">
        <f t="shared" si="14"/>
        <v>P00.151</v>
      </c>
    </row>
    <row r="145" spans="1:19">
      <c r="A145" s="16"/>
      <c r="B145" s="16"/>
      <c r="C145" s="16"/>
      <c r="D145" s="21">
        <f t="shared" si="15"/>
        <v>152</v>
      </c>
      <c r="E145" s="18" t="s">
        <v>31</v>
      </c>
      <c r="F145" s="23" t="s">
        <v>326</v>
      </c>
      <c r="G145" s="20" t="s">
        <v>24</v>
      </c>
      <c r="H145" s="20" t="s">
        <v>24</v>
      </c>
      <c r="I145" s="20" t="s">
        <v>33</v>
      </c>
      <c r="J145" s="16" t="s">
        <v>26</v>
      </c>
      <c r="K145" s="16" t="s">
        <v>62</v>
      </c>
      <c r="L145" s="16" t="s">
        <v>28</v>
      </c>
      <c r="M145" s="16" t="s">
        <v>29</v>
      </c>
      <c r="N145" s="18" t="s">
        <v>30</v>
      </c>
      <c r="O145" s="16"/>
      <c r="P145" s="23" t="s">
        <v>327</v>
      </c>
      <c r="Q145" s="23"/>
      <c r="R145" s="29">
        <f t="shared" si="13"/>
        <v>1</v>
      </c>
      <c r="S145" s="30" t="str">
        <f t="shared" si="14"/>
        <v>P00.152</v>
      </c>
    </row>
    <row r="146" ht="26.4" spans="1:19">
      <c r="A146" s="16"/>
      <c r="B146" s="16"/>
      <c r="C146" s="16"/>
      <c r="D146" s="21">
        <f t="shared" si="15"/>
        <v>153</v>
      </c>
      <c r="E146" s="18" t="s">
        <v>31</v>
      </c>
      <c r="F146" s="23" t="s">
        <v>328</v>
      </c>
      <c r="G146" s="20" t="s">
        <v>24</v>
      </c>
      <c r="H146" s="20" t="s">
        <v>24</v>
      </c>
      <c r="I146" s="20" t="s">
        <v>73</v>
      </c>
      <c r="J146" s="16" t="s">
        <v>26</v>
      </c>
      <c r="K146" s="16" t="s">
        <v>62</v>
      </c>
      <c r="L146" s="16" t="s">
        <v>28</v>
      </c>
      <c r="M146" s="16" t="s">
        <v>29</v>
      </c>
      <c r="N146" s="18" t="s">
        <v>30</v>
      </c>
      <c r="O146" s="16"/>
      <c r="P146" s="23" t="s">
        <v>329</v>
      </c>
      <c r="Q146" s="27" t="s">
        <v>317</v>
      </c>
      <c r="R146" s="29">
        <f t="shared" si="13"/>
        <v>0</v>
      </c>
      <c r="S146" s="30" t="str">
        <f t="shared" si="14"/>
        <v>P00.153</v>
      </c>
    </row>
    <row r="147" ht="26.4" spans="1:19">
      <c r="A147" s="16"/>
      <c r="B147" s="16"/>
      <c r="C147" s="16"/>
      <c r="D147" s="21">
        <f t="shared" si="15"/>
        <v>154</v>
      </c>
      <c r="E147" s="18" t="s">
        <v>31</v>
      </c>
      <c r="F147" s="23" t="s">
        <v>330</v>
      </c>
      <c r="G147" s="20" t="s">
        <v>73</v>
      </c>
      <c r="H147" s="20" t="s">
        <v>24</v>
      </c>
      <c r="I147" s="20" t="s">
        <v>73</v>
      </c>
      <c r="J147" s="16" t="s">
        <v>26</v>
      </c>
      <c r="K147" s="16" t="s">
        <v>62</v>
      </c>
      <c r="L147" s="16" t="s">
        <v>28</v>
      </c>
      <c r="M147" s="16" t="s">
        <v>29</v>
      </c>
      <c r="N147" s="18" t="s">
        <v>30</v>
      </c>
      <c r="O147" s="16"/>
      <c r="P147" s="23" t="s">
        <v>331</v>
      </c>
      <c r="Q147" s="27" t="s">
        <v>312</v>
      </c>
      <c r="R147" s="29">
        <f t="shared" si="13"/>
        <v>0</v>
      </c>
      <c r="S147" s="30" t="str">
        <f t="shared" si="14"/>
        <v>P00.154</v>
      </c>
    </row>
    <row r="148" spans="1:19">
      <c r="A148" s="16"/>
      <c r="B148" s="16"/>
      <c r="C148" s="16"/>
      <c r="D148" s="21">
        <f t="shared" si="15"/>
        <v>155</v>
      </c>
      <c r="E148" s="18" t="s">
        <v>31</v>
      </c>
      <c r="F148" s="23" t="s">
        <v>332</v>
      </c>
      <c r="G148" s="20" t="s">
        <v>24</v>
      </c>
      <c r="H148" s="20" t="s">
        <v>24</v>
      </c>
      <c r="I148" s="20" t="s">
        <v>33</v>
      </c>
      <c r="J148" s="16" t="s">
        <v>26</v>
      </c>
      <c r="K148" s="16" t="s">
        <v>62</v>
      </c>
      <c r="L148" s="16" t="s">
        <v>28</v>
      </c>
      <c r="M148" s="16" t="s">
        <v>29</v>
      </c>
      <c r="N148" s="18" t="s">
        <v>30</v>
      </c>
      <c r="O148" s="16"/>
      <c r="P148" s="23" t="s">
        <v>333</v>
      </c>
      <c r="Q148" s="23"/>
      <c r="R148" s="29">
        <f t="shared" si="13"/>
        <v>1</v>
      </c>
      <c r="S148" s="30" t="str">
        <f t="shared" si="14"/>
        <v>P00.155</v>
      </c>
    </row>
    <row r="149" ht="26.4" spans="1:19">
      <c r="A149" s="16"/>
      <c r="B149" s="16"/>
      <c r="C149" s="16"/>
      <c r="D149" s="21">
        <f t="shared" si="15"/>
        <v>156</v>
      </c>
      <c r="E149" s="18" t="s">
        <v>31</v>
      </c>
      <c r="F149" s="23" t="s">
        <v>334</v>
      </c>
      <c r="G149" s="20" t="s">
        <v>24</v>
      </c>
      <c r="H149" s="20" t="s">
        <v>24</v>
      </c>
      <c r="I149" s="20" t="s">
        <v>73</v>
      </c>
      <c r="J149" s="16" t="s">
        <v>26</v>
      </c>
      <c r="K149" s="16" t="s">
        <v>62</v>
      </c>
      <c r="L149" s="16" t="s">
        <v>28</v>
      </c>
      <c r="M149" s="16" t="s">
        <v>29</v>
      </c>
      <c r="N149" s="18" t="s">
        <v>30</v>
      </c>
      <c r="O149" s="16"/>
      <c r="P149" s="23" t="s">
        <v>335</v>
      </c>
      <c r="Q149" s="27" t="s">
        <v>317</v>
      </c>
      <c r="R149" s="29">
        <f t="shared" si="13"/>
        <v>0</v>
      </c>
      <c r="S149" s="30" t="str">
        <f t="shared" si="14"/>
        <v>P00.156</v>
      </c>
    </row>
    <row r="150" ht="26.4" spans="1:19">
      <c r="A150" s="16"/>
      <c r="B150" s="16"/>
      <c r="C150" s="16"/>
      <c r="D150" s="21">
        <f t="shared" si="15"/>
        <v>157</v>
      </c>
      <c r="E150" s="18" t="s">
        <v>31</v>
      </c>
      <c r="F150" s="23" t="s">
        <v>336</v>
      </c>
      <c r="G150" s="20" t="s">
        <v>73</v>
      </c>
      <c r="H150" s="20" t="s">
        <v>24</v>
      </c>
      <c r="I150" s="20" t="s">
        <v>73</v>
      </c>
      <c r="J150" s="16" t="s">
        <v>26</v>
      </c>
      <c r="K150" s="16" t="s">
        <v>62</v>
      </c>
      <c r="L150" s="16" t="s">
        <v>28</v>
      </c>
      <c r="M150" s="16" t="s">
        <v>29</v>
      </c>
      <c r="N150" s="18" t="s">
        <v>30</v>
      </c>
      <c r="O150" s="16"/>
      <c r="P150" s="23" t="s">
        <v>337</v>
      </c>
      <c r="Q150" s="27" t="s">
        <v>312</v>
      </c>
      <c r="R150" s="29">
        <f t="shared" si="13"/>
        <v>0</v>
      </c>
      <c r="S150" s="30" t="str">
        <f t="shared" si="14"/>
        <v>P00.157</v>
      </c>
    </row>
    <row r="151" spans="1:19">
      <c r="A151" s="16"/>
      <c r="B151" s="16"/>
      <c r="C151" s="16"/>
      <c r="D151" s="21">
        <f t="shared" si="15"/>
        <v>158</v>
      </c>
      <c r="E151" s="18" t="s">
        <v>31</v>
      </c>
      <c r="F151" s="23" t="s">
        <v>338</v>
      </c>
      <c r="G151" s="20" t="s">
        <v>24</v>
      </c>
      <c r="H151" s="20" t="s">
        <v>24</v>
      </c>
      <c r="I151" s="20" t="s">
        <v>33</v>
      </c>
      <c r="J151" s="16" t="s">
        <v>26</v>
      </c>
      <c r="K151" s="16" t="s">
        <v>62</v>
      </c>
      <c r="L151" s="16" t="s">
        <v>28</v>
      </c>
      <c r="M151" s="16" t="s">
        <v>29</v>
      </c>
      <c r="N151" s="18" t="s">
        <v>30</v>
      </c>
      <c r="O151" s="16"/>
      <c r="P151" s="23" t="s">
        <v>339</v>
      </c>
      <c r="Q151" s="23"/>
      <c r="R151" s="29">
        <f t="shared" si="13"/>
        <v>1</v>
      </c>
      <c r="S151" s="30" t="str">
        <f t="shared" si="14"/>
        <v>P00.158</v>
      </c>
    </row>
    <row r="152" ht="26.4" spans="1:19">
      <c r="A152" s="16"/>
      <c r="B152" s="16"/>
      <c r="C152" s="16"/>
      <c r="D152" s="21">
        <f t="shared" si="15"/>
        <v>159</v>
      </c>
      <c r="E152" s="18" t="s">
        <v>31</v>
      </c>
      <c r="F152" s="23" t="s">
        <v>340</v>
      </c>
      <c r="G152" s="20" t="s">
        <v>24</v>
      </c>
      <c r="H152" s="20" t="s">
        <v>24</v>
      </c>
      <c r="I152" s="20" t="s">
        <v>73</v>
      </c>
      <c r="J152" s="16" t="s">
        <v>26</v>
      </c>
      <c r="K152" s="16" t="s">
        <v>62</v>
      </c>
      <c r="L152" s="16" t="s">
        <v>28</v>
      </c>
      <c r="M152" s="16" t="s">
        <v>29</v>
      </c>
      <c r="N152" s="18" t="s">
        <v>30</v>
      </c>
      <c r="O152" s="16"/>
      <c r="P152" s="23" t="s">
        <v>341</v>
      </c>
      <c r="Q152" s="27" t="s">
        <v>317</v>
      </c>
      <c r="R152" s="29">
        <f t="shared" si="13"/>
        <v>0</v>
      </c>
      <c r="S152" s="30" t="str">
        <f t="shared" si="14"/>
        <v>P00.159</v>
      </c>
    </row>
    <row r="153" ht="26.4" spans="1:19">
      <c r="A153" s="16"/>
      <c r="B153" s="16"/>
      <c r="C153" s="16"/>
      <c r="D153" s="21">
        <f t="shared" si="15"/>
        <v>160</v>
      </c>
      <c r="E153" s="18" t="s">
        <v>31</v>
      </c>
      <c r="F153" s="23" t="s">
        <v>342</v>
      </c>
      <c r="G153" s="20" t="s">
        <v>73</v>
      </c>
      <c r="H153" s="20" t="s">
        <v>24</v>
      </c>
      <c r="I153" s="20" t="s">
        <v>73</v>
      </c>
      <c r="J153" s="16" t="s">
        <v>26</v>
      </c>
      <c r="K153" s="16" t="s">
        <v>62</v>
      </c>
      <c r="L153" s="16" t="s">
        <v>28</v>
      </c>
      <c r="M153" s="16" t="s">
        <v>29</v>
      </c>
      <c r="N153" s="18" t="s">
        <v>30</v>
      </c>
      <c r="O153" s="16"/>
      <c r="P153" s="23" t="s">
        <v>343</v>
      </c>
      <c r="Q153" s="27" t="s">
        <v>312</v>
      </c>
      <c r="R153" s="29">
        <f t="shared" si="13"/>
        <v>0</v>
      </c>
      <c r="S153" s="30" t="str">
        <f t="shared" si="14"/>
        <v>P00.160</v>
      </c>
    </row>
    <row r="154" spans="1:19">
      <c r="A154" s="16"/>
      <c r="B154" s="16"/>
      <c r="C154" s="16"/>
      <c r="D154" s="21">
        <f t="shared" si="15"/>
        <v>161</v>
      </c>
      <c r="E154" s="18" t="s">
        <v>31</v>
      </c>
      <c r="F154" s="23" t="s">
        <v>344</v>
      </c>
      <c r="G154" s="20" t="s">
        <v>24</v>
      </c>
      <c r="H154" s="20" t="s">
        <v>24</v>
      </c>
      <c r="I154" s="20" t="s">
        <v>33</v>
      </c>
      <c r="J154" s="16" t="s">
        <v>26</v>
      </c>
      <c r="K154" s="16" t="s">
        <v>62</v>
      </c>
      <c r="L154" s="16" t="s">
        <v>28</v>
      </c>
      <c r="M154" s="16" t="s">
        <v>29</v>
      </c>
      <c r="N154" s="18" t="s">
        <v>30</v>
      </c>
      <c r="O154" s="16"/>
      <c r="P154" s="23" t="s">
        <v>345</v>
      </c>
      <c r="Q154" s="23"/>
      <c r="R154" s="29">
        <f t="shared" si="13"/>
        <v>1</v>
      </c>
      <c r="S154" s="30" t="str">
        <f t="shared" si="14"/>
        <v>P00.161</v>
      </c>
    </row>
    <row r="155" ht="26.4" spans="1:19">
      <c r="A155" s="16"/>
      <c r="B155" s="16"/>
      <c r="C155" s="16"/>
      <c r="D155" s="21">
        <f t="shared" si="15"/>
        <v>162</v>
      </c>
      <c r="E155" s="18" t="s">
        <v>31</v>
      </c>
      <c r="F155" s="23" t="s">
        <v>346</v>
      </c>
      <c r="G155" s="20" t="s">
        <v>24</v>
      </c>
      <c r="H155" s="20" t="s">
        <v>24</v>
      </c>
      <c r="I155" s="20" t="s">
        <v>73</v>
      </c>
      <c r="J155" s="16" t="s">
        <v>26</v>
      </c>
      <c r="K155" s="16" t="s">
        <v>62</v>
      </c>
      <c r="L155" s="16" t="s">
        <v>28</v>
      </c>
      <c r="M155" s="16" t="s">
        <v>29</v>
      </c>
      <c r="N155" s="18" t="s">
        <v>30</v>
      </c>
      <c r="O155" s="16"/>
      <c r="P155" s="23" t="s">
        <v>347</v>
      </c>
      <c r="Q155" s="27" t="s">
        <v>317</v>
      </c>
      <c r="R155" s="29">
        <f t="shared" ref="R155:R160" si="16">IF(OR(F155="",LEFT(TRIM(F155),3)=E155),1,0)</f>
        <v>0</v>
      </c>
      <c r="S155" s="30" t="str">
        <f t="shared" ref="S155:S160" si="17">"P"&amp;TEXT(INT(D155/256),"00")&amp;"."&amp;TEXT(MOD(D155,256),"000")</f>
        <v>P00.162</v>
      </c>
    </row>
    <row r="156" ht="26.4" spans="1:19">
      <c r="A156" s="16"/>
      <c r="B156" s="16"/>
      <c r="C156" s="16"/>
      <c r="D156" s="21">
        <f t="shared" si="15"/>
        <v>163</v>
      </c>
      <c r="E156" s="18" t="s">
        <v>31</v>
      </c>
      <c r="F156" s="23" t="s">
        <v>348</v>
      </c>
      <c r="G156" s="20" t="s">
        <v>73</v>
      </c>
      <c r="H156" s="20" t="s">
        <v>24</v>
      </c>
      <c r="I156" s="20" t="s">
        <v>73</v>
      </c>
      <c r="J156" s="16" t="s">
        <v>26</v>
      </c>
      <c r="K156" s="16" t="s">
        <v>62</v>
      </c>
      <c r="L156" s="16" t="s">
        <v>28</v>
      </c>
      <c r="M156" s="16" t="s">
        <v>29</v>
      </c>
      <c r="N156" s="18" t="s">
        <v>30</v>
      </c>
      <c r="O156" s="16"/>
      <c r="P156" s="23" t="s">
        <v>349</v>
      </c>
      <c r="Q156" s="27" t="s">
        <v>312</v>
      </c>
      <c r="R156" s="29">
        <f t="shared" si="16"/>
        <v>0</v>
      </c>
      <c r="S156" s="30" t="str">
        <f t="shared" si="17"/>
        <v>P00.163</v>
      </c>
    </row>
    <row r="157" spans="1:19">
      <c r="A157" s="16"/>
      <c r="B157" s="16"/>
      <c r="C157" s="16"/>
      <c r="D157" s="21">
        <f t="shared" si="15"/>
        <v>164</v>
      </c>
      <c r="E157" s="18" t="s">
        <v>31</v>
      </c>
      <c r="F157" s="23" t="s">
        <v>350</v>
      </c>
      <c r="G157" s="20" t="s">
        <v>24</v>
      </c>
      <c r="H157" s="20" t="s">
        <v>24</v>
      </c>
      <c r="I157" s="20" t="s">
        <v>33</v>
      </c>
      <c r="J157" s="16" t="s">
        <v>26</v>
      </c>
      <c r="K157" s="16" t="s">
        <v>62</v>
      </c>
      <c r="L157" s="16" t="s">
        <v>28</v>
      </c>
      <c r="M157" s="16" t="s">
        <v>29</v>
      </c>
      <c r="N157" s="18" t="s">
        <v>30</v>
      </c>
      <c r="O157" s="16"/>
      <c r="P157" s="23" t="s">
        <v>351</v>
      </c>
      <c r="Q157" s="23"/>
      <c r="R157" s="29">
        <f t="shared" si="16"/>
        <v>1</v>
      </c>
      <c r="S157" s="30" t="str">
        <f t="shared" si="17"/>
        <v>P00.164</v>
      </c>
    </row>
    <row r="158" ht="26.4" spans="1:19">
      <c r="A158" s="16"/>
      <c r="B158" s="16"/>
      <c r="C158" s="16"/>
      <c r="D158" s="21">
        <f t="shared" si="15"/>
        <v>165</v>
      </c>
      <c r="E158" s="18" t="s">
        <v>31</v>
      </c>
      <c r="F158" s="23" t="s">
        <v>352</v>
      </c>
      <c r="G158" s="20" t="s">
        <v>24</v>
      </c>
      <c r="H158" s="20" t="s">
        <v>24</v>
      </c>
      <c r="I158" s="20" t="s">
        <v>73</v>
      </c>
      <c r="J158" s="16" t="s">
        <v>26</v>
      </c>
      <c r="K158" s="16" t="s">
        <v>62</v>
      </c>
      <c r="L158" s="16" t="s">
        <v>28</v>
      </c>
      <c r="M158" s="16" t="s">
        <v>29</v>
      </c>
      <c r="N158" s="18" t="s">
        <v>30</v>
      </c>
      <c r="O158" s="16"/>
      <c r="P158" s="23" t="s">
        <v>353</v>
      </c>
      <c r="Q158" s="27" t="s">
        <v>317</v>
      </c>
      <c r="R158" s="29">
        <f t="shared" si="16"/>
        <v>0</v>
      </c>
      <c r="S158" s="30" t="str">
        <f t="shared" si="17"/>
        <v>P00.165</v>
      </c>
    </row>
    <row r="159" spans="1:19">
      <c r="A159" s="16"/>
      <c r="B159" s="16"/>
      <c r="C159" s="16"/>
      <c r="D159" s="21">
        <f t="shared" si="15"/>
        <v>166</v>
      </c>
      <c r="E159" s="18" t="s">
        <v>31</v>
      </c>
      <c r="F159" s="23"/>
      <c r="G159" s="20" t="s">
        <v>24</v>
      </c>
      <c r="H159" s="20" t="s">
        <v>24</v>
      </c>
      <c r="I159" s="20" t="s">
        <v>33</v>
      </c>
      <c r="J159" s="16" t="s">
        <v>26</v>
      </c>
      <c r="K159" s="16" t="s">
        <v>27</v>
      </c>
      <c r="L159" s="16" t="s">
        <v>34</v>
      </c>
      <c r="M159" s="16" t="s">
        <v>29</v>
      </c>
      <c r="N159" s="18" t="s">
        <v>30</v>
      </c>
      <c r="O159" s="16"/>
      <c r="P159" s="23"/>
      <c r="Q159" s="27"/>
      <c r="R159" s="29">
        <f t="shared" si="16"/>
        <v>1</v>
      </c>
      <c r="S159" s="30" t="str">
        <f t="shared" si="17"/>
        <v>P00.166</v>
      </c>
    </row>
    <row r="160" ht="39.6" spans="1:19">
      <c r="A160" s="16"/>
      <c r="B160" s="16"/>
      <c r="C160" s="16"/>
      <c r="D160" s="21">
        <f t="shared" si="15"/>
        <v>167</v>
      </c>
      <c r="E160" s="18" t="s">
        <v>31</v>
      </c>
      <c r="F160" s="23" t="s">
        <v>354</v>
      </c>
      <c r="G160" s="20" t="s">
        <v>24</v>
      </c>
      <c r="H160" s="20" t="s">
        <v>24</v>
      </c>
      <c r="I160" s="20" t="s">
        <v>33</v>
      </c>
      <c r="J160" s="16" t="s">
        <v>26</v>
      </c>
      <c r="K160" s="16" t="s">
        <v>62</v>
      </c>
      <c r="L160" s="16" t="s">
        <v>28</v>
      </c>
      <c r="M160" s="16" t="s">
        <v>29</v>
      </c>
      <c r="N160" s="18" t="s">
        <v>30</v>
      </c>
      <c r="O160" s="16"/>
      <c r="P160" s="24" t="s">
        <v>355</v>
      </c>
      <c r="Q160" s="27" t="s">
        <v>356</v>
      </c>
      <c r="R160" s="29">
        <f t="shared" si="16"/>
        <v>1</v>
      </c>
      <c r="S160" s="30" t="str">
        <f t="shared" si="17"/>
        <v>P00.167</v>
      </c>
    </row>
    <row r="161" ht="105.6" spans="1:19">
      <c r="A161" s="16"/>
      <c r="B161" s="16"/>
      <c r="C161" s="16"/>
      <c r="D161" s="21">
        <f t="shared" si="15"/>
        <v>168</v>
      </c>
      <c r="E161" s="18" t="s">
        <v>31</v>
      </c>
      <c r="F161" s="23" t="s">
        <v>357</v>
      </c>
      <c r="G161" s="20" t="s">
        <v>73</v>
      </c>
      <c r="H161" s="20" t="s">
        <v>24</v>
      </c>
      <c r="I161" s="20" t="s">
        <v>358</v>
      </c>
      <c r="J161" s="16" t="s">
        <v>26</v>
      </c>
      <c r="K161" s="16" t="s">
        <v>62</v>
      </c>
      <c r="L161" s="16" t="s">
        <v>28</v>
      </c>
      <c r="M161" s="16" t="s">
        <v>29</v>
      </c>
      <c r="N161" s="18" t="s">
        <v>30</v>
      </c>
      <c r="O161" s="16"/>
      <c r="P161" s="23" t="s">
        <v>359</v>
      </c>
      <c r="Q161" s="27" t="s">
        <v>360</v>
      </c>
      <c r="R161" s="29">
        <f t="shared" ref="R161:R171" si="18">IF(OR(F161="",LEFT(TRIM(F161),3)=E161),1,0)</f>
        <v>0</v>
      </c>
      <c r="S161" s="30" t="str">
        <f t="shared" ref="S161:S171" si="19">"P"&amp;TEXT(INT(D161/256),"00")&amp;"."&amp;TEXT(MOD(D161,256),"000")</f>
        <v>P00.168</v>
      </c>
    </row>
    <row r="162" ht="26.4" spans="1:19">
      <c r="A162" s="16"/>
      <c r="B162" s="16"/>
      <c r="C162" s="16"/>
      <c r="D162" s="21">
        <f t="shared" si="15"/>
        <v>169</v>
      </c>
      <c r="E162" s="18" t="s">
        <v>31</v>
      </c>
      <c r="F162" s="23" t="s">
        <v>361</v>
      </c>
      <c r="G162" s="20" t="s">
        <v>24</v>
      </c>
      <c r="H162" s="20" t="s">
        <v>24</v>
      </c>
      <c r="I162" s="20" t="s">
        <v>73</v>
      </c>
      <c r="J162" s="16" t="s">
        <v>26</v>
      </c>
      <c r="K162" s="16" t="s">
        <v>62</v>
      </c>
      <c r="L162" s="16" t="s">
        <v>28</v>
      </c>
      <c r="M162" s="16" t="s">
        <v>29</v>
      </c>
      <c r="N162" s="18" t="s">
        <v>30</v>
      </c>
      <c r="O162" s="16"/>
      <c r="P162" s="23" t="s">
        <v>362</v>
      </c>
      <c r="Q162" s="27" t="s">
        <v>317</v>
      </c>
      <c r="R162" s="29">
        <f t="shared" si="18"/>
        <v>0</v>
      </c>
      <c r="S162" s="30" t="str">
        <f t="shared" si="19"/>
        <v>P00.169</v>
      </c>
    </row>
    <row r="163" ht="105.6" spans="1:19">
      <c r="A163" s="16"/>
      <c r="B163" s="16"/>
      <c r="C163" s="16"/>
      <c r="D163" s="21">
        <f t="shared" si="15"/>
        <v>170</v>
      </c>
      <c r="E163" s="18" t="s">
        <v>31</v>
      </c>
      <c r="F163" s="23" t="s">
        <v>363</v>
      </c>
      <c r="G163" s="20" t="s">
        <v>73</v>
      </c>
      <c r="H163" s="20" t="s">
        <v>24</v>
      </c>
      <c r="I163" s="20" t="s">
        <v>358</v>
      </c>
      <c r="J163" s="16" t="s">
        <v>26</v>
      </c>
      <c r="K163" s="16" t="s">
        <v>62</v>
      </c>
      <c r="L163" s="16" t="s">
        <v>28</v>
      </c>
      <c r="M163" s="16" t="s">
        <v>29</v>
      </c>
      <c r="N163" s="18" t="s">
        <v>30</v>
      </c>
      <c r="O163" s="16"/>
      <c r="P163" s="23" t="s">
        <v>364</v>
      </c>
      <c r="Q163" s="27" t="s">
        <v>360</v>
      </c>
      <c r="R163" s="29">
        <f t="shared" si="18"/>
        <v>0</v>
      </c>
      <c r="S163" s="30" t="str">
        <f t="shared" si="19"/>
        <v>P00.170</v>
      </c>
    </row>
    <row r="164" ht="26.4" spans="1:19">
      <c r="A164" s="16"/>
      <c r="B164" s="16"/>
      <c r="C164" s="16"/>
      <c r="D164" s="21">
        <f t="shared" si="15"/>
        <v>171</v>
      </c>
      <c r="E164" s="18" t="s">
        <v>31</v>
      </c>
      <c r="F164" s="23" t="s">
        <v>365</v>
      </c>
      <c r="G164" s="20" t="s">
        <v>24</v>
      </c>
      <c r="H164" s="20" t="s">
        <v>24</v>
      </c>
      <c r="I164" s="20" t="s">
        <v>73</v>
      </c>
      <c r="J164" s="16" t="s">
        <v>26</v>
      </c>
      <c r="K164" s="16" t="s">
        <v>62</v>
      </c>
      <c r="L164" s="16" t="s">
        <v>28</v>
      </c>
      <c r="M164" s="16" t="s">
        <v>29</v>
      </c>
      <c r="N164" s="18" t="s">
        <v>30</v>
      </c>
      <c r="O164" s="16"/>
      <c r="P164" s="23" t="s">
        <v>366</v>
      </c>
      <c r="Q164" s="27" t="s">
        <v>317</v>
      </c>
      <c r="R164" s="29">
        <f t="shared" si="18"/>
        <v>0</v>
      </c>
      <c r="S164" s="30" t="str">
        <f t="shared" si="19"/>
        <v>P00.171</v>
      </c>
    </row>
    <row r="165" spans="1:19">
      <c r="A165" s="16"/>
      <c r="B165" s="16"/>
      <c r="C165" s="16"/>
      <c r="D165" s="21">
        <f t="shared" si="15"/>
        <v>172</v>
      </c>
      <c r="E165" s="18" t="s">
        <v>31</v>
      </c>
      <c r="F165" s="23"/>
      <c r="G165" s="20" t="s">
        <v>24</v>
      </c>
      <c r="H165" s="20" t="s">
        <v>24</v>
      </c>
      <c r="I165" s="20" t="s">
        <v>33</v>
      </c>
      <c r="J165" s="16" t="s">
        <v>26</v>
      </c>
      <c r="K165" s="16" t="s">
        <v>27</v>
      </c>
      <c r="L165" s="16" t="s">
        <v>34</v>
      </c>
      <c r="M165" s="16" t="s">
        <v>29</v>
      </c>
      <c r="N165" s="18" t="s">
        <v>30</v>
      </c>
      <c r="O165" s="16"/>
      <c r="P165" s="23"/>
      <c r="Q165" s="23"/>
      <c r="R165" s="29">
        <f t="shared" si="18"/>
        <v>1</v>
      </c>
      <c r="S165" s="30" t="str">
        <f t="shared" si="19"/>
        <v>P00.172</v>
      </c>
    </row>
    <row r="166" spans="1:19">
      <c r="A166" s="16"/>
      <c r="B166" s="16"/>
      <c r="C166" s="16"/>
      <c r="D166" s="21">
        <f t="shared" si="15"/>
        <v>173</v>
      </c>
      <c r="E166" s="18" t="s">
        <v>88</v>
      </c>
      <c r="F166" s="23" t="s">
        <v>367</v>
      </c>
      <c r="G166" s="20" t="s">
        <v>24</v>
      </c>
      <c r="H166" s="20" t="s">
        <v>90</v>
      </c>
      <c r="I166" s="20" t="s">
        <v>91</v>
      </c>
      <c r="J166" s="16" t="s">
        <v>368</v>
      </c>
      <c r="K166" s="16" t="s">
        <v>27</v>
      </c>
      <c r="L166" s="16" t="s">
        <v>34</v>
      </c>
      <c r="M166" s="16" t="s">
        <v>29</v>
      </c>
      <c r="N166" s="18" t="s">
        <v>30</v>
      </c>
      <c r="O166" s="16"/>
      <c r="P166" s="23" t="s">
        <v>369</v>
      </c>
      <c r="Q166" s="23"/>
      <c r="R166" s="29">
        <f t="shared" si="18"/>
        <v>1</v>
      </c>
      <c r="S166" s="30" t="str">
        <f t="shared" si="19"/>
        <v>P00.173</v>
      </c>
    </row>
    <row r="167" spans="1:19">
      <c r="A167" s="16"/>
      <c r="B167" s="16"/>
      <c r="C167" s="16"/>
      <c r="D167" s="21">
        <f t="shared" si="15"/>
        <v>174</v>
      </c>
      <c r="E167" s="18" t="s">
        <v>31</v>
      </c>
      <c r="F167" s="23"/>
      <c r="G167" s="20" t="s">
        <v>24</v>
      </c>
      <c r="H167" s="20" t="s">
        <v>24</v>
      </c>
      <c r="I167" s="20" t="s">
        <v>33</v>
      </c>
      <c r="J167" s="16" t="s">
        <v>26</v>
      </c>
      <c r="K167" s="16" t="s">
        <v>27</v>
      </c>
      <c r="L167" s="16" t="s">
        <v>34</v>
      </c>
      <c r="M167" s="16" t="s">
        <v>29</v>
      </c>
      <c r="N167" s="18" t="s">
        <v>30</v>
      </c>
      <c r="O167" s="16"/>
      <c r="P167" s="23"/>
      <c r="Q167" s="23"/>
      <c r="R167" s="29">
        <f t="shared" ref="R167:R181" si="20">IF(OR(F167="",LEFT(TRIM(F167),3)=E167),1,0)</f>
        <v>1</v>
      </c>
      <c r="S167" s="30" t="str">
        <f t="shared" ref="S167:S174" si="21">"P"&amp;TEXT(INT(D167/256),"00")&amp;"."&amp;TEXT(MOD(D167,256),"000")</f>
        <v>P00.174</v>
      </c>
    </row>
    <row r="168" spans="1:19">
      <c r="A168" s="16">
        <v>3</v>
      </c>
      <c r="B168" s="34" t="s">
        <v>370</v>
      </c>
      <c r="C168" s="16" t="s">
        <v>371</v>
      </c>
      <c r="D168" s="21">
        <f t="shared" si="15"/>
        <v>175</v>
      </c>
      <c r="E168" s="18" t="s">
        <v>31</v>
      </c>
      <c r="F168" s="35" t="s">
        <v>372</v>
      </c>
      <c r="G168" s="20" t="s">
        <v>73</v>
      </c>
      <c r="H168" s="20" t="s">
        <v>73</v>
      </c>
      <c r="I168" s="20" t="s">
        <v>373</v>
      </c>
      <c r="J168" s="16" t="s">
        <v>26</v>
      </c>
      <c r="K168" s="16" t="s">
        <v>374</v>
      </c>
      <c r="L168" s="16" t="s">
        <v>28</v>
      </c>
      <c r="M168" s="16" t="s">
        <v>29</v>
      </c>
      <c r="N168" s="18" t="s">
        <v>30</v>
      </c>
      <c r="O168" s="24"/>
      <c r="P168" s="24" t="s">
        <v>375</v>
      </c>
      <c r="Q168" s="23"/>
      <c r="R168" s="29">
        <f t="shared" si="20"/>
        <v>1</v>
      </c>
      <c r="S168" s="30" t="str">
        <f t="shared" si="21"/>
        <v>P00.175</v>
      </c>
    </row>
    <row r="169" spans="1:19">
      <c r="A169" s="16"/>
      <c r="B169" s="36"/>
      <c r="C169" s="16"/>
      <c r="D169" s="21">
        <f t="shared" si="15"/>
        <v>176</v>
      </c>
      <c r="E169" s="18" t="s">
        <v>21</v>
      </c>
      <c r="F169" s="35" t="s">
        <v>376</v>
      </c>
      <c r="G169" s="20" t="s">
        <v>377</v>
      </c>
      <c r="H169" s="20" t="s">
        <v>24</v>
      </c>
      <c r="I169" s="20" t="s">
        <v>378</v>
      </c>
      <c r="J169" s="16" t="s">
        <v>26</v>
      </c>
      <c r="K169" s="16" t="s">
        <v>374</v>
      </c>
      <c r="L169" s="16" t="s">
        <v>28</v>
      </c>
      <c r="M169" s="16" t="s">
        <v>29</v>
      </c>
      <c r="N169" s="18" t="s">
        <v>30</v>
      </c>
      <c r="O169" s="24"/>
      <c r="P169" s="24" t="s">
        <v>379</v>
      </c>
      <c r="Q169" s="23"/>
      <c r="R169" s="29">
        <f t="shared" si="20"/>
        <v>1</v>
      </c>
      <c r="S169" s="30" t="str">
        <f t="shared" si="21"/>
        <v>P00.176</v>
      </c>
    </row>
    <row r="170" ht="39.6" spans="1:19">
      <c r="A170" s="16"/>
      <c r="B170" s="36"/>
      <c r="C170" s="16"/>
      <c r="D170" s="21">
        <f t="shared" si="15"/>
        <v>178</v>
      </c>
      <c r="E170" s="18" t="s">
        <v>31</v>
      </c>
      <c r="F170" s="35" t="s">
        <v>380</v>
      </c>
      <c r="G170" s="20" t="s">
        <v>69</v>
      </c>
      <c r="H170" s="20" t="s">
        <v>24</v>
      </c>
      <c r="I170" s="20" t="s">
        <v>69</v>
      </c>
      <c r="J170" s="16" t="s">
        <v>26</v>
      </c>
      <c r="K170" s="16" t="s">
        <v>374</v>
      </c>
      <c r="L170" s="16" t="s">
        <v>28</v>
      </c>
      <c r="M170" s="16" t="s">
        <v>29</v>
      </c>
      <c r="N170" s="18" t="s">
        <v>30</v>
      </c>
      <c r="O170" s="24"/>
      <c r="P170" s="24" t="s">
        <v>381</v>
      </c>
      <c r="Q170" s="31" t="s">
        <v>382</v>
      </c>
      <c r="R170" s="29">
        <f t="shared" si="20"/>
        <v>1</v>
      </c>
      <c r="S170" s="30" t="str">
        <f t="shared" si="21"/>
        <v>P00.178</v>
      </c>
    </row>
    <row r="171" ht="26.4" spans="1:19">
      <c r="A171" s="16"/>
      <c r="B171" s="36"/>
      <c r="C171" s="16"/>
      <c r="D171" s="21">
        <f t="shared" si="15"/>
        <v>179</v>
      </c>
      <c r="E171" s="18" t="s">
        <v>31</v>
      </c>
      <c r="F171" s="35" t="s">
        <v>383</v>
      </c>
      <c r="G171" s="20" t="s">
        <v>24</v>
      </c>
      <c r="H171" s="20" t="s">
        <v>24</v>
      </c>
      <c r="I171" s="20" t="s">
        <v>73</v>
      </c>
      <c r="J171" s="16" t="s">
        <v>26</v>
      </c>
      <c r="K171" s="16" t="s">
        <v>62</v>
      </c>
      <c r="L171" s="16" t="s">
        <v>28</v>
      </c>
      <c r="M171" s="16" t="s">
        <v>29</v>
      </c>
      <c r="N171" s="18" t="s">
        <v>30</v>
      </c>
      <c r="O171" s="24"/>
      <c r="P171" s="24" t="s">
        <v>384</v>
      </c>
      <c r="Q171" s="31" t="s">
        <v>385</v>
      </c>
      <c r="R171" s="29">
        <f t="shared" si="20"/>
        <v>1</v>
      </c>
      <c r="S171" s="30" t="str">
        <f t="shared" si="21"/>
        <v>P00.179</v>
      </c>
    </row>
    <row r="172" spans="1:19">
      <c r="A172" s="16"/>
      <c r="B172" s="36"/>
      <c r="C172" s="16"/>
      <c r="D172" s="21">
        <f t="shared" si="15"/>
        <v>180</v>
      </c>
      <c r="E172" s="18" t="s">
        <v>31</v>
      </c>
      <c r="F172" s="35" t="s">
        <v>386</v>
      </c>
      <c r="G172" s="20" t="s">
        <v>387</v>
      </c>
      <c r="H172" s="20" t="s">
        <v>388</v>
      </c>
      <c r="I172" s="20" t="s">
        <v>33</v>
      </c>
      <c r="J172" s="16" t="s">
        <v>389</v>
      </c>
      <c r="K172" s="16" t="s">
        <v>62</v>
      </c>
      <c r="L172" s="16" t="s">
        <v>28</v>
      </c>
      <c r="M172" s="16" t="s">
        <v>29</v>
      </c>
      <c r="N172" s="18" t="s">
        <v>30</v>
      </c>
      <c r="O172" s="24"/>
      <c r="P172" s="24" t="s">
        <v>390</v>
      </c>
      <c r="Q172" s="23"/>
      <c r="R172" s="29">
        <f t="shared" si="20"/>
        <v>1</v>
      </c>
      <c r="S172" s="30" t="str">
        <f t="shared" si="21"/>
        <v>P00.180</v>
      </c>
    </row>
    <row r="173" spans="1:19">
      <c r="A173" s="16"/>
      <c r="B173" s="36"/>
      <c r="C173" s="16"/>
      <c r="D173" s="21">
        <f t="shared" si="15"/>
        <v>181</v>
      </c>
      <c r="E173" s="18" t="s">
        <v>31</v>
      </c>
      <c r="F173" s="35" t="s">
        <v>391</v>
      </c>
      <c r="G173" s="20" t="s">
        <v>24</v>
      </c>
      <c r="H173" s="20" t="s">
        <v>24</v>
      </c>
      <c r="I173" s="20" t="s">
        <v>33</v>
      </c>
      <c r="J173" s="16" t="s">
        <v>389</v>
      </c>
      <c r="K173" s="16" t="s">
        <v>62</v>
      </c>
      <c r="L173" s="16" t="s">
        <v>28</v>
      </c>
      <c r="M173" s="16" t="s">
        <v>29</v>
      </c>
      <c r="N173" s="18" t="s">
        <v>30</v>
      </c>
      <c r="O173" s="24"/>
      <c r="P173" s="24" t="s">
        <v>392</v>
      </c>
      <c r="Q173" s="23"/>
      <c r="R173" s="29">
        <f t="shared" si="20"/>
        <v>1</v>
      </c>
      <c r="S173" s="30" t="str">
        <f t="shared" si="21"/>
        <v>P00.181</v>
      </c>
    </row>
    <row r="174" spans="1:19">
      <c r="A174" s="16"/>
      <c r="B174" s="36"/>
      <c r="C174" s="16"/>
      <c r="D174" s="21">
        <f t="shared" si="15"/>
        <v>182</v>
      </c>
      <c r="E174" s="18" t="s">
        <v>31</v>
      </c>
      <c r="F174" s="23"/>
      <c r="G174" s="20" t="s">
        <v>24</v>
      </c>
      <c r="H174" s="20" t="s">
        <v>24</v>
      </c>
      <c r="I174" s="20" t="s">
        <v>33</v>
      </c>
      <c r="J174" s="16" t="s">
        <v>26</v>
      </c>
      <c r="K174" s="16" t="s">
        <v>27</v>
      </c>
      <c r="L174" s="16" t="s">
        <v>34</v>
      </c>
      <c r="M174" s="16" t="s">
        <v>29</v>
      </c>
      <c r="N174" s="18" t="s">
        <v>30</v>
      </c>
      <c r="O174" s="16"/>
      <c r="P174" s="23"/>
      <c r="Q174" s="23"/>
      <c r="R174" s="29">
        <f t="shared" si="20"/>
        <v>1</v>
      </c>
      <c r="S174" s="30" t="str">
        <f t="shared" si="21"/>
        <v>P00.182</v>
      </c>
    </row>
    <row r="175" spans="1:19">
      <c r="A175" s="16"/>
      <c r="B175" s="36"/>
      <c r="C175" s="16"/>
      <c r="D175" s="21">
        <f t="shared" si="15"/>
        <v>183</v>
      </c>
      <c r="E175" s="18" t="s">
        <v>31</v>
      </c>
      <c r="F175" s="23"/>
      <c r="G175" s="20" t="s">
        <v>24</v>
      </c>
      <c r="H175" s="20" t="s">
        <v>24</v>
      </c>
      <c r="I175" s="20" t="s">
        <v>33</v>
      </c>
      <c r="J175" s="16" t="s">
        <v>26</v>
      </c>
      <c r="K175" s="16" t="s">
        <v>27</v>
      </c>
      <c r="L175" s="16" t="s">
        <v>34</v>
      </c>
      <c r="M175" s="16" t="s">
        <v>29</v>
      </c>
      <c r="N175" s="18" t="s">
        <v>30</v>
      </c>
      <c r="O175" s="16"/>
      <c r="P175" s="23"/>
      <c r="Q175" s="23"/>
      <c r="R175" s="29">
        <f t="shared" si="20"/>
        <v>1</v>
      </c>
      <c r="S175" s="30" t="str">
        <f t="shared" ref="S175:S238" si="22">"P"&amp;TEXT(INT(D175/256),"00")&amp;"."&amp;TEXT(MOD(D175,256),"000")</f>
        <v>P00.183</v>
      </c>
    </row>
    <row r="176" spans="1:19">
      <c r="A176" s="16"/>
      <c r="B176" s="36"/>
      <c r="C176" s="16"/>
      <c r="D176" s="21">
        <f t="shared" si="15"/>
        <v>184</v>
      </c>
      <c r="E176" s="18" t="s">
        <v>31</v>
      </c>
      <c r="F176" s="23" t="s">
        <v>393</v>
      </c>
      <c r="G176" s="20" t="s">
        <v>24</v>
      </c>
      <c r="H176" s="20" t="s">
        <v>24</v>
      </c>
      <c r="I176" s="20" t="s">
        <v>33</v>
      </c>
      <c r="J176" s="16" t="s">
        <v>26</v>
      </c>
      <c r="K176" s="16" t="s">
        <v>62</v>
      </c>
      <c r="L176" s="16" t="s">
        <v>34</v>
      </c>
      <c r="M176" s="16" t="s">
        <v>29</v>
      </c>
      <c r="N176" s="18" t="s">
        <v>30</v>
      </c>
      <c r="O176" s="16"/>
      <c r="P176" s="23"/>
      <c r="Q176" s="23"/>
      <c r="R176" s="29">
        <f t="shared" si="20"/>
        <v>1</v>
      </c>
      <c r="S176" s="30" t="str">
        <f t="shared" si="22"/>
        <v>P00.184</v>
      </c>
    </row>
    <row r="177" spans="1:19">
      <c r="A177" s="16"/>
      <c r="B177" s="36"/>
      <c r="C177" s="16"/>
      <c r="D177" s="21">
        <f t="shared" si="15"/>
        <v>185</v>
      </c>
      <c r="E177" s="18" t="s">
        <v>31</v>
      </c>
      <c r="F177" s="23" t="s">
        <v>394</v>
      </c>
      <c r="G177" s="20" t="s">
        <v>24</v>
      </c>
      <c r="H177" s="20" t="s">
        <v>24</v>
      </c>
      <c r="I177" s="20" t="s">
        <v>33</v>
      </c>
      <c r="J177" s="16" t="s">
        <v>26</v>
      </c>
      <c r="K177" s="16" t="s">
        <v>62</v>
      </c>
      <c r="L177" s="16" t="s">
        <v>34</v>
      </c>
      <c r="M177" s="16" t="s">
        <v>29</v>
      </c>
      <c r="N177" s="18" t="s">
        <v>30</v>
      </c>
      <c r="O177" s="16"/>
      <c r="P177" s="23"/>
      <c r="Q177" s="23"/>
      <c r="R177" s="29">
        <f t="shared" si="20"/>
        <v>1</v>
      </c>
      <c r="S177" s="30" t="str">
        <f t="shared" si="22"/>
        <v>P00.185</v>
      </c>
    </row>
    <row r="178" spans="1:19">
      <c r="A178" s="16"/>
      <c r="B178" s="36"/>
      <c r="C178" s="16"/>
      <c r="D178" s="21">
        <f t="shared" si="15"/>
        <v>186</v>
      </c>
      <c r="E178" s="18" t="s">
        <v>31</v>
      </c>
      <c r="F178" s="23" t="s">
        <v>395</v>
      </c>
      <c r="G178" s="20" t="s">
        <v>24</v>
      </c>
      <c r="H178" s="20" t="s">
        <v>24</v>
      </c>
      <c r="I178" s="20" t="s">
        <v>33</v>
      </c>
      <c r="J178" s="16" t="s">
        <v>26</v>
      </c>
      <c r="K178" s="16" t="s">
        <v>62</v>
      </c>
      <c r="L178" s="16" t="s">
        <v>34</v>
      </c>
      <c r="M178" s="16" t="s">
        <v>29</v>
      </c>
      <c r="N178" s="18" t="s">
        <v>30</v>
      </c>
      <c r="O178" s="16"/>
      <c r="P178" s="23"/>
      <c r="Q178" s="23"/>
      <c r="R178" s="29">
        <f t="shared" si="20"/>
        <v>1</v>
      </c>
      <c r="S178" s="30" t="str">
        <f t="shared" si="22"/>
        <v>P00.186</v>
      </c>
    </row>
    <row r="179" spans="1:19">
      <c r="A179" s="16"/>
      <c r="B179" s="36"/>
      <c r="C179" s="16"/>
      <c r="D179" s="21">
        <f t="shared" si="15"/>
        <v>187</v>
      </c>
      <c r="E179" s="18" t="s">
        <v>31</v>
      </c>
      <c r="F179" s="23" t="s">
        <v>396</v>
      </c>
      <c r="G179" s="20" t="s">
        <v>24</v>
      </c>
      <c r="H179" s="20" t="s">
        <v>24</v>
      </c>
      <c r="I179" s="20" t="s">
        <v>33</v>
      </c>
      <c r="J179" s="16" t="s">
        <v>26</v>
      </c>
      <c r="K179" s="16" t="s">
        <v>62</v>
      </c>
      <c r="L179" s="16" t="s">
        <v>34</v>
      </c>
      <c r="M179" s="16" t="s">
        <v>29</v>
      </c>
      <c r="N179" s="18" t="s">
        <v>30</v>
      </c>
      <c r="O179" s="16"/>
      <c r="P179" s="23"/>
      <c r="Q179" s="23"/>
      <c r="R179" s="29">
        <f t="shared" si="20"/>
        <v>1</v>
      </c>
      <c r="S179" s="30" t="str">
        <f t="shared" si="22"/>
        <v>P00.187</v>
      </c>
    </row>
    <row r="180" spans="1:19">
      <c r="A180" s="16"/>
      <c r="B180" s="36"/>
      <c r="C180" s="16"/>
      <c r="D180" s="21">
        <f t="shared" si="15"/>
        <v>188</v>
      </c>
      <c r="E180" s="18" t="s">
        <v>31</v>
      </c>
      <c r="F180" s="23" t="s">
        <v>397</v>
      </c>
      <c r="G180" s="20" t="s">
        <v>24</v>
      </c>
      <c r="H180" s="20" t="s">
        <v>24</v>
      </c>
      <c r="I180" s="20" t="s">
        <v>33</v>
      </c>
      <c r="J180" s="16" t="s">
        <v>26</v>
      </c>
      <c r="K180" s="16" t="s">
        <v>62</v>
      </c>
      <c r="L180" s="16" t="s">
        <v>34</v>
      </c>
      <c r="M180" s="16" t="s">
        <v>29</v>
      </c>
      <c r="N180" s="18" t="s">
        <v>30</v>
      </c>
      <c r="O180" s="16"/>
      <c r="P180" s="23"/>
      <c r="Q180" s="23"/>
      <c r="R180" s="29">
        <f t="shared" si="20"/>
        <v>1</v>
      </c>
      <c r="S180" s="30" t="str">
        <f t="shared" si="22"/>
        <v>P00.188</v>
      </c>
    </row>
    <row r="181" spans="1:19">
      <c r="A181" s="16"/>
      <c r="B181" s="36"/>
      <c r="C181" s="16"/>
      <c r="D181" s="21">
        <f t="shared" si="15"/>
        <v>189</v>
      </c>
      <c r="E181" s="18" t="s">
        <v>31</v>
      </c>
      <c r="F181" s="23" t="s">
        <v>398</v>
      </c>
      <c r="G181" s="20" t="s">
        <v>24</v>
      </c>
      <c r="H181" s="20" t="s">
        <v>24</v>
      </c>
      <c r="I181" s="20" t="s">
        <v>33</v>
      </c>
      <c r="J181" s="16" t="s">
        <v>26</v>
      </c>
      <c r="K181" s="16" t="s">
        <v>62</v>
      </c>
      <c r="L181" s="16" t="s">
        <v>34</v>
      </c>
      <c r="M181" s="16" t="s">
        <v>29</v>
      </c>
      <c r="N181" s="18" t="s">
        <v>30</v>
      </c>
      <c r="O181" s="16"/>
      <c r="P181" s="23"/>
      <c r="Q181" s="23"/>
      <c r="R181" s="29">
        <f t="shared" si="20"/>
        <v>1</v>
      </c>
      <c r="S181" s="30" t="str">
        <f t="shared" si="22"/>
        <v>P00.189</v>
      </c>
    </row>
    <row r="182" spans="1:19">
      <c r="A182" s="16"/>
      <c r="B182" s="36"/>
      <c r="C182" s="16"/>
      <c r="D182" s="21">
        <f t="shared" si="15"/>
        <v>190</v>
      </c>
      <c r="E182" s="18" t="s">
        <v>31</v>
      </c>
      <c r="F182" s="23" t="s">
        <v>399</v>
      </c>
      <c r="G182" s="20" t="s">
        <v>24</v>
      </c>
      <c r="H182" s="20" t="s">
        <v>24</v>
      </c>
      <c r="I182" s="20" t="s">
        <v>33</v>
      </c>
      <c r="J182" s="16" t="s">
        <v>26</v>
      </c>
      <c r="K182" s="16" t="s">
        <v>62</v>
      </c>
      <c r="L182" s="16" t="s">
        <v>34</v>
      </c>
      <c r="M182" s="16" t="s">
        <v>29</v>
      </c>
      <c r="N182" s="18" t="s">
        <v>30</v>
      </c>
      <c r="O182" s="16"/>
      <c r="P182" s="23"/>
      <c r="Q182" s="23"/>
      <c r="R182" s="29">
        <f t="shared" ref="R182:R221" si="23">IF(OR(F182="",LEFT(TRIM(F182),3)=E182),1,0)</f>
        <v>1</v>
      </c>
      <c r="S182" s="30" t="str">
        <f t="shared" si="22"/>
        <v>P00.190</v>
      </c>
    </row>
    <row r="183" spans="1:19">
      <c r="A183" s="16"/>
      <c r="B183" s="36"/>
      <c r="C183" s="16"/>
      <c r="D183" s="21">
        <f t="shared" si="15"/>
        <v>191</v>
      </c>
      <c r="E183" s="18" t="s">
        <v>31</v>
      </c>
      <c r="F183" s="23" t="s">
        <v>400</v>
      </c>
      <c r="G183" s="20" t="s">
        <v>24</v>
      </c>
      <c r="H183" s="20" t="s">
        <v>24</v>
      </c>
      <c r="I183" s="20" t="s">
        <v>33</v>
      </c>
      <c r="J183" s="16" t="s">
        <v>26</v>
      </c>
      <c r="K183" s="16" t="s">
        <v>62</v>
      </c>
      <c r="L183" s="16" t="s">
        <v>34</v>
      </c>
      <c r="M183" s="16" t="s">
        <v>29</v>
      </c>
      <c r="N183" s="18" t="s">
        <v>30</v>
      </c>
      <c r="O183" s="16"/>
      <c r="P183" s="23"/>
      <c r="Q183" s="23"/>
      <c r="R183" s="29">
        <f t="shared" si="23"/>
        <v>1</v>
      </c>
      <c r="S183" s="30" t="str">
        <f t="shared" si="22"/>
        <v>P00.191</v>
      </c>
    </row>
    <row r="184" spans="1:19">
      <c r="A184" s="16"/>
      <c r="B184" s="36"/>
      <c r="C184" s="16"/>
      <c r="D184" s="21">
        <f t="shared" si="15"/>
        <v>192</v>
      </c>
      <c r="E184" s="18" t="s">
        <v>31</v>
      </c>
      <c r="F184" s="23" t="s">
        <v>401</v>
      </c>
      <c r="G184" s="20" t="s">
        <v>24</v>
      </c>
      <c r="H184" s="20" t="s">
        <v>24</v>
      </c>
      <c r="I184" s="20" t="s">
        <v>33</v>
      </c>
      <c r="J184" s="16" t="s">
        <v>26</v>
      </c>
      <c r="K184" s="16" t="s">
        <v>62</v>
      </c>
      <c r="L184" s="16" t="s">
        <v>34</v>
      </c>
      <c r="M184" s="16" t="s">
        <v>29</v>
      </c>
      <c r="N184" s="18" t="s">
        <v>30</v>
      </c>
      <c r="O184" s="16"/>
      <c r="P184" s="23"/>
      <c r="Q184" s="23"/>
      <c r="R184" s="29">
        <f t="shared" si="23"/>
        <v>1</v>
      </c>
      <c r="S184" s="30" t="str">
        <f t="shared" si="22"/>
        <v>P00.192</v>
      </c>
    </row>
    <row r="185" spans="1:19">
      <c r="A185" s="16"/>
      <c r="B185" s="36"/>
      <c r="C185" s="16"/>
      <c r="D185" s="21">
        <f t="shared" si="15"/>
        <v>193</v>
      </c>
      <c r="E185" s="18" t="s">
        <v>31</v>
      </c>
      <c r="F185" s="23" t="s">
        <v>402</v>
      </c>
      <c r="G185" s="20" t="s">
        <v>24</v>
      </c>
      <c r="H185" s="20" t="s">
        <v>24</v>
      </c>
      <c r="I185" s="20" t="s">
        <v>33</v>
      </c>
      <c r="J185" s="16" t="s">
        <v>26</v>
      </c>
      <c r="K185" s="16" t="s">
        <v>62</v>
      </c>
      <c r="L185" s="16" t="s">
        <v>34</v>
      </c>
      <c r="M185" s="16" t="s">
        <v>29</v>
      </c>
      <c r="N185" s="18" t="s">
        <v>30</v>
      </c>
      <c r="O185" s="16"/>
      <c r="P185" s="23"/>
      <c r="Q185" s="23"/>
      <c r="R185" s="29">
        <f t="shared" si="23"/>
        <v>1</v>
      </c>
      <c r="S185" s="30" t="str">
        <f t="shared" si="22"/>
        <v>P00.193</v>
      </c>
    </row>
    <row r="186" spans="1:19">
      <c r="A186" s="16"/>
      <c r="B186" s="36"/>
      <c r="C186" s="16"/>
      <c r="D186" s="21">
        <f t="shared" si="15"/>
        <v>194</v>
      </c>
      <c r="E186" s="18" t="s">
        <v>31</v>
      </c>
      <c r="F186" s="23" t="s">
        <v>403</v>
      </c>
      <c r="G186" s="20" t="s">
        <v>24</v>
      </c>
      <c r="H186" s="20" t="s">
        <v>24</v>
      </c>
      <c r="I186" s="20" t="s">
        <v>33</v>
      </c>
      <c r="J186" s="16" t="s">
        <v>26</v>
      </c>
      <c r="K186" s="16" t="s">
        <v>62</v>
      </c>
      <c r="L186" s="16" t="s">
        <v>34</v>
      </c>
      <c r="M186" s="16" t="s">
        <v>29</v>
      </c>
      <c r="N186" s="18" t="s">
        <v>30</v>
      </c>
      <c r="O186" s="16"/>
      <c r="P186" s="23"/>
      <c r="Q186" s="23"/>
      <c r="R186" s="29">
        <f t="shared" si="23"/>
        <v>1</v>
      </c>
      <c r="S186" s="30" t="str">
        <f t="shared" si="22"/>
        <v>P00.194</v>
      </c>
    </row>
    <row r="187" spans="1:19">
      <c r="A187" s="16"/>
      <c r="B187" s="36"/>
      <c r="C187" s="16"/>
      <c r="D187" s="21">
        <f t="shared" si="15"/>
        <v>195</v>
      </c>
      <c r="E187" s="18" t="s">
        <v>31</v>
      </c>
      <c r="F187" s="23" t="s">
        <v>404</v>
      </c>
      <c r="G187" s="20" t="s">
        <v>24</v>
      </c>
      <c r="H187" s="20" t="s">
        <v>24</v>
      </c>
      <c r="I187" s="20" t="s">
        <v>33</v>
      </c>
      <c r="J187" s="16" t="s">
        <v>26</v>
      </c>
      <c r="K187" s="16" t="s">
        <v>62</v>
      </c>
      <c r="L187" s="16" t="s">
        <v>34</v>
      </c>
      <c r="M187" s="16" t="s">
        <v>29</v>
      </c>
      <c r="N187" s="18" t="s">
        <v>30</v>
      </c>
      <c r="O187" s="16"/>
      <c r="P187" s="23"/>
      <c r="Q187" s="23"/>
      <c r="R187" s="29">
        <f t="shared" si="23"/>
        <v>1</v>
      </c>
      <c r="S187" s="30" t="str">
        <f t="shared" si="22"/>
        <v>P00.195</v>
      </c>
    </row>
    <row r="188" spans="1:19">
      <c r="A188" s="16"/>
      <c r="B188" s="36"/>
      <c r="C188" s="16"/>
      <c r="D188" s="21">
        <f t="shared" si="15"/>
        <v>196</v>
      </c>
      <c r="E188" s="18" t="s">
        <v>31</v>
      </c>
      <c r="F188" s="23" t="s">
        <v>405</v>
      </c>
      <c r="G188" s="20" t="s">
        <v>24</v>
      </c>
      <c r="H188" s="20" t="s">
        <v>24</v>
      </c>
      <c r="I188" s="20" t="s">
        <v>33</v>
      </c>
      <c r="J188" s="16" t="s">
        <v>26</v>
      </c>
      <c r="K188" s="16" t="s">
        <v>62</v>
      </c>
      <c r="L188" s="16" t="s">
        <v>34</v>
      </c>
      <c r="M188" s="16" t="s">
        <v>29</v>
      </c>
      <c r="N188" s="18" t="s">
        <v>30</v>
      </c>
      <c r="O188" s="16"/>
      <c r="P188" s="23"/>
      <c r="Q188" s="23"/>
      <c r="R188" s="29">
        <f t="shared" si="23"/>
        <v>1</v>
      </c>
      <c r="S188" s="30" t="str">
        <f t="shared" si="22"/>
        <v>P00.196</v>
      </c>
    </row>
    <row r="189" spans="1:19">
      <c r="A189" s="16"/>
      <c r="B189" s="36"/>
      <c r="C189" s="16"/>
      <c r="D189" s="21">
        <f t="shared" si="15"/>
        <v>197</v>
      </c>
      <c r="E189" s="18" t="s">
        <v>31</v>
      </c>
      <c r="F189" s="23" t="s">
        <v>406</v>
      </c>
      <c r="G189" s="20" t="s">
        <v>24</v>
      </c>
      <c r="H189" s="20" t="s">
        <v>24</v>
      </c>
      <c r="I189" s="20" t="s">
        <v>33</v>
      </c>
      <c r="J189" s="16" t="s">
        <v>26</v>
      </c>
      <c r="K189" s="16" t="s">
        <v>62</v>
      </c>
      <c r="L189" s="16" t="s">
        <v>34</v>
      </c>
      <c r="M189" s="16" t="s">
        <v>29</v>
      </c>
      <c r="N189" s="18" t="s">
        <v>30</v>
      </c>
      <c r="O189" s="16"/>
      <c r="P189" s="23"/>
      <c r="Q189" s="23"/>
      <c r="R189" s="29">
        <f t="shared" si="23"/>
        <v>1</v>
      </c>
      <c r="S189" s="30" t="str">
        <f t="shared" si="22"/>
        <v>P00.197</v>
      </c>
    </row>
    <row r="190" spans="1:19">
      <c r="A190" s="16"/>
      <c r="B190" s="36"/>
      <c r="C190" s="16"/>
      <c r="D190" s="21">
        <f t="shared" si="15"/>
        <v>198</v>
      </c>
      <c r="E190" s="18" t="s">
        <v>31</v>
      </c>
      <c r="F190" s="23" t="s">
        <v>407</v>
      </c>
      <c r="G190" s="20" t="s">
        <v>24</v>
      </c>
      <c r="H190" s="20" t="s">
        <v>24</v>
      </c>
      <c r="I190" s="20" t="s">
        <v>33</v>
      </c>
      <c r="J190" s="16" t="s">
        <v>26</v>
      </c>
      <c r="K190" s="16" t="s">
        <v>62</v>
      </c>
      <c r="L190" s="16" t="s">
        <v>34</v>
      </c>
      <c r="M190" s="16" t="s">
        <v>29</v>
      </c>
      <c r="N190" s="18" t="s">
        <v>30</v>
      </c>
      <c r="O190" s="16"/>
      <c r="P190" s="23"/>
      <c r="Q190" s="23"/>
      <c r="R190" s="29">
        <f t="shared" si="23"/>
        <v>1</v>
      </c>
      <c r="S190" s="30" t="str">
        <f t="shared" si="22"/>
        <v>P00.198</v>
      </c>
    </row>
    <row r="191" spans="1:19">
      <c r="A191" s="16"/>
      <c r="B191" s="36"/>
      <c r="C191" s="16"/>
      <c r="D191" s="21">
        <f t="shared" si="15"/>
        <v>199</v>
      </c>
      <c r="E191" s="18" t="s">
        <v>31</v>
      </c>
      <c r="F191" s="23" t="s">
        <v>408</v>
      </c>
      <c r="G191" s="20" t="s">
        <v>24</v>
      </c>
      <c r="H191" s="20" t="s">
        <v>24</v>
      </c>
      <c r="I191" s="20" t="s">
        <v>33</v>
      </c>
      <c r="J191" s="16" t="s">
        <v>26</v>
      </c>
      <c r="K191" s="16" t="s">
        <v>62</v>
      </c>
      <c r="L191" s="16" t="s">
        <v>34</v>
      </c>
      <c r="M191" s="16" t="s">
        <v>29</v>
      </c>
      <c r="N191" s="18" t="s">
        <v>30</v>
      </c>
      <c r="O191" s="16"/>
      <c r="P191" s="23"/>
      <c r="Q191" s="23"/>
      <c r="R191" s="29">
        <f t="shared" si="23"/>
        <v>1</v>
      </c>
      <c r="S191" s="30" t="str">
        <f t="shared" si="22"/>
        <v>P00.199</v>
      </c>
    </row>
    <row r="192" spans="1:19">
      <c r="A192" s="16"/>
      <c r="B192" s="36"/>
      <c r="C192" s="16"/>
      <c r="D192" s="21">
        <f t="shared" si="15"/>
        <v>200</v>
      </c>
      <c r="E192" s="18" t="s">
        <v>31</v>
      </c>
      <c r="F192" s="23" t="s">
        <v>409</v>
      </c>
      <c r="G192" s="20" t="s">
        <v>24</v>
      </c>
      <c r="H192" s="20" t="s">
        <v>24</v>
      </c>
      <c r="I192" s="20" t="s">
        <v>33</v>
      </c>
      <c r="J192" s="16" t="s">
        <v>26</v>
      </c>
      <c r="K192" s="16" t="s">
        <v>62</v>
      </c>
      <c r="L192" s="16" t="s">
        <v>34</v>
      </c>
      <c r="M192" s="16" t="s">
        <v>29</v>
      </c>
      <c r="N192" s="18" t="s">
        <v>30</v>
      </c>
      <c r="O192" s="16"/>
      <c r="P192" s="23"/>
      <c r="Q192" s="23"/>
      <c r="R192" s="29">
        <f t="shared" si="23"/>
        <v>1</v>
      </c>
      <c r="S192" s="30" t="str">
        <f t="shared" si="22"/>
        <v>P00.200</v>
      </c>
    </row>
    <row r="193" spans="1:19">
      <c r="A193" s="16"/>
      <c r="B193" s="36"/>
      <c r="C193" s="16"/>
      <c r="D193" s="21">
        <f t="shared" si="15"/>
        <v>201</v>
      </c>
      <c r="E193" s="18" t="s">
        <v>31</v>
      </c>
      <c r="F193" s="23" t="s">
        <v>410</v>
      </c>
      <c r="G193" s="20" t="s">
        <v>24</v>
      </c>
      <c r="H193" s="20" t="s">
        <v>24</v>
      </c>
      <c r="I193" s="20" t="s">
        <v>33</v>
      </c>
      <c r="J193" s="16" t="s">
        <v>26</v>
      </c>
      <c r="K193" s="16" t="s">
        <v>62</v>
      </c>
      <c r="L193" s="16" t="s">
        <v>34</v>
      </c>
      <c r="M193" s="16" t="s">
        <v>29</v>
      </c>
      <c r="N193" s="18" t="s">
        <v>30</v>
      </c>
      <c r="O193" s="16"/>
      <c r="P193" s="23"/>
      <c r="Q193" s="23"/>
      <c r="R193" s="29">
        <f t="shared" si="23"/>
        <v>1</v>
      </c>
      <c r="S193" s="30" t="str">
        <f t="shared" si="22"/>
        <v>P00.201</v>
      </c>
    </row>
    <row r="194" spans="1:19">
      <c r="A194" s="16"/>
      <c r="B194" s="36"/>
      <c r="C194" s="16"/>
      <c r="D194" s="21">
        <f t="shared" si="15"/>
        <v>202</v>
      </c>
      <c r="E194" s="18" t="s">
        <v>31</v>
      </c>
      <c r="F194" s="23" t="s">
        <v>411</v>
      </c>
      <c r="G194" s="20" t="s">
        <v>24</v>
      </c>
      <c r="H194" s="20" t="s">
        <v>24</v>
      </c>
      <c r="I194" s="20" t="s">
        <v>33</v>
      </c>
      <c r="J194" s="16" t="s">
        <v>26</v>
      </c>
      <c r="K194" s="16" t="s">
        <v>62</v>
      </c>
      <c r="L194" s="16" t="s">
        <v>34</v>
      </c>
      <c r="M194" s="16" t="s">
        <v>29</v>
      </c>
      <c r="N194" s="18" t="s">
        <v>30</v>
      </c>
      <c r="O194" s="16"/>
      <c r="P194" s="23"/>
      <c r="Q194" s="23"/>
      <c r="R194" s="29">
        <f t="shared" si="23"/>
        <v>1</v>
      </c>
      <c r="S194" s="30" t="str">
        <f t="shared" si="22"/>
        <v>P00.202</v>
      </c>
    </row>
    <row r="195" spans="1:19">
      <c r="A195" s="16"/>
      <c r="B195" s="36"/>
      <c r="C195" s="16"/>
      <c r="D195" s="21">
        <f t="shared" si="15"/>
        <v>203</v>
      </c>
      <c r="E195" s="18" t="s">
        <v>31</v>
      </c>
      <c r="F195" s="23" t="s">
        <v>412</v>
      </c>
      <c r="G195" s="20" t="s">
        <v>24</v>
      </c>
      <c r="H195" s="20" t="s">
        <v>24</v>
      </c>
      <c r="I195" s="20" t="s">
        <v>33</v>
      </c>
      <c r="J195" s="16" t="s">
        <v>26</v>
      </c>
      <c r="K195" s="16" t="s">
        <v>62</v>
      </c>
      <c r="L195" s="16" t="s">
        <v>34</v>
      </c>
      <c r="M195" s="16" t="s">
        <v>29</v>
      </c>
      <c r="N195" s="18" t="s">
        <v>30</v>
      </c>
      <c r="O195" s="16"/>
      <c r="P195" s="23"/>
      <c r="Q195" s="23"/>
      <c r="R195" s="29">
        <f t="shared" si="23"/>
        <v>1</v>
      </c>
      <c r="S195" s="30" t="str">
        <f t="shared" si="22"/>
        <v>P00.203</v>
      </c>
    </row>
    <row r="196" spans="1:19">
      <c r="A196" s="16"/>
      <c r="B196" s="36"/>
      <c r="C196" s="16"/>
      <c r="D196" s="21">
        <f t="shared" si="15"/>
        <v>204</v>
      </c>
      <c r="E196" s="18" t="s">
        <v>31</v>
      </c>
      <c r="F196" s="23" t="s">
        <v>413</v>
      </c>
      <c r="G196" s="20" t="s">
        <v>24</v>
      </c>
      <c r="H196" s="20" t="s">
        <v>24</v>
      </c>
      <c r="I196" s="20" t="s">
        <v>33</v>
      </c>
      <c r="J196" s="16" t="s">
        <v>26</v>
      </c>
      <c r="K196" s="16" t="s">
        <v>62</v>
      </c>
      <c r="L196" s="16" t="s">
        <v>34</v>
      </c>
      <c r="M196" s="16" t="s">
        <v>29</v>
      </c>
      <c r="N196" s="18" t="s">
        <v>30</v>
      </c>
      <c r="O196" s="16"/>
      <c r="P196" s="23"/>
      <c r="Q196" s="23"/>
      <c r="R196" s="29">
        <f t="shared" si="23"/>
        <v>1</v>
      </c>
      <c r="S196" s="30" t="str">
        <f t="shared" si="22"/>
        <v>P00.204</v>
      </c>
    </row>
    <row r="197" spans="1:19">
      <c r="A197" s="16"/>
      <c r="B197" s="36"/>
      <c r="C197" s="16"/>
      <c r="D197" s="21">
        <f t="shared" si="15"/>
        <v>205</v>
      </c>
      <c r="E197" s="18" t="s">
        <v>31</v>
      </c>
      <c r="F197" s="23" t="s">
        <v>414</v>
      </c>
      <c r="G197" s="20" t="s">
        <v>24</v>
      </c>
      <c r="H197" s="20" t="s">
        <v>24</v>
      </c>
      <c r="I197" s="20" t="s">
        <v>33</v>
      </c>
      <c r="J197" s="16" t="s">
        <v>26</v>
      </c>
      <c r="K197" s="16" t="s">
        <v>62</v>
      </c>
      <c r="L197" s="16" t="s">
        <v>34</v>
      </c>
      <c r="M197" s="16" t="s">
        <v>29</v>
      </c>
      <c r="N197" s="18" t="s">
        <v>30</v>
      </c>
      <c r="O197" s="16"/>
      <c r="P197" s="23"/>
      <c r="Q197" s="23"/>
      <c r="R197" s="29">
        <f t="shared" si="23"/>
        <v>1</v>
      </c>
      <c r="S197" s="30" t="str">
        <f t="shared" si="22"/>
        <v>P00.205</v>
      </c>
    </row>
    <row r="198" spans="1:19">
      <c r="A198" s="16"/>
      <c r="B198" s="36"/>
      <c r="C198" s="16"/>
      <c r="D198" s="21">
        <f t="shared" ref="D198:D233" si="24">INDEX(D:D,ROW()-1)+_xlfn.IFS(INDEX(E:E,ROW()-1)="u16",1,INDEX(E:E,ROW()-1)="s16",1,INDEX(E:E,ROW()-1)="s32",2,INDEX(E:E,ROW()-1)="s64",4,INDEX(E:E,ROW()-1)="u16",1,INDEX(E:E,ROW()-1)="u32",2,INDEX(E:E,ROW()-1)="u64",4,INDEX(E:E,ROW()-1)="f32",2,INDEX(E:E,ROW()-1)="f64",4)</f>
        <v>206</v>
      </c>
      <c r="E198" s="18" t="s">
        <v>31</v>
      </c>
      <c r="F198" s="23" t="s">
        <v>415</v>
      </c>
      <c r="G198" s="20" t="s">
        <v>24</v>
      </c>
      <c r="H198" s="20" t="s">
        <v>24</v>
      </c>
      <c r="I198" s="20" t="s">
        <v>33</v>
      </c>
      <c r="J198" s="16" t="s">
        <v>26</v>
      </c>
      <c r="K198" s="16" t="s">
        <v>62</v>
      </c>
      <c r="L198" s="16" t="s">
        <v>34</v>
      </c>
      <c r="M198" s="16" t="s">
        <v>29</v>
      </c>
      <c r="N198" s="18" t="s">
        <v>30</v>
      </c>
      <c r="O198" s="16"/>
      <c r="P198" s="23"/>
      <c r="Q198" s="23"/>
      <c r="R198" s="29">
        <f t="shared" si="23"/>
        <v>1</v>
      </c>
      <c r="S198" s="30" t="str">
        <f t="shared" si="22"/>
        <v>P00.206</v>
      </c>
    </row>
    <row r="199" spans="1:19">
      <c r="A199" s="16"/>
      <c r="B199" s="36"/>
      <c r="C199" s="16"/>
      <c r="D199" s="21">
        <f t="shared" si="24"/>
        <v>207</v>
      </c>
      <c r="E199" s="18" t="s">
        <v>31</v>
      </c>
      <c r="F199" s="23" t="s">
        <v>416</v>
      </c>
      <c r="G199" s="20" t="s">
        <v>24</v>
      </c>
      <c r="H199" s="20" t="s">
        <v>24</v>
      </c>
      <c r="I199" s="20" t="s">
        <v>33</v>
      </c>
      <c r="J199" s="16" t="s">
        <v>26</v>
      </c>
      <c r="K199" s="16" t="s">
        <v>62</v>
      </c>
      <c r="L199" s="16" t="s">
        <v>34</v>
      </c>
      <c r="M199" s="16" t="s">
        <v>29</v>
      </c>
      <c r="N199" s="18" t="s">
        <v>30</v>
      </c>
      <c r="O199" s="16"/>
      <c r="P199" s="23"/>
      <c r="Q199" s="23"/>
      <c r="R199" s="29">
        <f t="shared" si="23"/>
        <v>1</v>
      </c>
      <c r="S199" s="30" t="str">
        <f t="shared" si="22"/>
        <v>P00.207</v>
      </c>
    </row>
    <row r="200" spans="1:19">
      <c r="A200" s="16"/>
      <c r="B200" s="36"/>
      <c r="C200" s="16"/>
      <c r="D200" s="21">
        <f t="shared" si="24"/>
        <v>208</v>
      </c>
      <c r="E200" s="18" t="s">
        <v>31</v>
      </c>
      <c r="F200" s="23" t="s">
        <v>417</v>
      </c>
      <c r="G200" s="20" t="s">
        <v>24</v>
      </c>
      <c r="H200" s="20" t="s">
        <v>24</v>
      </c>
      <c r="I200" s="20" t="s">
        <v>33</v>
      </c>
      <c r="J200" s="16" t="s">
        <v>26</v>
      </c>
      <c r="K200" s="16" t="s">
        <v>62</v>
      </c>
      <c r="L200" s="16" t="s">
        <v>34</v>
      </c>
      <c r="M200" s="16" t="s">
        <v>29</v>
      </c>
      <c r="N200" s="18" t="s">
        <v>30</v>
      </c>
      <c r="O200" s="16"/>
      <c r="P200" s="23"/>
      <c r="Q200" s="23"/>
      <c r="R200" s="29">
        <f t="shared" si="23"/>
        <v>1</v>
      </c>
      <c r="S200" s="30" t="str">
        <f t="shared" si="22"/>
        <v>P00.208</v>
      </c>
    </row>
    <row r="201" spans="1:19">
      <c r="A201" s="16"/>
      <c r="B201" s="36"/>
      <c r="C201" s="16"/>
      <c r="D201" s="21">
        <f t="shared" si="24"/>
        <v>209</v>
      </c>
      <c r="E201" s="18" t="s">
        <v>31</v>
      </c>
      <c r="F201" s="23"/>
      <c r="G201" s="20" t="s">
        <v>24</v>
      </c>
      <c r="H201" s="20" t="s">
        <v>24</v>
      </c>
      <c r="I201" s="20" t="s">
        <v>33</v>
      </c>
      <c r="J201" s="16" t="s">
        <v>26</v>
      </c>
      <c r="K201" s="16" t="s">
        <v>27</v>
      </c>
      <c r="L201" s="16" t="s">
        <v>34</v>
      </c>
      <c r="M201" s="16" t="s">
        <v>29</v>
      </c>
      <c r="N201" s="18" t="s">
        <v>30</v>
      </c>
      <c r="O201" s="16"/>
      <c r="P201" s="23"/>
      <c r="Q201" s="23"/>
      <c r="R201" s="29">
        <f t="shared" si="23"/>
        <v>1</v>
      </c>
      <c r="S201" s="30" t="str">
        <f t="shared" si="22"/>
        <v>P00.209</v>
      </c>
    </row>
    <row r="202" spans="1:19">
      <c r="A202" s="16"/>
      <c r="B202" s="36"/>
      <c r="C202" s="16"/>
      <c r="D202" s="21">
        <f t="shared" si="24"/>
        <v>210</v>
      </c>
      <c r="E202" s="18" t="s">
        <v>31</v>
      </c>
      <c r="F202" s="23"/>
      <c r="G202" s="20" t="s">
        <v>24</v>
      </c>
      <c r="H202" s="20" t="s">
        <v>24</v>
      </c>
      <c r="I202" s="20" t="s">
        <v>33</v>
      </c>
      <c r="J202" s="16" t="s">
        <v>26</v>
      </c>
      <c r="K202" s="16" t="s">
        <v>27</v>
      </c>
      <c r="L202" s="16" t="s">
        <v>34</v>
      </c>
      <c r="M202" s="16" t="s">
        <v>29</v>
      </c>
      <c r="N202" s="18" t="s">
        <v>30</v>
      </c>
      <c r="O202" s="16"/>
      <c r="P202" s="23"/>
      <c r="Q202" s="23"/>
      <c r="R202" s="29">
        <f t="shared" si="23"/>
        <v>1</v>
      </c>
      <c r="S202" s="30" t="str">
        <f t="shared" si="22"/>
        <v>P00.210</v>
      </c>
    </row>
    <row r="203" spans="1:19">
      <c r="A203" s="16"/>
      <c r="B203" s="37"/>
      <c r="C203" s="16"/>
      <c r="D203" s="21">
        <f t="shared" si="24"/>
        <v>211</v>
      </c>
      <c r="E203" s="18" t="s">
        <v>31</v>
      </c>
      <c r="F203" s="23"/>
      <c r="G203" s="20" t="s">
        <v>24</v>
      </c>
      <c r="H203" s="20" t="s">
        <v>24</v>
      </c>
      <c r="I203" s="20" t="s">
        <v>33</v>
      </c>
      <c r="J203" s="16" t="s">
        <v>26</v>
      </c>
      <c r="K203" s="16" t="s">
        <v>27</v>
      </c>
      <c r="L203" s="16" t="s">
        <v>34</v>
      </c>
      <c r="M203" s="16" t="s">
        <v>29</v>
      </c>
      <c r="N203" s="18" t="s">
        <v>30</v>
      </c>
      <c r="O203" s="16"/>
      <c r="P203" s="23"/>
      <c r="Q203" s="23"/>
      <c r="R203" s="29">
        <f t="shared" si="23"/>
        <v>1</v>
      </c>
      <c r="S203" s="30" t="str">
        <f t="shared" si="22"/>
        <v>P00.211</v>
      </c>
    </row>
    <row r="204" spans="1:19">
      <c r="A204" s="16">
        <v>4</v>
      </c>
      <c r="B204" s="16" t="s">
        <v>418</v>
      </c>
      <c r="C204" s="16" t="s">
        <v>419</v>
      </c>
      <c r="D204" s="21">
        <f t="shared" si="24"/>
        <v>212</v>
      </c>
      <c r="E204" s="18" t="s">
        <v>31</v>
      </c>
      <c r="F204" s="23" t="s">
        <v>420</v>
      </c>
      <c r="G204" s="20" t="s">
        <v>24</v>
      </c>
      <c r="H204" s="20" t="s">
        <v>24</v>
      </c>
      <c r="I204" s="20" t="s">
        <v>33</v>
      </c>
      <c r="J204" s="16" t="s">
        <v>26</v>
      </c>
      <c r="K204" s="16" t="s">
        <v>27</v>
      </c>
      <c r="L204" s="16" t="s">
        <v>34</v>
      </c>
      <c r="M204" s="16" t="s">
        <v>29</v>
      </c>
      <c r="N204" s="18" t="s">
        <v>30</v>
      </c>
      <c r="O204" s="16"/>
      <c r="P204" s="24" t="s">
        <v>421</v>
      </c>
      <c r="Q204" s="23"/>
      <c r="R204" s="29">
        <f t="shared" si="23"/>
        <v>1</v>
      </c>
      <c r="S204" s="30" t="str">
        <f t="shared" si="22"/>
        <v>P00.212</v>
      </c>
    </row>
    <row r="205" spans="1:19">
      <c r="A205" s="16"/>
      <c r="B205" s="16"/>
      <c r="C205" s="16"/>
      <c r="D205" s="21">
        <f t="shared" si="24"/>
        <v>213</v>
      </c>
      <c r="E205" s="18" t="s">
        <v>31</v>
      </c>
      <c r="F205" s="23" t="s">
        <v>422</v>
      </c>
      <c r="G205" s="20" t="s">
        <v>24</v>
      </c>
      <c r="H205" s="20" t="s">
        <v>24</v>
      </c>
      <c r="I205" s="20" t="s">
        <v>33</v>
      </c>
      <c r="J205" s="16" t="s">
        <v>26</v>
      </c>
      <c r="K205" s="16" t="s">
        <v>27</v>
      </c>
      <c r="L205" s="16" t="s">
        <v>34</v>
      </c>
      <c r="M205" s="16" t="s">
        <v>29</v>
      </c>
      <c r="N205" s="18" t="s">
        <v>30</v>
      </c>
      <c r="O205" s="16"/>
      <c r="P205" s="24" t="s">
        <v>423</v>
      </c>
      <c r="Q205" s="23"/>
      <c r="R205" s="29">
        <f t="shared" si="23"/>
        <v>1</v>
      </c>
      <c r="S205" s="30" t="str">
        <f t="shared" si="22"/>
        <v>P00.213</v>
      </c>
    </row>
    <row r="206" spans="1:19">
      <c r="A206" s="16"/>
      <c r="B206" s="16"/>
      <c r="C206" s="16"/>
      <c r="D206" s="21">
        <f t="shared" si="24"/>
        <v>214</v>
      </c>
      <c r="E206" s="18" t="s">
        <v>31</v>
      </c>
      <c r="F206" s="24" t="s">
        <v>424</v>
      </c>
      <c r="G206" s="20" t="s">
        <v>24</v>
      </c>
      <c r="H206" s="20" t="s">
        <v>24</v>
      </c>
      <c r="I206" s="20" t="s">
        <v>33</v>
      </c>
      <c r="J206" s="16" t="s">
        <v>26</v>
      </c>
      <c r="K206" s="16" t="s">
        <v>27</v>
      </c>
      <c r="L206" s="16" t="s">
        <v>28</v>
      </c>
      <c r="M206" s="16" t="s">
        <v>29</v>
      </c>
      <c r="N206" s="18" t="s">
        <v>30</v>
      </c>
      <c r="O206" s="16"/>
      <c r="P206" s="24" t="s">
        <v>425</v>
      </c>
      <c r="Q206" s="23"/>
      <c r="R206" s="29">
        <f t="shared" si="23"/>
        <v>1</v>
      </c>
      <c r="S206" s="30" t="str">
        <f t="shared" si="22"/>
        <v>P00.214</v>
      </c>
    </row>
    <row r="207" spans="1:19">
      <c r="A207" s="16"/>
      <c r="B207" s="16"/>
      <c r="C207" s="16"/>
      <c r="D207" s="21">
        <f t="shared" si="24"/>
        <v>215</v>
      </c>
      <c r="E207" s="18" t="s">
        <v>31</v>
      </c>
      <c r="F207" s="24" t="s">
        <v>426</v>
      </c>
      <c r="G207" s="20" t="s">
        <v>24</v>
      </c>
      <c r="H207" s="20" t="s">
        <v>24</v>
      </c>
      <c r="I207" s="20" t="s">
        <v>33</v>
      </c>
      <c r="J207" s="16" t="s">
        <v>26</v>
      </c>
      <c r="K207" s="16" t="s">
        <v>27</v>
      </c>
      <c r="L207" s="16" t="s">
        <v>28</v>
      </c>
      <c r="M207" s="16" t="s">
        <v>29</v>
      </c>
      <c r="N207" s="18" t="s">
        <v>30</v>
      </c>
      <c r="O207" s="16"/>
      <c r="P207" s="24" t="s">
        <v>427</v>
      </c>
      <c r="Q207" s="23"/>
      <c r="R207" s="29">
        <f t="shared" si="23"/>
        <v>1</v>
      </c>
      <c r="S207" s="30" t="str">
        <f t="shared" si="22"/>
        <v>P00.215</v>
      </c>
    </row>
    <row r="208" spans="1:19">
      <c r="A208" s="16"/>
      <c r="B208" s="16"/>
      <c r="C208" s="16"/>
      <c r="D208" s="21">
        <f t="shared" si="24"/>
        <v>216</v>
      </c>
      <c r="E208" s="18" t="s">
        <v>31</v>
      </c>
      <c r="F208" s="24" t="s">
        <v>428</v>
      </c>
      <c r="G208" s="20" t="s">
        <v>24</v>
      </c>
      <c r="H208" s="20" t="s">
        <v>24</v>
      </c>
      <c r="I208" s="20" t="s">
        <v>33</v>
      </c>
      <c r="J208" s="16" t="s">
        <v>26</v>
      </c>
      <c r="K208" s="16" t="s">
        <v>27</v>
      </c>
      <c r="L208" s="16" t="s">
        <v>28</v>
      </c>
      <c r="M208" s="16" t="s">
        <v>29</v>
      </c>
      <c r="N208" s="18" t="s">
        <v>30</v>
      </c>
      <c r="O208" s="16"/>
      <c r="P208" s="24" t="s">
        <v>429</v>
      </c>
      <c r="Q208" s="23"/>
      <c r="R208" s="29">
        <f t="shared" si="23"/>
        <v>1</v>
      </c>
      <c r="S208" s="30" t="str">
        <f t="shared" si="22"/>
        <v>P00.216</v>
      </c>
    </row>
    <row r="209" spans="1:19">
      <c r="A209" s="16"/>
      <c r="B209" s="16"/>
      <c r="C209" s="16"/>
      <c r="D209" s="21">
        <f t="shared" si="24"/>
        <v>217</v>
      </c>
      <c r="E209" s="18" t="s">
        <v>31</v>
      </c>
      <c r="F209" s="24" t="s">
        <v>430</v>
      </c>
      <c r="G209" s="20" t="s">
        <v>24</v>
      </c>
      <c r="H209" s="20" t="s">
        <v>24</v>
      </c>
      <c r="I209" s="20" t="s">
        <v>33</v>
      </c>
      <c r="J209" s="16" t="s">
        <v>26</v>
      </c>
      <c r="K209" s="16" t="s">
        <v>27</v>
      </c>
      <c r="L209" s="16" t="s">
        <v>28</v>
      </c>
      <c r="M209" s="16" t="s">
        <v>29</v>
      </c>
      <c r="N209" s="18" t="s">
        <v>30</v>
      </c>
      <c r="O209" s="16"/>
      <c r="P209" s="24" t="s">
        <v>431</v>
      </c>
      <c r="Q209" s="23"/>
      <c r="R209" s="29">
        <f t="shared" si="23"/>
        <v>1</v>
      </c>
      <c r="S209" s="30" t="str">
        <f t="shared" si="22"/>
        <v>P00.217</v>
      </c>
    </row>
    <row r="210" spans="1:19">
      <c r="A210" s="16"/>
      <c r="B210" s="16"/>
      <c r="C210" s="16"/>
      <c r="D210" s="21">
        <f t="shared" si="24"/>
        <v>218</v>
      </c>
      <c r="E210" s="18" t="s">
        <v>31</v>
      </c>
      <c r="F210" s="24" t="s">
        <v>432</v>
      </c>
      <c r="G210" s="20" t="s">
        <v>24</v>
      </c>
      <c r="H210" s="20" t="s">
        <v>24</v>
      </c>
      <c r="I210" s="20" t="s">
        <v>33</v>
      </c>
      <c r="J210" s="16" t="s">
        <v>26</v>
      </c>
      <c r="K210" s="16" t="s">
        <v>27</v>
      </c>
      <c r="L210" s="16" t="s">
        <v>28</v>
      </c>
      <c r="M210" s="16" t="s">
        <v>29</v>
      </c>
      <c r="N210" s="18" t="s">
        <v>30</v>
      </c>
      <c r="O210" s="16"/>
      <c r="P210" s="24" t="s">
        <v>433</v>
      </c>
      <c r="Q210" s="23"/>
      <c r="R210" s="29">
        <f t="shared" si="23"/>
        <v>1</v>
      </c>
      <c r="S210" s="30" t="str">
        <f t="shared" si="22"/>
        <v>P00.218</v>
      </c>
    </row>
    <row r="211" spans="1:19">
      <c r="A211" s="16"/>
      <c r="B211" s="16"/>
      <c r="C211" s="16"/>
      <c r="D211" s="21">
        <f t="shared" si="24"/>
        <v>219</v>
      </c>
      <c r="E211" s="18" t="s">
        <v>21</v>
      </c>
      <c r="F211" s="24" t="s">
        <v>434</v>
      </c>
      <c r="G211" s="20" t="s">
        <v>24</v>
      </c>
      <c r="H211" s="20" t="s">
        <v>24</v>
      </c>
      <c r="I211" s="20" t="s">
        <v>25</v>
      </c>
      <c r="J211" s="16" t="s">
        <v>389</v>
      </c>
      <c r="K211" s="16" t="s">
        <v>27</v>
      </c>
      <c r="L211" s="16" t="s">
        <v>28</v>
      </c>
      <c r="M211" s="16" t="s">
        <v>29</v>
      </c>
      <c r="N211" s="18" t="s">
        <v>30</v>
      </c>
      <c r="O211" s="16"/>
      <c r="P211" s="24" t="s">
        <v>435</v>
      </c>
      <c r="Q211" s="23"/>
      <c r="R211" s="29">
        <f t="shared" si="23"/>
        <v>1</v>
      </c>
      <c r="S211" s="30" t="str">
        <f t="shared" si="22"/>
        <v>P00.219</v>
      </c>
    </row>
    <row r="212" spans="1:19">
      <c r="A212" s="16"/>
      <c r="B212" s="16"/>
      <c r="C212" s="16"/>
      <c r="D212" s="21">
        <f t="shared" si="24"/>
        <v>221</v>
      </c>
      <c r="E212" s="18" t="s">
        <v>21</v>
      </c>
      <c r="F212" s="24" t="s">
        <v>436</v>
      </c>
      <c r="G212" s="20" t="s">
        <v>24</v>
      </c>
      <c r="H212" s="20" t="s">
        <v>24</v>
      </c>
      <c r="I212" s="20" t="s">
        <v>25</v>
      </c>
      <c r="J212" s="16" t="s">
        <v>389</v>
      </c>
      <c r="K212" s="16" t="s">
        <v>27</v>
      </c>
      <c r="L212" s="16" t="s">
        <v>28</v>
      </c>
      <c r="M212" s="16" t="s">
        <v>29</v>
      </c>
      <c r="N212" s="18" t="s">
        <v>30</v>
      </c>
      <c r="O212" s="16"/>
      <c r="P212" s="24" t="s">
        <v>437</v>
      </c>
      <c r="Q212" s="23"/>
      <c r="R212" s="29">
        <f t="shared" si="23"/>
        <v>1</v>
      </c>
      <c r="S212" s="30" t="str">
        <f t="shared" si="22"/>
        <v>P00.221</v>
      </c>
    </row>
    <row r="213" spans="1:19">
      <c r="A213" s="16"/>
      <c r="B213" s="16"/>
      <c r="C213" s="16"/>
      <c r="D213" s="21">
        <f t="shared" si="24"/>
        <v>223</v>
      </c>
      <c r="E213" s="18" t="s">
        <v>21</v>
      </c>
      <c r="F213" s="24" t="s">
        <v>438</v>
      </c>
      <c r="G213" s="20" t="s">
        <v>24</v>
      </c>
      <c r="H213" s="20" t="s">
        <v>24</v>
      </c>
      <c r="I213" s="20" t="s">
        <v>25</v>
      </c>
      <c r="J213" s="16" t="s">
        <v>389</v>
      </c>
      <c r="K213" s="16" t="s">
        <v>27</v>
      </c>
      <c r="L213" s="16" t="s">
        <v>28</v>
      </c>
      <c r="M213" s="16" t="s">
        <v>29</v>
      </c>
      <c r="N213" s="18" t="s">
        <v>30</v>
      </c>
      <c r="O213" s="16"/>
      <c r="P213" s="24" t="s">
        <v>439</v>
      </c>
      <c r="Q213" s="23"/>
      <c r="R213" s="29">
        <f t="shared" si="23"/>
        <v>1</v>
      </c>
      <c r="S213" s="30" t="str">
        <f t="shared" si="22"/>
        <v>P00.223</v>
      </c>
    </row>
    <row r="214" spans="1:19">
      <c r="A214" s="16"/>
      <c r="B214" s="16"/>
      <c r="C214" s="16"/>
      <c r="D214" s="21">
        <f t="shared" si="24"/>
        <v>225</v>
      </c>
      <c r="E214" s="18" t="s">
        <v>21</v>
      </c>
      <c r="F214" s="24" t="s">
        <v>440</v>
      </c>
      <c r="G214" s="20" t="s">
        <v>24</v>
      </c>
      <c r="H214" s="20" t="s">
        <v>24</v>
      </c>
      <c r="I214" s="20" t="s">
        <v>25</v>
      </c>
      <c r="J214" s="16" t="s">
        <v>389</v>
      </c>
      <c r="K214" s="16" t="s">
        <v>27</v>
      </c>
      <c r="L214" s="16" t="s">
        <v>28</v>
      </c>
      <c r="M214" s="16" t="s">
        <v>29</v>
      </c>
      <c r="N214" s="18" t="s">
        <v>30</v>
      </c>
      <c r="O214" s="16"/>
      <c r="P214" s="24" t="s">
        <v>441</v>
      </c>
      <c r="Q214" s="23"/>
      <c r="R214" s="29">
        <f t="shared" si="23"/>
        <v>1</v>
      </c>
      <c r="S214" s="30" t="str">
        <f t="shared" si="22"/>
        <v>P00.225</v>
      </c>
    </row>
    <row r="215" spans="1:19">
      <c r="A215" s="16"/>
      <c r="B215" s="16"/>
      <c r="C215" s="16"/>
      <c r="D215" s="21">
        <f t="shared" si="24"/>
        <v>227</v>
      </c>
      <c r="E215" s="18" t="s">
        <v>21</v>
      </c>
      <c r="F215" s="24" t="s">
        <v>442</v>
      </c>
      <c r="G215" s="20" t="s">
        <v>24</v>
      </c>
      <c r="H215" s="20" t="s">
        <v>24</v>
      </c>
      <c r="I215" s="20" t="s">
        <v>25</v>
      </c>
      <c r="J215" s="16" t="s">
        <v>389</v>
      </c>
      <c r="K215" s="16" t="s">
        <v>27</v>
      </c>
      <c r="L215" s="16" t="s">
        <v>28</v>
      </c>
      <c r="M215" s="16" t="s">
        <v>29</v>
      </c>
      <c r="N215" s="18" t="s">
        <v>30</v>
      </c>
      <c r="O215" s="16"/>
      <c r="P215" s="24" t="s">
        <v>443</v>
      </c>
      <c r="Q215" s="23"/>
      <c r="R215" s="29">
        <f t="shared" si="23"/>
        <v>1</v>
      </c>
      <c r="S215" s="30" t="str">
        <f t="shared" si="22"/>
        <v>P00.227</v>
      </c>
    </row>
    <row r="216" spans="1:19">
      <c r="A216" s="16"/>
      <c r="B216" s="16"/>
      <c r="C216" s="16"/>
      <c r="D216" s="21">
        <f t="shared" si="24"/>
        <v>229</v>
      </c>
      <c r="E216" s="18" t="s">
        <v>31</v>
      </c>
      <c r="F216" s="23"/>
      <c r="G216" s="20" t="s">
        <v>24</v>
      </c>
      <c r="H216" s="20" t="s">
        <v>24</v>
      </c>
      <c r="I216" s="20" t="s">
        <v>33</v>
      </c>
      <c r="J216" s="16" t="s">
        <v>26</v>
      </c>
      <c r="K216" s="16" t="s">
        <v>27</v>
      </c>
      <c r="L216" s="16" t="s">
        <v>34</v>
      </c>
      <c r="M216" s="16" t="s">
        <v>29</v>
      </c>
      <c r="N216" s="18" t="s">
        <v>30</v>
      </c>
      <c r="O216" s="16"/>
      <c r="P216" s="23"/>
      <c r="Q216" s="23"/>
      <c r="R216" s="29">
        <f t="shared" si="23"/>
        <v>1</v>
      </c>
      <c r="S216" s="30" t="str">
        <f t="shared" si="22"/>
        <v>P00.229</v>
      </c>
    </row>
    <row r="217" spans="1:19">
      <c r="A217" s="16"/>
      <c r="B217" s="16"/>
      <c r="C217" s="16"/>
      <c r="D217" s="21">
        <f t="shared" si="24"/>
        <v>230</v>
      </c>
      <c r="E217" s="18" t="s">
        <v>31</v>
      </c>
      <c r="F217" s="23"/>
      <c r="G217" s="20" t="s">
        <v>24</v>
      </c>
      <c r="H217" s="20" t="s">
        <v>24</v>
      </c>
      <c r="I217" s="20" t="s">
        <v>33</v>
      </c>
      <c r="J217" s="16" t="s">
        <v>26</v>
      </c>
      <c r="K217" s="16" t="s">
        <v>27</v>
      </c>
      <c r="L217" s="16" t="s">
        <v>34</v>
      </c>
      <c r="M217" s="16" t="s">
        <v>29</v>
      </c>
      <c r="N217" s="18" t="s">
        <v>30</v>
      </c>
      <c r="O217" s="16"/>
      <c r="P217" s="23"/>
      <c r="Q217" s="23"/>
      <c r="R217" s="29">
        <f t="shared" si="23"/>
        <v>1</v>
      </c>
      <c r="S217" s="30" t="str">
        <f t="shared" si="22"/>
        <v>P00.230</v>
      </c>
    </row>
    <row r="218" ht="66" spans="1:19">
      <c r="A218" s="16">
        <v>5</v>
      </c>
      <c r="B218" s="16"/>
      <c r="C218" s="16"/>
      <c r="D218" s="21">
        <f t="shared" si="24"/>
        <v>231</v>
      </c>
      <c r="E218" s="18" t="s">
        <v>31</v>
      </c>
      <c r="F218" s="23" t="s">
        <v>444</v>
      </c>
      <c r="G218" s="20" t="s">
        <v>24</v>
      </c>
      <c r="H218" s="20" t="s">
        <v>24</v>
      </c>
      <c r="I218" s="20" t="s">
        <v>445</v>
      </c>
      <c r="J218" s="16" t="s">
        <v>26</v>
      </c>
      <c r="K218" s="16" t="s">
        <v>27</v>
      </c>
      <c r="L218" s="16" t="s">
        <v>34</v>
      </c>
      <c r="M218" s="16" t="s">
        <v>29</v>
      </c>
      <c r="N218" s="18" t="s">
        <v>30</v>
      </c>
      <c r="O218" s="16"/>
      <c r="P218" s="23" t="s">
        <v>446</v>
      </c>
      <c r="Q218" s="31" t="s">
        <v>447</v>
      </c>
      <c r="R218" s="29">
        <f t="shared" si="23"/>
        <v>0</v>
      </c>
      <c r="S218" s="30" t="str">
        <f t="shared" si="22"/>
        <v>P00.231</v>
      </c>
    </row>
    <row r="219" spans="1:19">
      <c r="A219" s="16"/>
      <c r="B219" s="16"/>
      <c r="C219" s="16"/>
      <c r="D219" s="21">
        <f t="shared" si="24"/>
        <v>232</v>
      </c>
      <c r="E219" s="18" t="s">
        <v>21</v>
      </c>
      <c r="F219" s="24" t="s">
        <v>448</v>
      </c>
      <c r="G219" s="20" t="s">
        <v>24</v>
      </c>
      <c r="H219" s="20" t="s">
        <v>24</v>
      </c>
      <c r="I219" s="20" t="s">
        <v>25</v>
      </c>
      <c r="J219" s="16" t="s">
        <v>389</v>
      </c>
      <c r="K219" s="16" t="s">
        <v>27</v>
      </c>
      <c r="L219" s="16" t="s">
        <v>28</v>
      </c>
      <c r="M219" s="16" t="s">
        <v>29</v>
      </c>
      <c r="N219" s="18" t="s">
        <v>30</v>
      </c>
      <c r="O219" s="16"/>
      <c r="P219" s="24" t="s">
        <v>449</v>
      </c>
      <c r="Q219" s="23"/>
      <c r="R219" s="29">
        <f t="shared" si="23"/>
        <v>1</v>
      </c>
      <c r="S219" s="30" t="str">
        <f t="shared" si="22"/>
        <v>P00.232</v>
      </c>
    </row>
    <row r="220" spans="1:19">
      <c r="A220" s="16"/>
      <c r="B220" s="16"/>
      <c r="C220" s="16"/>
      <c r="D220" s="21">
        <f t="shared" si="24"/>
        <v>234</v>
      </c>
      <c r="E220" s="18" t="s">
        <v>31</v>
      </c>
      <c r="F220" s="23"/>
      <c r="G220" s="20" t="s">
        <v>24</v>
      </c>
      <c r="H220" s="20" t="s">
        <v>24</v>
      </c>
      <c r="I220" s="20" t="s">
        <v>33</v>
      </c>
      <c r="J220" s="16" t="s">
        <v>26</v>
      </c>
      <c r="K220" s="16" t="s">
        <v>27</v>
      </c>
      <c r="L220" s="16" t="s">
        <v>34</v>
      </c>
      <c r="M220" s="16" t="s">
        <v>29</v>
      </c>
      <c r="N220" s="18" t="s">
        <v>30</v>
      </c>
      <c r="O220" s="16"/>
      <c r="P220" s="23"/>
      <c r="Q220" s="23"/>
      <c r="R220" s="29">
        <f t="shared" si="23"/>
        <v>1</v>
      </c>
      <c r="S220" s="30" t="str">
        <f t="shared" si="22"/>
        <v>P00.234</v>
      </c>
    </row>
    <row r="221" spans="1:19">
      <c r="A221" s="16"/>
      <c r="B221" s="16"/>
      <c r="C221" s="16"/>
      <c r="D221" s="21">
        <f t="shared" si="24"/>
        <v>235</v>
      </c>
      <c r="E221" s="18" t="s">
        <v>31</v>
      </c>
      <c r="F221" s="23"/>
      <c r="G221" s="20" t="s">
        <v>24</v>
      </c>
      <c r="H221" s="20" t="s">
        <v>24</v>
      </c>
      <c r="I221" s="20" t="s">
        <v>33</v>
      </c>
      <c r="J221" s="16" t="s">
        <v>26</v>
      </c>
      <c r="K221" s="16" t="s">
        <v>27</v>
      </c>
      <c r="L221" s="16" t="s">
        <v>34</v>
      </c>
      <c r="M221" s="16" t="s">
        <v>29</v>
      </c>
      <c r="N221" s="18" t="s">
        <v>30</v>
      </c>
      <c r="O221" s="16"/>
      <c r="P221" s="23"/>
      <c r="Q221" s="23"/>
      <c r="R221" s="29">
        <f t="shared" si="23"/>
        <v>1</v>
      </c>
      <c r="S221" s="30" t="str">
        <f t="shared" si="22"/>
        <v>P00.235</v>
      </c>
    </row>
    <row r="222" spans="1:19">
      <c r="A222" s="16"/>
      <c r="B222" s="16"/>
      <c r="C222" s="16"/>
      <c r="D222" s="21">
        <f t="shared" si="24"/>
        <v>236</v>
      </c>
      <c r="E222" s="18" t="s">
        <v>31</v>
      </c>
      <c r="F222" s="24" t="s">
        <v>450</v>
      </c>
      <c r="G222" s="20" t="s">
        <v>24</v>
      </c>
      <c r="H222" s="20" t="s">
        <v>24</v>
      </c>
      <c r="I222" s="20" t="s">
        <v>33</v>
      </c>
      <c r="J222" s="16" t="s">
        <v>26</v>
      </c>
      <c r="K222" s="16" t="s">
        <v>27</v>
      </c>
      <c r="L222" s="16" t="s">
        <v>34</v>
      </c>
      <c r="M222" s="16" t="s">
        <v>29</v>
      </c>
      <c r="N222" s="18" t="s">
        <v>30</v>
      </c>
      <c r="O222" s="16"/>
      <c r="P222" s="24" t="s">
        <v>451</v>
      </c>
      <c r="Q222" s="23"/>
      <c r="R222" s="29">
        <f t="shared" ref="R222:R233" si="25">IF(OR(F222="",LEFT(TRIM(F222),3)=E222),1,0)</f>
        <v>1</v>
      </c>
      <c r="S222" s="30" t="str">
        <f t="shared" si="22"/>
        <v>P00.236</v>
      </c>
    </row>
    <row r="223" spans="1:19">
      <c r="A223" s="16"/>
      <c r="B223" s="16"/>
      <c r="C223" s="16"/>
      <c r="D223" s="21">
        <f t="shared" si="24"/>
        <v>237</v>
      </c>
      <c r="E223" s="18" t="s">
        <v>31</v>
      </c>
      <c r="F223" s="24" t="s">
        <v>452</v>
      </c>
      <c r="G223" s="20" t="s">
        <v>24</v>
      </c>
      <c r="H223" s="20" t="s">
        <v>24</v>
      </c>
      <c r="I223" s="20" t="s">
        <v>33</v>
      </c>
      <c r="J223" s="16" t="s">
        <v>26</v>
      </c>
      <c r="K223" s="16" t="s">
        <v>27</v>
      </c>
      <c r="L223" s="16" t="s">
        <v>34</v>
      </c>
      <c r="M223" s="16" t="s">
        <v>29</v>
      </c>
      <c r="N223" s="18" t="s">
        <v>30</v>
      </c>
      <c r="O223" s="16"/>
      <c r="P223" s="24" t="s">
        <v>453</v>
      </c>
      <c r="Q223" s="23"/>
      <c r="R223" s="29">
        <f t="shared" si="25"/>
        <v>1</v>
      </c>
      <c r="S223" s="30" t="str">
        <f t="shared" si="22"/>
        <v>P00.237</v>
      </c>
    </row>
    <row r="224" spans="1:19">
      <c r="A224" s="16"/>
      <c r="B224" s="16"/>
      <c r="C224" s="16"/>
      <c r="D224" s="21">
        <f t="shared" si="24"/>
        <v>238</v>
      </c>
      <c r="E224" s="18" t="s">
        <v>31</v>
      </c>
      <c r="F224" s="24" t="s">
        <v>454</v>
      </c>
      <c r="G224" s="20" t="s">
        <v>24</v>
      </c>
      <c r="H224" s="20" t="s">
        <v>24</v>
      </c>
      <c r="I224" s="20" t="s">
        <v>33</v>
      </c>
      <c r="J224" s="16" t="s">
        <v>26</v>
      </c>
      <c r="K224" s="16" t="s">
        <v>27</v>
      </c>
      <c r="L224" s="16" t="s">
        <v>34</v>
      </c>
      <c r="M224" s="16" t="s">
        <v>29</v>
      </c>
      <c r="N224" s="18" t="s">
        <v>30</v>
      </c>
      <c r="O224" s="16"/>
      <c r="P224" s="24" t="s">
        <v>455</v>
      </c>
      <c r="Q224" s="23"/>
      <c r="R224" s="29">
        <f t="shared" si="25"/>
        <v>1</v>
      </c>
      <c r="S224" s="30" t="str">
        <f t="shared" si="22"/>
        <v>P00.238</v>
      </c>
    </row>
    <row r="225" spans="1:19">
      <c r="A225" s="16"/>
      <c r="B225" s="16"/>
      <c r="C225" s="16"/>
      <c r="D225" s="21">
        <f t="shared" si="24"/>
        <v>239</v>
      </c>
      <c r="E225" s="18" t="s">
        <v>31</v>
      </c>
      <c r="F225" s="24" t="s">
        <v>456</v>
      </c>
      <c r="G225" s="20" t="s">
        <v>24</v>
      </c>
      <c r="H225" s="20" t="s">
        <v>24</v>
      </c>
      <c r="I225" s="20" t="s">
        <v>33</v>
      </c>
      <c r="J225" s="16" t="s">
        <v>26</v>
      </c>
      <c r="K225" s="16" t="s">
        <v>27</v>
      </c>
      <c r="L225" s="16" t="s">
        <v>34</v>
      </c>
      <c r="M225" s="16" t="s">
        <v>29</v>
      </c>
      <c r="N225" s="18" t="s">
        <v>30</v>
      </c>
      <c r="O225" s="16"/>
      <c r="P225" s="24" t="s">
        <v>457</v>
      </c>
      <c r="Q225" s="23"/>
      <c r="R225" s="29">
        <f t="shared" si="25"/>
        <v>1</v>
      </c>
      <c r="S225" s="30" t="str">
        <f t="shared" si="22"/>
        <v>P00.239</v>
      </c>
    </row>
    <row r="226" spans="1:19">
      <c r="A226" s="16"/>
      <c r="B226" s="16"/>
      <c r="C226" s="16"/>
      <c r="D226" s="21">
        <f t="shared" si="24"/>
        <v>240</v>
      </c>
      <c r="E226" s="18" t="s">
        <v>31</v>
      </c>
      <c r="F226" s="24"/>
      <c r="G226" s="20" t="s">
        <v>24</v>
      </c>
      <c r="H226" s="20" t="s">
        <v>24</v>
      </c>
      <c r="I226" s="20" t="s">
        <v>33</v>
      </c>
      <c r="J226" s="16" t="s">
        <v>26</v>
      </c>
      <c r="K226" s="16" t="s">
        <v>27</v>
      </c>
      <c r="L226" s="16" t="s">
        <v>34</v>
      </c>
      <c r="M226" s="16" t="s">
        <v>29</v>
      </c>
      <c r="N226" s="18" t="s">
        <v>30</v>
      </c>
      <c r="O226" s="16"/>
      <c r="P226" s="23"/>
      <c r="Q226" s="23"/>
      <c r="R226" s="29">
        <f t="shared" si="25"/>
        <v>1</v>
      </c>
      <c r="S226" s="30" t="str">
        <f t="shared" si="22"/>
        <v>P00.240</v>
      </c>
    </row>
    <row r="227" spans="1:19">
      <c r="A227" s="16"/>
      <c r="B227" s="16"/>
      <c r="C227" s="16"/>
      <c r="D227" s="21">
        <f t="shared" si="24"/>
        <v>241</v>
      </c>
      <c r="E227" s="18" t="s">
        <v>88</v>
      </c>
      <c r="F227" s="24" t="s">
        <v>458</v>
      </c>
      <c r="G227" s="20" t="s">
        <v>24</v>
      </c>
      <c r="H227" s="20" t="s">
        <v>90</v>
      </c>
      <c r="I227" s="20" t="s">
        <v>91</v>
      </c>
      <c r="J227" s="16" t="s">
        <v>459</v>
      </c>
      <c r="K227" s="16" t="s">
        <v>27</v>
      </c>
      <c r="L227" s="16" t="s">
        <v>34</v>
      </c>
      <c r="M227" s="16" t="s">
        <v>29</v>
      </c>
      <c r="N227" s="18" t="s">
        <v>30</v>
      </c>
      <c r="O227" s="16"/>
      <c r="P227" s="24" t="s">
        <v>460</v>
      </c>
      <c r="Q227" s="23"/>
      <c r="R227" s="29">
        <f t="shared" si="25"/>
        <v>1</v>
      </c>
      <c r="S227" s="30" t="str">
        <f t="shared" si="22"/>
        <v>P00.241</v>
      </c>
    </row>
    <row r="228" spans="1:19">
      <c r="A228" s="16"/>
      <c r="B228" s="16"/>
      <c r="C228" s="16"/>
      <c r="D228" s="21">
        <f t="shared" si="24"/>
        <v>242</v>
      </c>
      <c r="E228" s="18" t="s">
        <v>88</v>
      </c>
      <c r="F228" s="24" t="s">
        <v>461</v>
      </c>
      <c r="G228" s="20" t="s">
        <v>24</v>
      </c>
      <c r="H228" s="20" t="s">
        <v>90</v>
      </c>
      <c r="I228" s="20" t="s">
        <v>91</v>
      </c>
      <c r="J228" s="16" t="s">
        <v>459</v>
      </c>
      <c r="K228" s="16" t="s">
        <v>27</v>
      </c>
      <c r="L228" s="16" t="s">
        <v>34</v>
      </c>
      <c r="M228" s="16" t="s">
        <v>29</v>
      </c>
      <c r="N228" s="18" t="s">
        <v>30</v>
      </c>
      <c r="O228" s="16"/>
      <c r="P228" s="24" t="s">
        <v>462</v>
      </c>
      <c r="Q228" s="23"/>
      <c r="R228" s="29">
        <f t="shared" si="25"/>
        <v>1</v>
      </c>
      <c r="S228" s="30" t="str">
        <f t="shared" si="22"/>
        <v>P00.242</v>
      </c>
    </row>
    <row r="229" spans="1:19">
      <c r="A229" s="16"/>
      <c r="B229" s="16"/>
      <c r="C229" s="16"/>
      <c r="D229" s="21">
        <f t="shared" si="24"/>
        <v>243</v>
      </c>
      <c r="E229" s="18" t="s">
        <v>88</v>
      </c>
      <c r="F229" s="24" t="s">
        <v>463</v>
      </c>
      <c r="G229" s="20" t="s">
        <v>24</v>
      </c>
      <c r="H229" s="20" t="s">
        <v>90</v>
      </c>
      <c r="I229" s="20" t="s">
        <v>91</v>
      </c>
      <c r="J229" s="16" t="s">
        <v>459</v>
      </c>
      <c r="K229" s="16" t="s">
        <v>27</v>
      </c>
      <c r="L229" s="16" t="s">
        <v>34</v>
      </c>
      <c r="M229" s="16" t="s">
        <v>29</v>
      </c>
      <c r="N229" s="18" t="s">
        <v>30</v>
      </c>
      <c r="O229" s="16"/>
      <c r="P229" s="24" t="s">
        <v>464</v>
      </c>
      <c r="Q229" s="23"/>
      <c r="R229" s="29">
        <f t="shared" si="25"/>
        <v>1</v>
      </c>
      <c r="S229" s="30" t="str">
        <f t="shared" si="22"/>
        <v>P00.243</v>
      </c>
    </row>
    <row r="230" spans="1:19">
      <c r="A230" s="16"/>
      <c r="B230" s="16"/>
      <c r="C230" s="16"/>
      <c r="D230" s="21">
        <f t="shared" si="24"/>
        <v>244</v>
      </c>
      <c r="E230" s="18" t="s">
        <v>88</v>
      </c>
      <c r="F230" s="24" t="s">
        <v>465</v>
      </c>
      <c r="G230" s="20" t="s">
        <v>24</v>
      </c>
      <c r="H230" s="20" t="s">
        <v>90</v>
      </c>
      <c r="I230" s="20" t="s">
        <v>91</v>
      </c>
      <c r="J230" s="16" t="s">
        <v>459</v>
      </c>
      <c r="K230" s="16" t="s">
        <v>27</v>
      </c>
      <c r="L230" s="16" t="s">
        <v>34</v>
      </c>
      <c r="M230" s="16" t="s">
        <v>29</v>
      </c>
      <c r="N230" s="18" t="s">
        <v>30</v>
      </c>
      <c r="O230" s="16"/>
      <c r="P230" s="24" t="s">
        <v>466</v>
      </c>
      <c r="Q230" s="23"/>
      <c r="R230" s="29">
        <f t="shared" si="25"/>
        <v>1</v>
      </c>
      <c r="S230" s="30" t="str">
        <f t="shared" si="22"/>
        <v>P00.244</v>
      </c>
    </row>
    <row r="231" spans="1:19">
      <c r="A231" s="16"/>
      <c r="B231" s="16"/>
      <c r="C231" s="16"/>
      <c r="D231" s="21">
        <f t="shared" si="24"/>
        <v>245</v>
      </c>
      <c r="E231" s="18" t="s">
        <v>31</v>
      </c>
      <c r="F231" s="24" t="s">
        <v>467</v>
      </c>
      <c r="G231" s="20" t="s">
        <v>24</v>
      </c>
      <c r="H231" s="20" t="s">
        <v>24</v>
      </c>
      <c r="I231" s="20" t="s">
        <v>468</v>
      </c>
      <c r="J231" s="16" t="s">
        <v>469</v>
      </c>
      <c r="K231" s="16" t="s">
        <v>27</v>
      </c>
      <c r="L231" s="16" t="s">
        <v>34</v>
      </c>
      <c r="M231" s="16" t="s">
        <v>29</v>
      </c>
      <c r="N231" s="18" t="s">
        <v>30</v>
      </c>
      <c r="O231" s="16"/>
      <c r="P231" s="23" t="s">
        <v>470</v>
      </c>
      <c r="Q231" s="23"/>
      <c r="R231" s="29">
        <f t="shared" si="25"/>
        <v>1</v>
      </c>
      <c r="S231" s="30" t="str">
        <f t="shared" si="22"/>
        <v>P00.245</v>
      </c>
    </row>
    <row r="232" spans="1:19">
      <c r="A232" s="16"/>
      <c r="B232" s="16"/>
      <c r="C232" s="16"/>
      <c r="D232" s="21">
        <f t="shared" si="24"/>
        <v>246</v>
      </c>
      <c r="E232" s="18" t="s">
        <v>31</v>
      </c>
      <c r="F232" s="24"/>
      <c r="G232" s="20" t="s">
        <v>24</v>
      </c>
      <c r="H232" s="20" t="s">
        <v>24</v>
      </c>
      <c r="I232" s="20" t="s">
        <v>33</v>
      </c>
      <c r="J232" s="16" t="s">
        <v>26</v>
      </c>
      <c r="K232" s="16" t="s">
        <v>27</v>
      </c>
      <c r="L232" s="16" t="s">
        <v>34</v>
      </c>
      <c r="M232" s="16" t="s">
        <v>29</v>
      </c>
      <c r="N232" s="18" t="s">
        <v>30</v>
      </c>
      <c r="O232" s="16"/>
      <c r="P232" s="23"/>
      <c r="Q232" s="23"/>
      <c r="R232" s="29">
        <f t="shared" si="25"/>
        <v>1</v>
      </c>
      <c r="S232" s="30" t="str">
        <f t="shared" si="22"/>
        <v>P00.246</v>
      </c>
    </row>
    <row r="233" spans="1:19">
      <c r="A233" s="16"/>
      <c r="B233" s="16"/>
      <c r="C233" s="16"/>
      <c r="D233" s="21">
        <f t="shared" si="24"/>
        <v>247</v>
      </c>
      <c r="E233" s="18" t="s">
        <v>31</v>
      </c>
      <c r="F233" s="24"/>
      <c r="G233" s="20" t="s">
        <v>24</v>
      </c>
      <c r="H233" s="20" t="s">
        <v>24</v>
      </c>
      <c r="I233" s="20" t="s">
        <v>33</v>
      </c>
      <c r="J233" s="16" t="s">
        <v>26</v>
      </c>
      <c r="K233" s="16" t="s">
        <v>27</v>
      </c>
      <c r="L233" s="16" t="s">
        <v>34</v>
      </c>
      <c r="M233" s="16" t="s">
        <v>29</v>
      </c>
      <c r="N233" s="18" t="s">
        <v>30</v>
      </c>
      <c r="O233" s="16"/>
      <c r="P233" s="23"/>
      <c r="Q233" s="23"/>
      <c r="R233" s="29">
        <f t="shared" si="25"/>
        <v>1</v>
      </c>
      <c r="S233" s="30" t="str">
        <f t="shared" si="22"/>
        <v>P00.247</v>
      </c>
    </row>
  </sheetData>
  <mergeCells count="31">
    <mergeCell ref="J3:N3"/>
    <mergeCell ref="A3:A4"/>
    <mergeCell ref="A5:A28"/>
    <mergeCell ref="A29:A167"/>
    <mergeCell ref="A168:A203"/>
    <mergeCell ref="A204:A217"/>
    <mergeCell ref="A218:A233"/>
    <mergeCell ref="B3:B4"/>
    <mergeCell ref="B5:B28"/>
    <mergeCell ref="B29:B167"/>
    <mergeCell ref="B168:B203"/>
    <mergeCell ref="B204:B217"/>
    <mergeCell ref="B218:B233"/>
    <mergeCell ref="C3:C4"/>
    <mergeCell ref="C5:C28"/>
    <mergeCell ref="C29:C167"/>
    <mergeCell ref="C168:C203"/>
    <mergeCell ref="C204:C217"/>
    <mergeCell ref="C218:C233"/>
    <mergeCell ref="D3:D4"/>
    <mergeCell ref="E3:E4"/>
    <mergeCell ref="F3:F4"/>
    <mergeCell ref="G3:G4"/>
    <mergeCell ref="H3:H4"/>
    <mergeCell ref="I3:I4"/>
    <mergeCell ref="O3:O4"/>
    <mergeCell ref="P3:P4"/>
    <mergeCell ref="Q3:Q4"/>
    <mergeCell ref="S3:S4"/>
    <mergeCell ref="A1:C2"/>
    <mergeCell ref="D1:Q2"/>
  </mergeCells>
  <conditionalFormatting sqref="M4">
    <cfRule type="cellIs" dxfId="0" priority="85" operator="equal">
      <formula>"Admin"</formula>
    </cfRule>
    <cfRule type="cellIs" dxfId="1" priority="84" operator="equal">
      <formula>"User"</formula>
    </cfRule>
  </conditionalFormatting>
  <conditionalFormatting sqref="S6">
    <cfRule type="containsBlanks" dxfId="2" priority="1522">
      <formula>LEN(TRIM(S6))=0</formula>
    </cfRule>
  </conditionalFormatting>
  <conditionalFormatting sqref="S7">
    <cfRule type="containsBlanks" dxfId="2" priority="1499">
      <formula>LEN(TRIM(S7))=0</formula>
    </cfRule>
  </conditionalFormatting>
  <conditionalFormatting sqref="M12">
    <cfRule type="cellIs" dxfId="3" priority="77" operator="equal">
      <formula>"上限关联"</formula>
    </cfRule>
    <cfRule type="cellIs" dxfId="4" priority="76" operator="equal">
      <formula>"无关联"</formula>
    </cfRule>
    <cfRule type="cellIs" dxfId="5" priority="57" operator="equal">
      <formula>"下限关联"</formula>
    </cfRule>
    <cfRule type="cellIs" dxfId="6" priority="56" operator="equal">
      <formula>"上下限关联"</formula>
    </cfRule>
  </conditionalFormatting>
  <conditionalFormatting sqref="S12">
    <cfRule type="containsBlanks" dxfId="2" priority="28">
      <formula>LEN(TRIM(S12))=0</formula>
    </cfRule>
  </conditionalFormatting>
  <conditionalFormatting sqref="E32">
    <cfRule type="cellIs" priority="11" operator="equal">
      <formula>"s16"</formula>
    </cfRule>
    <cfRule type="cellIs" dxfId="7" priority="10" operator="equal">
      <formula>"s32"</formula>
    </cfRule>
    <cfRule type="cellIs" dxfId="8" priority="9" operator="equal">
      <formula>"s64"</formula>
    </cfRule>
    <cfRule type="cellIs" priority="8" operator="equal">
      <formula>"u16"</formula>
    </cfRule>
    <cfRule type="cellIs" dxfId="9" priority="7" operator="equal">
      <formula>"u32"</formula>
    </cfRule>
    <cfRule type="cellIs" dxfId="10" priority="6" operator="equal">
      <formula>"u64"</formula>
    </cfRule>
    <cfRule type="cellIs" dxfId="11" priority="5" operator="equal">
      <formula>"f32"</formula>
    </cfRule>
    <cfRule type="cellIs" dxfId="12" priority="4" operator="equal">
      <formula>"f64"</formula>
    </cfRule>
    <cfRule type="cellIs" dxfId="11" priority="3" operator="equal">
      <formula>"f32"</formula>
    </cfRule>
    <cfRule type="cellIs" dxfId="12" priority="2" operator="equal">
      <formula>"f64"</formula>
    </cfRule>
    <cfRule type="cellIs" dxfId="12" priority="1" operator="equal">
      <formula>"f64"</formula>
    </cfRule>
  </conditionalFormatting>
  <conditionalFormatting sqref="F32">
    <cfRule type="containsBlanks" dxfId="2" priority="15">
      <formula>LEN(TRIM(F32))=0</formula>
    </cfRule>
  </conditionalFormatting>
  <conditionalFormatting sqref="K32">
    <cfRule type="cellIs" dxfId="13" priority="22" operator="equal">
      <formula>"读写 - 停机更改，立即生效"</formula>
    </cfRule>
    <cfRule type="cellIs" dxfId="14" priority="17" operator="equal">
      <formula>"读写 - 立即更改，重启生效"</formula>
    </cfRule>
    <cfRule type="cellIs" dxfId="15" priority="16" operator="equal">
      <formula>"读写 - 立即更改，立即生效"</formula>
    </cfRule>
  </conditionalFormatting>
  <conditionalFormatting sqref="L32">
    <cfRule type="cellIs" dxfId="16" priority="13" operator="equal">
      <formula>"允许保存，可恢复"</formula>
    </cfRule>
    <cfRule type="cellIs" dxfId="17" priority="12" operator="equal">
      <formula>"允许保存，不可恢复"</formula>
    </cfRule>
  </conditionalFormatting>
  <conditionalFormatting sqref="M32">
    <cfRule type="cellIs" dxfId="3" priority="24" operator="equal">
      <formula>"上限关联"</formula>
    </cfRule>
    <cfRule type="cellIs" dxfId="4" priority="23" operator="equal">
      <formula>"无关联"</formula>
    </cfRule>
    <cfRule type="cellIs" dxfId="5" priority="19" operator="equal">
      <formula>"下限关联"</formula>
    </cfRule>
    <cfRule type="cellIs" dxfId="6" priority="18" operator="equal">
      <formula>"上下限关联"</formula>
    </cfRule>
  </conditionalFormatting>
  <conditionalFormatting sqref="N32">
    <cfRule type="cellIs" dxfId="1" priority="20" operator="equal">
      <formula>"User"</formula>
    </cfRule>
    <cfRule type="cellIs" dxfId="0" priority="14" operator="equal">
      <formula>"Admin"</formula>
    </cfRule>
  </conditionalFormatting>
  <conditionalFormatting sqref="P32">
    <cfRule type="containsBlanks" dxfId="2" priority="21">
      <formula>LEN(TRIM(P32))=0</formula>
    </cfRule>
  </conditionalFormatting>
  <conditionalFormatting sqref="U41">
    <cfRule type="cellIs" dxfId="12" priority="40" operator="equal">
      <formula>"f64"</formula>
    </cfRule>
    <cfRule type="cellIs" dxfId="12" priority="41" operator="equal">
      <formula>"f64"</formula>
    </cfRule>
    <cfRule type="cellIs" dxfId="11" priority="42" operator="equal">
      <formula>"f32"</formula>
    </cfRule>
    <cfRule type="cellIs" dxfId="12" priority="43" operator="equal">
      <formula>"f64"</formula>
    </cfRule>
    <cfRule type="cellIs" dxfId="11" priority="44" operator="equal">
      <formula>"f32"</formula>
    </cfRule>
    <cfRule type="cellIs" dxfId="10" priority="45" operator="equal">
      <formula>"u64"</formula>
    </cfRule>
    <cfRule type="cellIs" dxfId="9" priority="46" operator="equal">
      <formula>"u32"</formula>
    </cfRule>
    <cfRule type="cellIs" priority="47" operator="equal">
      <formula>"u16"</formula>
    </cfRule>
    <cfRule type="cellIs" dxfId="8" priority="48" operator="equal">
      <formula>"s64"</formula>
    </cfRule>
    <cfRule type="cellIs" dxfId="7" priority="49" operator="equal">
      <formula>"s32"</formula>
    </cfRule>
    <cfRule type="cellIs" priority="50" operator="equal">
      <formula>"s16"</formula>
    </cfRule>
  </conditionalFormatting>
  <conditionalFormatting sqref="S61">
    <cfRule type="containsBlanks" dxfId="2" priority="582">
      <formula>LEN(TRIM(S61))=0</formula>
    </cfRule>
  </conditionalFormatting>
  <conditionalFormatting sqref="S62">
    <cfRule type="containsBlanks" dxfId="2" priority="559">
      <formula>LEN(TRIM(S62))=0</formula>
    </cfRule>
  </conditionalFormatting>
  <conditionalFormatting sqref="I70">
    <cfRule type="containsBlanks" dxfId="2" priority="83">
      <formula>LEN(TRIM(I70))=0</formula>
    </cfRule>
  </conditionalFormatting>
  <conditionalFormatting sqref="S160">
    <cfRule type="containsBlanks" dxfId="2" priority="136">
      <formula>LEN(TRIM(S160))=0</formula>
    </cfRule>
  </conditionalFormatting>
  <conditionalFormatting sqref="Q$1:Q$1048576">
    <cfRule type="containsBlanks" dxfId="2" priority="1569">
      <formula>LEN(TRIM(Q1))=0</formula>
    </cfRule>
  </conditionalFormatting>
  <conditionalFormatting sqref="R$1:R$1048576">
    <cfRule type="cellIs" dxfId="18" priority="25" operator="equal">
      <formula>0</formula>
    </cfRule>
  </conditionalFormatting>
  <conditionalFormatting sqref="E1:E31 E33:E1048576">
    <cfRule type="cellIs" dxfId="12" priority="29" operator="equal">
      <formula>"f64"</formula>
    </cfRule>
    <cfRule type="cellIs" dxfId="12" priority="30" operator="equal">
      <formula>"f64"</formula>
    </cfRule>
    <cfRule type="cellIs" dxfId="11" priority="31" operator="equal">
      <formula>"f32"</formula>
    </cfRule>
    <cfRule type="cellIs" dxfId="12" priority="32" operator="equal">
      <formula>"f64"</formula>
    </cfRule>
    <cfRule type="cellIs" dxfId="11" priority="33" operator="equal">
      <formula>"f32"</formula>
    </cfRule>
    <cfRule type="cellIs" dxfId="10" priority="34" operator="equal">
      <formula>"u64"</formula>
    </cfRule>
    <cfRule type="cellIs" dxfId="9" priority="35" operator="equal">
      <formula>"u32"</formula>
    </cfRule>
    <cfRule type="cellIs" priority="36" operator="equal">
      <formula>"u16"</formula>
    </cfRule>
    <cfRule type="cellIs" dxfId="8" priority="37" operator="equal">
      <formula>"s64"</formula>
    </cfRule>
    <cfRule type="cellIs" dxfId="7" priority="38" operator="equal">
      <formula>"s32"</formula>
    </cfRule>
    <cfRule type="cellIs" priority="39" operator="equal">
      <formula>"s16"</formula>
    </cfRule>
  </conditionalFormatting>
  <conditionalFormatting sqref="F1:F31 F33:F1048576">
    <cfRule type="containsBlanks" dxfId="2" priority="61">
      <formula>LEN(TRIM(F1))=0</formula>
    </cfRule>
  </conditionalFormatting>
  <conditionalFormatting sqref="K1:K31 K33:K1048576">
    <cfRule type="cellIs" dxfId="15" priority="73" operator="equal">
      <formula>"读写 - 立即更改，立即生效"</formula>
    </cfRule>
    <cfRule type="cellIs" dxfId="14" priority="74" operator="equal">
      <formula>"读写 - 立即更改，重启生效"</formula>
    </cfRule>
    <cfRule type="cellIs" dxfId="13" priority="2409" operator="equal">
      <formula>"读写 - 停机更改，立即生效"</formula>
    </cfRule>
  </conditionalFormatting>
  <conditionalFormatting sqref="L1:L31 L33:L1048576">
    <cfRule type="cellIs" dxfId="17" priority="51" operator="equal">
      <formula>"允许保存，不可恢复"</formula>
    </cfRule>
    <cfRule type="cellIs" dxfId="16" priority="52" operator="equal">
      <formula>"允许保存，可恢复"</formula>
    </cfRule>
  </conditionalFormatting>
  <conditionalFormatting sqref="M1:M3 M5:M11 M13:M31 M33:M1048576">
    <cfRule type="cellIs" dxfId="6" priority="87" operator="equal">
      <formula>"上下限关联"</formula>
    </cfRule>
    <cfRule type="cellIs" dxfId="5" priority="88" operator="equal">
      <formula>"下限关联"</formula>
    </cfRule>
    <cfRule type="cellIs" dxfId="4" priority="2410" operator="equal">
      <formula>"无关联"</formula>
    </cfRule>
    <cfRule type="cellIs" dxfId="3" priority="2413" operator="equal">
      <formula>"上限关联"</formula>
    </cfRule>
  </conditionalFormatting>
  <conditionalFormatting sqref="N1:N31 N33:N1048576">
    <cfRule type="cellIs" dxfId="0" priority="59" operator="equal">
      <formula>"Admin"</formula>
    </cfRule>
    <cfRule type="cellIs" dxfId="1" priority="132" operator="equal">
      <formula>"User"</formula>
    </cfRule>
  </conditionalFormatting>
  <conditionalFormatting sqref="P1:P31 P33:P1048576">
    <cfRule type="containsBlanks" dxfId="2" priority="1568">
      <formula>LEN(TRIM(P1))=0</formula>
    </cfRule>
  </conditionalFormatting>
  <conditionalFormatting sqref="S5 S8:S11 S13:S54 S56 S167:S233 S58">
    <cfRule type="containsBlanks" dxfId="2" priority="1591">
      <formula>LEN(TRIM(S5))=0</formula>
    </cfRule>
  </conditionalFormatting>
  <conditionalFormatting sqref="S59:S60 S57 S55">
    <cfRule type="containsBlanks" dxfId="2" priority="1132">
      <formula>LEN(TRIM(S55))=0</formula>
    </cfRule>
  </conditionalFormatting>
  <conditionalFormatting sqref="S63:S67 S111:S135 S109 S107 S105 S103 S101 S99 S97 S95 S93 S91 S89 S87 S85 S83 S81 S79 S77 S75 S73 S71 S69">
    <cfRule type="containsBlanks" dxfId="2" priority="536">
      <formula>LEN(TRIM(S63))=0</formula>
    </cfRule>
  </conditionalFormatting>
  <conditionalFormatting sqref="S70 S110 S108 S106 S104 S102 S100 S98 S96 S94 S92 S90 S88 S86 S84 S82 S80 S78 S76 S74 S72 S68">
    <cfRule type="containsBlanks" dxfId="2" priority="274">
      <formula>LEN(TRIM(S68))=0</formula>
    </cfRule>
  </conditionalFormatting>
  <conditionalFormatting sqref="S136 S138 S140 S142 S144 S146 S148 S152:S153 S150 S155 S157 S159 S164:S165 S162">
    <cfRule type="containsBlanks" dxfId="2" priority="223">
      <formula>LEN(TRIM(S136))=0</formula>
    </cfRule>
  </conditionalFormatting>
  <conditionalFormatting sqref="S137 S139 S141 S143 S145 S147 S149 S151 S154 S156 S158 S163 S166 S161">
    <cfRule type="containsBlanks" dxfId="2" priority="200">
      <formula>LEN(TRIM(S137))=0</formula>
    </cfRule>
  </conditionalFormatting>
  <dataValidations count="7">
    <dataValidation type="list" allowBlank="1" showInputMessage="1" showErrorMessage="1" sqref="E5 E6 E7 E8 E9 E10 E11 E12 E13 E19 E20 E21 E22 E23 E24 E25 E26 E27 E28 E29 E30 E31 E32 E36 E37 E38 E39 E40 E41 U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36 E137 E138 E139 E140 E141 E142 E143 E144 E145 E146 E147 E148 E149 E150 E151 E152 E153 E154 E155 E156 E157 E158 E159 E160 E161 E162 E163 E164 E165 E166 E167 E174 E175 E176 E177 E178 E179 E180 E181 E182 E183 E184 E185 E186 E187 E188 E189 E190 E191 E192 E193 E194 E195 E196 E197 E198 E199 E200 E201 E202 E203 E204 E205 E220 E221 E222 E223 E229 E230 E14:E18 E33:E35 E110:E135 E168:E173 E206:E210 E211:E215 E216:E217 E218:E219 E227:E228">
      <formula1>"s16,u16,s32,u32,s64,u64,f32,f64"</formula1>
    </dataValidation>
    <dataValidation type="list" allowBlank="1" showInputMessage="1" showErrorMessage="1" sqref="J5 J6 J7 J8 J9 J10 J11 J12 J13 J20 J21 J22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36 J137 J138 J139 J140 J141 J142 J143 J144 J145 J146 J147 J148 J149 J150 J151 J152 J153 J154 J155 J156 J157 J158 J159 J160 J161 J162 J163 J164 J165 J166 J167 J174 J175 J176 J177 J178 J179 J180 J181 J182 J183 J184 J185 J186 J187 J188 J189 J190 J191 J192 J193 J194 J195 J196 J197 J198 J199 J200 J201 J202 J203 J204 J205 J206 J207 J208 J209 J210 J216 J217 J220 J221 J222 J223 J229 J230 J14:J19 J23:J24 J111:J135 J168:J171 J172:J173 J211:J215 J218:J219 J227:J228">
      <formula1>Unit!$A$2:$A$62</formula1>
    </dataValidation>
    <dataValidation type="list" allowBlank="1" showInputMessage="1" showErrorMessage="1" sqref="M5">
      <formula1>"无关联,下限关联,上限关联,上下限关联"</formula1>
    </dataValidation>
    <dataValidation type="list" allowBlank="1" showInputMessage="1" showErrorMessage="1" sqref="K5 K6 K7 K8 K9 K10 K11 K12 K13 K20 K21 K22 K25 K26 K27 K28 K29 K30 K31 K32 K36 K37 K38 K39 K40 K41 K42 K43 K44 K45 K46 K47 K48 K49 K50 K51 K52 K53 K54 K55 K56 K57 K58 K59 K60 K61 K62 K63 K64 K65 K66 K67 K68 K69 K70 K71 K136 K137 K159 K165 K166 K167 K174 K175 K201 K202 K203 K204 K205 K206 K207 K208 K209 K210 K211 K214 K215 K220 K221 K229 K230 K14:K19 K23:K24 K33:K35 K72:K110 K111:K135 K138:K158 K160:K164 K168:K170 K171:K173 K176:K191 K192:K200 K212:K213 K216:K217 K218:K219 K222:K223 K227:K228">
      <formula1>"只读,读写 - 立即更改，立即生效,读写 - 立即更改，重启生效,读写 - 停机更改，立即生效"</formula1>
    </dataValidation>
    <dataValidation type="list" allowBlank="1" showInputMessage="1" showErrorMessage="1" sqref="L5 L21 L22 L25 L26 L27 L28 L29 L30 L31 L32 L36 L37 L38 L42 L46 L50 L54 L55 L56 L57 L58 L59 L60 L61 L62 L63 L67 L68 L69 L70 L71 L136 L137 L138 L139 L140 L141 L142 L143 L144 L145 L146 L147 L148 L149 L150 L151 L152 L153 L154 L155 L156 L157 L158 L159 L160 L161 L162 L163 L164 L165 L166 L167 L174 L175 L176 L177 L178 L179 L180 L181 L182 L183 L184 L185 L186 L187 L188 L189 L190 L191 L192 L193 L194 L195 L196 L197 L198 L199 L200 L201 L202 L203 L204 L205 L206 L207 L208 L209 L210 L211 L214 L215 L220 L221 L222 L223 L229 L230 L6:L20 L23:L24 L33:L35 L39:L41 L43:L45 L47:L49 L51:L53 L64:L66 L72:L110 L111:L135 L168:L173 L212:L213 L216:L217 L218:L219 L227:L228">
      <formula1>"允许保存，可恢复,允许保存，不可恢复,不允许保存，不可恢复"</formula1>
    </dataValidation>
    <dataValidation type="list" allowBlank="1" showInputMessage="1" showErrorMessage="1" sqref="M12 M32 M6:M11 M13:M22 M23:M31 M33:M71 M72:M221 M222:M233">
      <formula1>"无关联,上限关联,下限关联,上下限关联"</formula1>
    </dataValidation>
    <dataValidation type="list" allowBlank="1" showInputMessage="1" showErrorMessage="1" sqref="N5 N6 N7 N8 N9 N10 N11 N12 N13 Y19 N20 N21 N22 N25 N26 N27 N28 N29 N30 N31 N32 N36 N37 N38 N42 N46 N50 N54 N55 N56 N57 N58 N59 N60 N61 N62 N63 N64 N65 N66 N67 N68 N69 N70 N71 N72 N73 N74 N75 N76 N77 N78 N79 N80 N81 N82 N83 N84 N85 N86 N87 N88 N89 N90 N91 N92 N93 N94 N95 N96 N97 N98 N99 N100 N101 N102 N103 N104 N105 N106 N107 N108 N109 N110 N136 N137 N138 N139 N140 N141 N142 N143 N144 N145 N146 N147 N148 N149 N150 N151 N152 N153 N154 N155 N156 N157 N158 N159 N160 N161 N162 N163 N164 N165 N166 N167 N174 N175 N176 N177 N178 N179 N180 N181 N182 N183 N184 N185 N186 N187 N188 N189 N190 N191 N192 N193 N194 N195 N196 N197 N198 N199 N200 N201 N202 N203 N204 N205 N206 N207 N208 N209 N210 N211 N214 N215 N220 N221 N222 N223 N229 N230 N14:N19 N23:N24 N33:N35 N39:N41 N43:N45 N47:N49 N51:N53 N111:N135 N168:N173 N212:N213 N216:N217 N218:N219 N227:N228">
      <formula1>"Admin,User,Anyone"</formula1>
    </dataValidation>
  </dataValidation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2"/>
  <sheetViews>
    <sheetView topLeftCell="A10" workbookViewId="0">
      <selection activeCell="F49" sqref="F49"/>
    </sheetView>
  </sheetViews>
  <sheetFormatPr defaultColWidth="9" defaultRowHeight="14.4" outlineLevelCol="2"/>
  <cols>
    <col min="1" max="1" width="14" style="2" customWidth="1"/>
    <col min="2" max="2" width="9" style="2"/>
    <col min="3" max="16384" width="9" style="3"/>
  </cols>
  <sheetData>
    <row r="1" spans="1:1">
      <c r="A1" s="4" t="s">
        <v>471</v>
      </c>
    </row>
    <row r="2" spans="1:3">
      <c r="A2" s="5" t="s">
        <v>26</v>
      </c>
      <c r="B2" s="5" t="s">
        <v>472</v>
      </c>
      <c r="C2" s="6"/>
    </row>
    <row r="3" spans="1:3">
      <c r="A3" s="5" t="s">
        <v>473</v>
      </c>
      <c r="B3" s="2" t="s">
        <v>474</v>
      </c>
      <c r="C3" s="6"/>
    </row>
    <row r="4" spans="1:3">
      <c r="A4" s="5" t="s">
        <v>475</v>
      </c>
      <c r="C4" s="6"/>
    </row>
    <row r="5" spans="1:3">
      <c r="A5" s="5" t="s">
        <v>476</v>
      </c>
      <c r="C5" s="6"/>
    </row>
    <row r="6" spans="1:3">
      <c r="A6" s="5" t="s">
        <v>477</v>
      </c>
      <c r="B6" s="2" t="s">
        <v>478</v>
      </c>
      <c r="C6" s="6"/>
    </row>
    <row r="7" spans="1:3">
      <c r="A7" s="5" t="s">
        <v>479</v>
      </c>
      <c r="C7" s="6"/>
    </row>
    <row r="8" spans="1:3">
      <c r="A8" s="5" t="s">
        <v>92</v>
      </c>
      <c r="C8" s="6"/>
    </row>
    <row r="9" spans="1:3">
      <c r="A9" s="5" t="s">
        <v>480</v>
      </c>
      <c r="C9" s="6"/>
    </row>
    <row r="10" spans="1:3">
      <c r="A10" s="5" t="s">
        <v>481</v>
      </c>
      <c r="C10" s="6"/>
    </row>
    <row r="11" spans="1:3">
      <c r="A11" s="5" t="s">
        <v>482</v>
      </c>
      <c r="C11" s="6"/>
    </row>
    <row r="12" spans="1:3">
      <c r="A12" s="5" t="s">
        <v>483</v>
      </c>
      <c r="C12" s="6"/>
    </row>
    <row r="13" spans="1:3">
      <c r="A13" s="5" t="s">
        <v>484</v>
      </c>
      <c r="C13" s="6"/>
    </row>
    <row r="14" spans="1:3">
      <c r="A14" s="5" t="s">
        <v>143</v>
      </c>
      <c r="C14" s="6"/>
    </row>
    <row r="15" spans="1:3">
      <c r="A15" s="5" t="s">
        <v>485</v>
      </c>
      <c r="C15" s="6"/>
    </row>
    <row r="16" spans="1:3">
      <c r="A16" s="5" t="s">
        <v>486</v>
      </c>
      <c r="C16" s="6"/>
    </row>
    <row r="17" spans="1:3">
      <c r="A17" s="5" t="s">
        <v>487</v>
      </c>
      <c r="C17" s="6"/>
    </row>
    <row r="18" spans="1:3">
      <c r="A18" s="5" t="s">
        <v>488</v>
      </c>
      <c r="C18" s="6"/>
    </row>
    <row r="19" spans="1:3">
      <c r="A19" s="5" t="s">
        <v>489</v>
      </c>
      <c r="B19" s="2" t="s">
        <v>490</v>
      </c>
      <c r="C19" s="6"/>
    </row>
    <row r="20" spans="1:3">
      <c r="A20" s="5" t="s">
        <v>491</v>
      </c>
      <c r="B20" s="2" t="s">
        <v>490</v>
      </c>
      <c r="C20" s="6"/>
    </row>
    <row r="21" spans="1:3">
      <c r="A21" s="5" t="s">
        <v>492</v>
      </c>
      <c r="B21" s="2" t="s">
        <v>493</v>
      </c>
      <c r="C21" s="6"/>
    </row>
    <row r="22" spans="1:3">
      <c r="A22" s="5" t="s">
        <v>494</v>
      </c>
      <c r="C22" s="6"/>
    </row>
    <row r="23" spans="1:3">
      <c r="A23" s="5" t="s">
        <v>495</v>
      </c>
      <c r="B23" s="2" t="s">
        <v>496</v>
      </c>
      <c r="C23" s="6"/>
    </row>
    <row r="24" spans="1:3">
      <c r="A24" s="5" t="s">
        <v>497</v>
      </c>
      <c r="B24" s="2" t="s">
        <v>498</v>
      </c>
      <c r="C24" s="6"/>
    </row>
    <row r="25" spans="1:3">
      <c r="A25" s="5" t="s">
        <v>499</v>
      </c>
      <c r="C25" s="6"/>
    </row>
    <row r="26" spans="1:3">
      <c r="A26" s="5" t="s">
        <v>500</v>
      </c>
      <c r="B26" s="2" t="s">
        <v>501</v>
      </c>
      <c r="C26" s="6"/>
    </row>
    <row r="27" spans="1:3">
      <c r="A27" s="5" t="s">
        <v>502</v>
      </c>
      <c r="B27" s="2" t="s">
        <v>503</v>
      </c>
      <c r="C27" s="6"/>
    </row>
    <row r="28" spans="1:3">
      <c r="A28" s="5" t="s">
        <v>504</v>
      </c>
      <c r="B28" s="2" t="s">
        <v>505</v>
      </c>
      <c r="C28" s="6"/>
    </row>
    <row r="29" spans="1:3">
      <c r="A29" s="5" t="s">
        <v>506</v>
      </c>
      <c r="B29" s="2" t="s">
        <v>507</v>
      </c>
      <c r="C29" s="6"/>
    </row>
    <row r="30" spans="1:3">
      <c r="A30" s="5" t="s">
        <v>508</v>
      </c>
      <c r="C30" s="6"/>
    </row>
    <row r="31" spans="1:3">
      <c r="A31" s="5" t="s">
        <v>509</v>
      </c>
      <c r="B31" s="2" t="s">
        <v>510</v>
      </c>
      <c r="C31" s="6"/>
    </row>
    <row r="32" spans="1:3">
      <c r="A32" s="5" t="s">
        <v>511</v>
      </c>
      <c r="C32" s="6"/>
    </row>
    <row r="33" spans="1:3">
      <c r="A33" s="5" t="s">
        <v>512</v>
      </c>
      <c r="B33" s="2" t="s">
        <v>513</v>
      </c>
      <c r="C33" s="6"/>
    </row>
    <row r="34" spans="1:3">
      <c r="A34" s="5" t="s">
        <v>514</v>
      </c>
      <c r="B34" s="2" t="s">
        <v>515</v>
      </c>
      <c r="C34" s="6"/>
    </row>
    <row r="35" spans="1:3">
      <c r="A35" s="5" t="s">
        <v>516</v>
      </c>
      <c r="C35" s="6"/>
    </row>
    <row r="36" spans="1:3">
      <c r="A36" s="5" t="s">
        <v>389</v>
      </c>
      <c r="B36" s="2" t="s">
        <v>517</v>
      </c>
      <c r="C36" s="6"/>
    </row>
    <row r="37" spans="1:3">
      <c r="A37" s="5" t="s">
        <v>518</v>
      </c>
      <c r="C37" s="6"/>
    </row>
    <row r="38" spans="1:3">
      <c r="A38" s="5" t="s">
        <v>101</v>
      </c>
      <c r="C38" s="6"/>
    </row>
    <row r="39" spans="1:3">
      <c r="A39" s="5" t="s">
        <v>519</v>
      </c>
      <c r="B39" s="2" t="s">
        <v>520</v>
      </c>
      <c r="C39" s="6"/>
    </row>
    <row r="40" spans="1:3">
      <c r="A40" s="5" t="s">
        <v>521</v>
      </c>
      <c r="B40" s="2" t="s">
        <v>520</v>
      </c>
      <c r="C40" s="6"/>
    </row>
    <row r="41" spans="1:3">
      <c r="A41" s="5" t="s">
        <v>522</v>
      </c>
      <c r="B41" s="2" t="s">
        <v>523</v>
      </c>
      <c r="C41" s="6"/>
    </row>
    <row r="42" spans="1:3">
      <c r="A42" s="5" t="s">
        <v>524</v>
      </c>
      <c r="C42" s="6"/>
    </row>
    <row r="43" spans="1:3">
      <c r="A43" s="5" t="s">
        <v>525</v>
      </c>
      <c r="B43" s="2" t="s">
        <v>526</v>
      </c>
      <c r="C43" s="6"/>
    </row>
    <row r="44" spans="1:3">
      <c r="A44" s="5" t="s">
        <v>105</v>
      </c>
      <c r="B44" s="2" t="s">
        <v>527</v>
      </c>
      <c r="C44" s="6"/>
    </row>
    <row r="45" spans="1:3">
      <c r="A45" s="5" t="s">
        <v>528</v>
      </c>
      <c r="C45" s="6"/>
    </row>
    <row r="46" spans="1:3">
      <c r="A46" s="5" t="s">
        <v>529</v>
      </c>
      <c r="B46" s="2" t="s">
        <v>530</v>
      </c>
      <c r="C46" s="6"/>
    </row>
    <row r="47" spans="1:3">
      <c r="A47" s="5" t="s">
        <v>531</v>
      </c>
      <c r="B47" s="2" t="s">
        <v>532</v>
      </c>
      <c r="C47" s="6"/>
    </row>
    <row r="48" spans="1:3">
      <c r="A48" s="5" t="s">
        <v>533</v>
      </c>
      <c r="B48" s="2" t="s">
        <v>534</v>
      </c>
      <c r="C48" s="6"/>
    </row>
    <row r="49" spans="1:3">
      <c r="A49" s="5" t="s">
        <v>535</v>
      </c>
      <c r="B49" s="2" t="s">
        <v>536</v>
      </c>
      <c r="C49" s="6"/>
    </row>
    <row r="50" spans="1:3">
      <c r="A50" s="5" t="s">
        <v>537</v>
      </c>
      <c r="C50" s="6"/>
    </row>
    <row r="51" spans="1:3">
      <c r="A51" s="5" t="s">
        <v>538</v>
      </c>
      <c r="B51" s="2" t="s">
        <v>539</v>
      </c>
      <c r="C51" s="6"/>
    </row>
    <row r="52" spans="1:3">
      <c r="A52" s="5" t="s">
        <v>540</v>
      </c>
      <c r="C52" s="6"/>
    </row>
    <row r="53" spans="1:3">
      <c r="A53" s="5" t="s">
        <v>541</v>
      </c>
      <c r="C53" s="6"/>
    </row>
    <row r="54" spans="1:3">
      <c r="A54" s="5" t="s">
        <v>542</v>
      </c>
      <c r="C54" s="6"/>
    </row>
    <row r="55" spans="1:3">
      <c r="A55" s="5" t="s">
        <v>543</v>
      </c>
      <c r="C55" s="6"/>
    </row>
    <row r="56" spans="1:3">
      <c r="A56" s="5" t="s">
        <v>544</v>
      </c>
      <c r="C56" s="6"/>
    </row>
    <row r="57" spans="1:3">
      <c r="A57" s="5" t="s">
        <v>545</v>
      </c>
      <c r="B57" s="2" t="s">
        <v>546</v>
      </c>
      <c r="C57" s="6"/>
    </row>
    <row r="58" spans="1:3">
      <c r="A58" s="5" t="s">
        <v>547</v>
      </c>
      <c r="B58" s="2" t="s">
        <v>548</v>
      </c>
      <c r="C58" s="6"/>
    </row>
    <row r="59" spans="1:3">
      <c r="A59" s="5" t="s">
        <v>549</v>
      </c>
      <c r="C59" s="6"/>
    </row>
    <row r="60" spans="1:3">
      <c r="A60" s="5" t="s">
        <v>550</v>
      </c>
      <c r="B60" s="2" t="s">
        <v>551</v>
      </c>
      <c r="C60" s="6"/>
    </row>
    <row r="61" spans="1:3">
      <c r="A61" s="5" t="s">
        <v>459</v>
      </c>
      <c r="B61" s="2" t="s">
        <v>552</v>
      </c>
      <c r="C61" s="6"/>
    </row>
    <row r="62" spans="1:2">
      <c r="A62" s="5" t="s">
        <v>553</v>
      </c>
      <c r="B62" s="2" t="s">
        <v>552</v>
      </c>
    </row>
  </sheetData>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Device</vt:lpstr>
      <vt:lpstr>Unit</vt:lpstr>
      <vt:lpstr>Sheet2</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uYanki</cp:lastModifiedBy>
  <dcterms:created xsi:type="dcterms:W3CDTF">2015-01-15T16:55:00Z</dcterms:created>
  <dcterms:modified xsi:type="dcterms:W3CDTF">2025-02-03T17:56:47Z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E1123B6F8F5C4BA2A48F8C73712B1072</vt:lpwstr>
  </property>
  <property fmtid="{D5CDD505-2E9C-101B-9397-08002B2CF9AE}" pid="3" name="KSOProductBuildVer">
    <vt:lpwstr>2052-11.1.0.11365</vt:lpwstr>
  </property>
</Properties>
</file>