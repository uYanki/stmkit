
<file path=[Content_Types].xml><?xml version="1.0" encoding="utf-8"?>
<Types xmlns="http://schemas.openxmlformats.org/package/2006/content-type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7651" windowHeight="11784" activeTab="1"/>
  </bookViews>
  <sheets>
    <sheet name="Device" sheetId="13" r:id="rId1"/>
    <sheet name="Axis" sheetId="14" r:id="rId2"/>
    <sheet name="Unit" sheetId="15" r:id="rId3"/>
    <sheet name="Sheet2" sheetId="16" state="hidden" r:id="rId4"/>
    <sheet name="Sheet1" sheetId="17" state="hidden" r:id="rId5"/>
  </sheets>
  <definedNames>
    <definedName name="_xlnm._FilterDatabase" localSheetId="0" hidden="1">Device!$D$1:$P$278</definedName>
    <definedName name="_xlnm._FilterDatabase" localSheetId="1" hidden="1">Axis!$A$2:$R$560</definedName>
  </definedNames>
  <calcPr calcId="144525"/>
</workbook>
</file>

<file path=xl/sharedStrings.xml><?xml version="1.0" encoding="utf-8"?>
<sst xmlns="http://schemas.openxmlformats.org/spreadsheetml/2006/main" count="8078" uniqueCount="1323">
  <si>
    <r>
      <rPr>
        <b/>
        <sz val="10"/>
        <color theme="1"/>
        <rFont val="宋体"/>
        <charset val="134"/>
      </rPr>
      <t>组</t>
    </r>
  </si>
  <si>
    <r>
      <rPr>
        <b/>
        <sz val="10"/>
        <color theme="1"/>
        <rFont val="宋体"/>
        <charset val="134"/>
      </rPr>
      <t>参数</t>
    </r>
  </si>
  <si>
    <r>
      <rPr>
        <b/>
        <sz val="10"/>
        <color theme="1"/>
        <rFont val="宋体"/>
        <charset val="134"/>
      </rPr>
      <t>序号</t>
    </r>
  </si>
  <si>
    <r>
      <rPr>
        <b/>
        <sz val="10"/>
        <color theme="1"/>
        <rFont val="宋体"/>
        <charset val="134"/>
      </rPr>
      <t>名称</t>
    </r>
  </si>
  <si>
    <r>
      <rPr>
        <b/>
        <sz val="10"/>
        <color theme="1"/>
        <rFont val="宋体"/>
        <charset val="134"/>
      </rPr>
      <t>描述</t>
    </r>
  </si>
  <si>
    <r>
      <rPr>
        <b/>
        <sz val="10"/>
        <color theme="1"/>
        <rFont val="宋体"/>
        <charset val="134"/>
      </rPr>
      <t>地址</t>
    </r>
  </si>
  <si>
    <r>
      <rPr>
        <b/>
        <sz val="10"/>
        <color theme="1"/>
        <rFont val="宋体"/>
        <charset val="134"/>
      </rPr>
      <t>类型</t>
    </r>
  </si>
  <si>
    <r>
      <rPr>
        <b/>
        <sz val="10"/>
        <color theme="1"/>
        <rFont val="宋体"/>
        <charset val="134"/>
      </rPr>
      <t>默认值</t>
    </r>
  </si>
  <si>
    <t>下限值</t>
  </si>
  <si>
    <t>上限值</t>
  </si>
  <si>
    <r>
      <rPr>
        <b/>
        <sz val="10"/>
        <color theme="1"/>
        <rFont val="宋体"/>
        <charset val="134"/>
      </rPr>
      <t>属性</t>
    </r>
  </si>
  <si>
    <r>
      <rPr>
        <b/>
        <sz val="10"/>
        <color theme="1"/>
        <rFont val="宋体"/>
        <charset val="134"/>
      </rPr>
      <t>对象字典</t>
    </r>
  </si>
  <si>
    <r>
      <rPr>
        <b/>
        <sz val="10"/>
        <color theme="1"/>
        <rFont val="宋体"/>
        <charset val="134"/>
      </rPr>
      <t>参数名（中文）</t>
    </r>
  </si>
  <si>
    <r>
      <rPr>
        <b/>
        <sz val="10"/>
        <color theme="1"/>
        <rFont val="宋体"/>
        <charset val="134"/>
      </rPr>
      <t>值说明（中文）</t>
    </r>
  </si>
  <si>
    <r>
      <rPr>
        <b/>
        <sz val="10"/>
        <color theme="1"/>
        <rFont val="宋体"/>
        <charset val="134"/>
      </rPr>
      <t>物理单位</t>
    </r>
  </si>
  <si>
    <r>
      <rPr>
        <b/>
        <sz val="10"/>
        <color theme="1"/>
        <rFont val="宋体"/>
        <charset val="134"/>
      </rPr>
      <t>读写模式</t>
    </r>
  </si>
  <si>
    <r>
      <rPr>
        <b/>
        <sz val="10"/>
        <color theme="1"/>
        <rFont val="宋体"/>
        <charset val="134"/>
      </rPr>
      <t>同步模式</t>
    </r>
  </si>
  <si>
    <r>
      <rPr>
        <b/>
        <sz val="10"/>
        <color theme="1"/>
        <rFont val="宋体"/>
        <charset val="134"/>
      </rPr>
      <t>访问权限</t>
    </r>
  </si>
  <si>
    <t>DrvSche</t>
  </si>
  <si>
    <r>
      <rPr>
        <sz val="10"/>
        <color theme="1"/>
        <rFont val="宋体"/>
        <charset val="134"/>
      </rPr>
      <t>驱动器方案</t>
    </r>
  </si>
  <si>
    <t>u32</t>
  </si>
  <si>
    <t>u32DrvScheme</t>
  </si>
  <si>
    <t>40020600</t>
  </si>
  <si>
    <t>0</t>
  </si>
  <si>
    <t>U32_MAX</t>
  </si>
  <si>
    <t>-</t>
  </si>
  <si>
    <r>
      <rPr>
        <sz val="10"/>
        <color theme="1"/>
        <rFont val="宋体"/>
        <charset val="134"/>
      </rPr>
      <t>只读</t>
    </r>
  </si>
  <si>
    <r>
      <rPr>
        <sz val="10"/>
        <color theme="1"/>
        <rFont val="宋体"/>
        <charset val="134"/>
      </rPr>
      <t>允许保存，可恢复</t>
    </r>
  </si>
  <si>
    <t>Anyone</t>
  </si>
  <si>
    <t>u16</t>
  </si>
  <si>
    <t>U16_MAX</t>
  </si>
  <si>
    <t>读写 - 立即更改，立即生效</t>
  </si>
  <si>
    <r>
      <rPr>
        <sz val="10"/>
        <color theme="1"/>
        <rFont val="宋体"/>
        <charset val="134"/>
      </rPr>
      <t>不允许保存，不可恢复</t>
    </r>
  </si>
  <si>
    <t>u32McuSwBuildDate</t>
  </si>
  <si>
    <r>
      <rPr>
        <sz val="10"/>
        <color theme="1"/>
        <rFont val="宋体"/>
        <charset val="134"/>
      </rPr>
      <t>软件构建日期</t>
    </r>
  </si>
  <si>
    <t>u32McuSwBuildTime</t>
  </si>
  <si>
    <r>
      <rPr>
        <sz val="10"/>
        <color theme="1"/>
        <rFont val="宋体"/>
        <charset val="134"/>
      </rPr>
      <t>软件构建时间</t>
    </r>
  </si>
  <si>
    <t>u16CurSampType</t>
  </si>
  <si>
    <r>
      <rPr>
        <sz val="10"/>
        <color theme="1"/>
        <rFont val="宋体"/>
        <charset val="134"/>
      </rPr>
      <t>电流采样类型</t>
    </r>
  </si>
  <si>
    <t>u16AxisNum</t>
  </si>
  <si>
    <t>1</t>
  </si>
  <si>
    <r>
      <rPr>
        <sz val="10"/>
        <color theme="1"/>
        <rFont val="宋体"/>
        <charset val="134"/>
      </rPr>
      <t>轴数量</t>
    </r>
  </si>
  <si>
    <t>u16LedNum</t>
  </si>
  <si>
    <t>2</t>
  </si>
  <si>
    <r>
      <rPr>
        <sz val="10"/>
        <color theme="1"/>
        <rFont val="宋体"/>
        <charset val="134"/>
      </rPr>
      <t>指示灯个数</t>
    </r>
  </si>
  <si>
    <t>u16KeyNum</t>
  </si>
  <si>
    <t>3</t>
  </si>
  <si>
    <r>
      <rPr>
        <sz val="10"/>
        <color theme="1"/>
        <rFont val="宋体"/>
        <charset val="134"/>
      </rPr>
      <t>按键个数</t>
    </r>
  </si>
  <si>
    <t>u16ExtDiNum</t>
  </si>
  <si>
    <r>
      <rPr>
        <sz val="10"/>
        <color theme="1"/>
        <rFont val="宋体"/>
        <charset val="134"/>
      </rPr>
      <t>外部数字量输入个数</t>
    </r>
  </si>
  <si>
    <t>u16ExtDoNum</t>
  </si>
  <si>
    <r>
      <rPr>
        <sz val="10"/>
        <color theme="1"/>
        <rFont val="宋体"/>
        <charset val="134"/>
      </rPr>
      <t>外部数字量输出个数</t>
    </r>
  </si>
  <si>
    <t>u16ExtHDiNum</t>
  </si>
  <si>
    <r>
      <rPr>
        <sz val="10"/>
        <color theme="1"/>
        <rFont val="宋体"/>
        <charset val="134"/>
      </rPr>
      <t>外部高速数字量输入个数</t>
    </r>
  </si>
  <si>
    <t>u16ExtHDoNum</t>
  </si>
  <si>
    <r>
      <rPr>
        <sz val="10"/>
        <color theme="1"/>
        <rFont val="宋体"/>
        <charset val="134"/>
      </rPr>
      <t>外部高速数字量输出个数</t>
    </r>
  </si>
  <si>
    <t>u16ExtAiNum</t>
  </si>
  <si>
    <r>
      <rPr>
        <sz val="10"/>
        <color theme="1"/>
        <rFont val="宋体"/>
        <charset val="134"/>
      </rPr>
      <t>外部模拟量输入个数</t>
    </r>
  </si>
  <si>
    <t>u16ExtAoNum</t>
  </si>
  <si>
    <r>
      <rPr>
        <sz val="10"/>
        <color theme="1"/>
        <rFont val="宋体"/>
        <charset val="134"/>
      </rPr>
      <t>外部模拟量输出个数</t>
    </r>
  </si>
  <si>
    <t>u16TsNum</t>
  </si>
  <si>
    <r>
      <rPr>
        <sz val="10"/>
        <color theme="1"/>
        <rFont val="宋体"/>
        <charset val="134"/>
      </rPr>
      <t>温度采样个数</t>
    </r>
  </si>
  <si>
    <t>u16SysPwd</t>
  </si>
  <si>
    <r>
      <rPr>
        <sz val="10"/>
        <color theme="1"/>
        <rFont val="宋体"/>
        <charset val="134"/>
      </rPr>
      <t>读写</t>
    </r>
    <r>
      <rPr>
        <sz val="10"/>
        <color theme="1"/>
        <rFont val="Consolas"/>
        <charset val="134"/>
      </rPr>
      <t xml:space="preserve"> - </t>
    </r>
    <r>
      <rPr>
        <sz val="10"/>
        <color theme="1"/>
        <rFont val="宋体"/>
        <charset val="134"/>
      </rPr>
      <t>立即更改，立即生效</t>
    </r>
  </si>
  <si>
    <r>
      <rPr>
        <sz val="10"/>
        <color theme="1"/>
        <rFont val="宋体"/>
        <charset val="134"/>
      </rPr>
      <t>系统密码</t>
    </r>
  </si>
  <si>
    <t>u16SysAccess</t>
  </si>
  <si>
    <r>
      <rPr>
        <sz val="10"/>
        <color theme="1"/>
        <rFont val="宋体"/>
        <charset val="134"/>
      </rPr>
      <t>当前系统权限</t>
    </r>
  </si>
  <si>
    <t>0-Admin;
1-User;
2-Anyone;</t>
  </si>
  <si>
    <t>bSwRstCmd</t>
  </si>
  <si>
    <r>
      <rPr>
        <sz val="10"/>
        <color theme="1"/>
        <rFont val="宋体"/>
        <charset val="134"/>
      </rPr>
      <t>读写</t>
    </r>
    <r>
      <rPr>
        <sz val="10"/>
        <color theme="1"/>
        <rFont val="Consolas"/>
        <charset val="134"/>
      </rPr>
      <t xml:space="preserve"> - </t>
    </r>
    <r>
      <rPr>
        <sz val="10"/>
        <color theme="1"/>
        <rFont val="宋体"/>
        <charset val="134"/>
      </rPr>
      <t>停机更改，立即生效</t>
    </r>
  </si>
  <si>
    <t>软件复位</t>
  </si>
  <si>
    <r>
      <rPr>
        <sz val="10"/>
        <color theme="1"/>
        <rFont val="宋体"/>
        <charset val="134"/>
      </rPr>
      <t>上升沿触发</t>
    </r>
  </si>
  <si>
    <t>u16UmdcHwCoeff</t>
  </si>
  <si>
    <t>363</t>
  </si>
  <si>
    <r>
      <rPr>
        <sz val="10"/>
        <color theme="1"/>
        <rFont val="宋体"/>
        <charset val="134"/>
      </rPr>
      <t>允许保存，不可恢复</t>
    </r>
  </si>
  <si>
    <t>Admin</t>
  </si>
  <si>
    <r>
      <rPr>
        <sz val="10"/>
        <color theme="1"/>
        <rFont val="宋体"/>
        <charset val="134"/>
      </rPr>
      <t>主回路电压采样系数</t>
    </r>
  </si>
  <si>
    <r>
      <rPr>
        <sz val="10"/>
        <color theme="1"/>
        <rFont val="宋体"/>
        <charset val="134"/>
      </rPr>
      <t>分压系数</t>
    </r>
    <r>
      <rPr>
        <sz val="10"/>
        <color theme="1"/>
        <rFont val="Consolas"/>
        <charset val="134"/>
      </rPr>
      <t>: 11</t>
    </r>
    <r>
      <rPr>
        <sz val="10"/>
        <color theme="1"/>
        <rFont val="宋体"/>
        <charset val="134"/>
      </rPr>
      <t>。参考电压</t>
    </r>
    <r>
      <rPr>
        <sz val="10"/>
        <color theme="1"/>
        <rFont val="Consolas"/>
        <charset val="134"/>
      </rPr>
      <t xml:space="preserve"> 33 (0.1V)</t>
    </r>
    <r>
      <rPr>
        <sz val="10"/>
        <color theme="1"/>
        <rFont val="宋体"/>
        <charset val="134"/>
      </rPr>
      <t>。</t>
    </r>
  </si>
  <si>
    <t>u16UcdcHwCoeff</t>
  </si>
  <si>
    <r>
      <rPr>
        <sz val="10"/>
        <color theme="1"/>
        <rFont val="宋体"/>
        <charset val="134"/>
      </rPr>
      <t>控制电电压采样系数</t>
    </r>
  </si>
  <si>
    <t>u16Uai0HwCoeff</t>
  </si>
  <si>
    <r>
      <rPr>
        <sz val="10"/>
        <color theme="1"/>
        <rFont val="宋体"/>
        <charset val="134"/>
      </rPr>
      <t>模拟量输入</t>
    </r>
    <r>
      <rPr>
        <sz val="10"/>
        <color theme="1"/>
        <rFont val="Consolas"/>
        <charset val="134"/>
      </rPr>
      <t>AI0</t>
    </r>
    <r>
      <rPr>
        <sz val="10"/>
        <color theme="1"/>
        <rFont val="宋体"/>
        <charset val="134"/>
      </rPr>
      <t>采样系数</t>
    </r>
  </si>
  <si>
    <t>u16Uai1HwCoeff</t>
  </si>
  <si>
    <r>
      <rPr>
        <sz val="10"/>
        <color theme="1"/>
        <rFont val="宋体"/>
        <charset val="134"/>
      </rPr>
      <t>模拟量输入</t>
    </r>
    <r>
      <rPr>
        <sz val="10"/>
        <color theme="1"/>
        <rFont val="Consolas"/>
        <charset val="134"/>
      </rPr>
      <t>AI1</t>
    </r>
    <r>
      <rPr>
        <sz val="10"/>
        <color theme="1"/>
        <rFont val="宋体"/>
        <charset val="134"/>
      </rPr>
      <t>采样系数</t>
    </r>
  </si>
  <si>
    <t>u16Uai2HwCoeff</t>
  </si>
  <si>
    <r>
      <rPr>
        <sz val="10"/>
        <color theme="1"/>
        <rFont val="宋体"/>
        <charset val="134"/>
      </rPr>
      <t>模拟量输入</t>
    </r>
    <r>
      <rPr>
        <sz val="10"/>
        <color theme="1"/>
        <rFont val="Consolas"/>
        <charset val="134"/>
      </rPr>
      <t>AI2</t>
    </r>
    <r>
      <rPr>
        <sz val="10"/>
        <color theme="1"/>
        <rFont val="宋体"/>
        <charset val="134"/>
      </rPr>
      <t>采样系数</t>
    </r>
  </si>
  <si>
    <t>u16InvtTempHwCoeff</t>
  </si>
  <si>
    <r>
      <rPr>
        <sz val="10"/>
        <color theme="1"/>
        <rFont val="宋体"/>
        <charset val="134"/>
      </rPr>
      <t>逆变桥温度采样系数</t>
    </r>
  </si>
  <si>
    <t>u16UmdcZoom</t>
  </si>
  <si>
    <t>1000</t>
  </si>
  <si>
    <t>‰</t>
  </si>
  <si>
    <r>
      <rPr>
        <sz val="10"/>
        <color theme="1"/>
        <rFont val="宋体"/>
        <charset val="134"/>
      </rPr>
      <t>主回路电压采样缩放系数</t>
    </r>
  </si>
  <si>
    <t>s16</t>
  </si>
  <si>
    <t>s16UmdcOffset</t>
  </si>
  <si>
    <t>S16_MIN</t>
  </si>
  <si>
    <t>S16_MAX</t>
  </si>
  <si>
    <r>
      <rPr>
        <sz val="10"/>
        <color theme="1"/>
        <rFont val="宋体"/>
        <charset val="134"/>
      </rPr>
      <t>主回路电压采样偏置</t>
    </r>
  </si>
  <si>
    <t>u16UcdcZoom</t>
  </si>
  <si>
    <r>
      <rPr>
        <sz val="10"/>
        <color theme="1"/>
        <rFont val="宋体"/>
        <charset val="134"/>
      </rPr>
      <t>控制电电压采样缩放系数</t>
    </r>
  </si>
  <si>
    <t>s16UcdcOffset</t>
  </si>
  <si>
    <r>
      <rPr>
        <sz val="10"/>
        <color theme="1"/>
        <rFont val="宋体"/>
        <charset val="134"/>
      </rPr>
      <t>控制电电压采样偏置</t>
    </r>
  </si>
  <si>
    <t>u16Uai0Zoom</t>
  </si>
  <si>
    <r>
      <rPr>
        <sz val="10"/>
        <color theme="1"/>
        <rFont val="宋体"/>
        <charset val="134"/>
      </rPr>
      <t>模拟量输入</t>
    </r>
    <r>
      <rPr>
        <sz val="10"/>
        <color theme="1"/>
        <rFont val="Consolas"/>
        <charset val="134"/>
      </rPr>
      <t>AI0</t>
    </r>
    <r>
      <rPr>
        <sz val="10"/>
        <color theme="1"/>
        <rFont val="宋体"/>
        <charset val="134"/>
      </rPr>
      <t>采样缩放系数</t>
    </r>
  </si>
  <si>
    <t>s16Uai0Offset</t>
  </si>
  <si>
    <r>
      <rPr>
        <sz val="10"/>
        <color theme="1"/>
        <rFont val="宋体"/>
        <charset val="134"/>
      </rPr>
      <t>模拟量输入</t>
    </r>
    <r>
      <rPr>
        <sz val="10"/>
        <color theme="1"/>
        <rFont val="Consolas"/>
        <charset val="134"/>
      </rPr>
      <t>AI0</t>
    </r>
    <r>
      <rPr>
        <sz val="10"/>
        <color theme="1"/>
        <rFont val="宋体"/>
        <charset val="134"/>
      </rPr>
      <t>采样偏置</t>
    </r>
  </si>
  <si>
    <t>u16Uai0DeadZone</t>
  </si>
  <si>
    <r>
      <rPr>
        <sz val="10"/>
        <color theme="1"/>
        <rFont val="宋体"/>
        <charset val="134"/>
      </rPr>
      <t>模拟量输入</t>
    </r>
    <r>
      <rPr>
        <sz val="10"/>
        <color theme="1"/>
        <rFont val="Consolas"/>
        <charset val="134"/>
      </rPr>
      <t>AI0</t>
    </r>
    <r>
      <rPr>
        <sz val="10"/>
        <color theme="1"/>
        <rFont val="宋体"/>
        <charset val="134"/>
      </rPr>
      <t>输入死区</t>
    </r>
  </si>
  <si>
    <t>u16Uai1Zoom</t>
  </si>
  <si>
    <r>
      <rPr>
        <sz val="10"/>
        <color theme="1"/>
        <rFont val="宋体"/>
        <charset val="134"/>
      </rPr>
      <t>模拟量输入</t>
    </r>
    <r>
      <rPr>
        <sz val="10"/>
        <color theme="1"/>
        <rFont val="Consolas"/>
        <charset val="134"/>
      </rPr>
      <t>AI1</t>
    </r>
    <r>
      <rPr>
        <sz val="10"/>
        <color theme="1"/>
        <rFont val="宋体"/>
        <charset val="134"/>
      </rPr>
      <t>采样缩放系数</t>
    </r>
  </si>
  <si>
    <t>s16Uai1Offset</t>
  </si>
  <si>
    <r>
      <rPr>
        <sz val="10"/>
        <color theme="1"/>
        <rFont val="宋体"/>
        <charset val="134"/>
      </rPr>
      <t>模拟量输入</t>
    </r>
    <r>
      <rPr>
        <sz val="10"/>
        <color theme="1"/>
        <rFont val="Consolas"/>
        <charset val="134"/>
      </rPr>
      <t>AI1</t>
    </r>
    <r>
      <rPr>
        <sz val="10"/>
        <color theme="1"/>
        <rFont val="宋体"/>
        <charset val="134"/>
      </rPr>
      <t>采样偏置</t>
    </r>
  </si>
  <si>
    <t>u16Uai1DeadZone</t>
  </si>
  <si>
    <r>
      <rPr>
        <sz val="10"/>
        <color theme="1"/>
        <rFont val="宋体"/>
        <charset val="134"/>
      </rPr>
      <t>模拟量输入</t>
    </r>
    <r>
      <rPr>
        <sz val="10"/>
        <color theme="1"/>
        <rFont val="Consolas"/>
        <charset val="134"/>
      </rPr>
      <t>AI1</t>
    </r>
    <r>
      <rPr>
        <sz val="10"/>
        <color theme="1"/>
        <rFont val="宋体"/>
        <charset val="134"/>
      </rPr>
      <t>输入死区</t>
    </r>
  </si>
  <si>
    <t>u16Uai2Zoom</t>
  </si>
  <si>
    <r>
      <rPr>
        <sz val="10"/>
        <color theme="1"/>
        <rFont val="宋体"/>
        <charset val="134"/>
      </rPr>
      <t>模拟量输入</t>
    </r>
    <r>
      <rPr>
        <sz val="10"/>
        <color theme="1"/>
        <rFont val="Consolas"/>
        <charset val="134"/>
      </rPr>
      <t>AI2</t>
    </r>
    <r>
      <rPr>
        <sz val="10"/>
        <color theme="1"/>
        <rFont val="宋体"/>
        <charset val="134"/>
      </rPr>
      <t>采样缩放系数</t>
    </r>
  </si>
  <si>
    <t>s16Uai2Offset</t>
  </si>
  <si>
    <r>
      <rPr>
        <sz val="10"/>
        <color theme="1"/>
        <rFont val="宋体"/>
        <charset val="134"/>
      </rPr>
      <t>模拟量输入</t>
    </r>
    <r>
      <rPr>
        <sz val="10"/>
        <color theme="1"/>
        <rFont val="Consolas"/>
        <charset val="134"/>
      </rPr>
      <t>AI2</t>
    </r>
    <r>
      <rPr>
        <sz val="10"/>
        <color theme="1"/>
        <rFont val="宋体"/>
        <charset val="134"/>
      </rPr>
      <t>采样偏置</t>
    </r>
  </si>
  <si>
    <t>u16Uai2DeadZone</t>
  </si>
  <si>
    <r>
      <rPr>
        <sz val="10"/>
        <color theme="1"/>
        <rFont val="宋体"/>
        <charset val="134"/>
      </rPr>
      <t>模拟量输入</t>
    </r>
    <r>
      <rPr>
        <sz val="10"/>
        <color theme="1"/>
        <rFont val="Consolas"/>
        <charset val="134"/>
      </rPr>
      <t>AI2</t>
    </r>
    <r>
      <rPr>
        <sz val="10"/>
        <color theme="1"/>
        <rFont val="宋体"/>
        <charset val="134"/>
      </rPr>
      <t>输入死区</t>
    </r>
  </si>
  <si>
    <t>u16TempInvtZoom</t>
  </si>
  <si>
    <r>
      <rPr>
        <sz val="10"/>
        <color theme="1"/>
        <rFont val="宋体"/>
        <charset val="134"/>
      </rPr>
      <t>逆变桥温度采样缩放系数</t>
    </r>
  </si>
  <si>
    <t>s16TempInvtOffset</t>
  </si>
  <si>
    <r>
      <rPr>
        <sz val="10"/>
        <color theme="1"/>
        <rFont val="宋体"/>
        <charset val="134"/>
      </rPr>
      <t>逆变桥温度采样偏置</t>
    </r>
  </si>
  <si>
    <t>u16DrvCurRate</t>
  </si>
  <si>
    <t>96</t>
  </si>
  <si>
    <t>0.01A</t>
  </si>
  <si>
    <t>驱动器额定电流</t>
  </si>
  <si>
    <t>额定电流(瞬时值)=最大电流(有效值)/过载倍数/sqrt2.
Irate=540/4/1.414=96</t>
  </si>
  <si>
    <t>u16UmdcErrOVSi</t>
  </si>
  <si>
    <t>200</t>
  </si>
  <si>
    <t>0.1V</t>
  </si>
  <si>
    <t>直流母线过压故障值</t>
  </si>
  <si>
    <t>u16UmdcErrUVSi</t>
  </si>
  <si>
    <t>50</t>
  </si>
  <si>
    <t>直流母线欠压故障值</t>
  </si>
  <si>
    <t>u16UmdcWrnUVSi</t>
  </si>
  <si>
    <t>80</t>
  </si>
  <si>
    <t>直流母线欠压警告值</t>
  </si>
  <si>
    <t>u16UmdcRlyOnSi</t>
  </si>
  <si>
    <t>直流母线缓起继电器吸合值</t>
  </si>
  <si>
    <t>u16UmdcRgOnSi</t>
  </si>
  <si>
    <t>150</t>
  </si>
  <si>
    <t>直流母线再生电阻放电电压值</t>
  </si>
  <si>
    <t>u16CarryFreq</t>
  </si>
  <si>
    <t>8000</t>
  </si>
  <si>
    <t>Hz</t>
  </si>
  <si>
    <r>
      <rPr>
        <sz val="10"/>
        <color theme="1"/>
        <rFont val="宋体"/>
        <charset val="134"/>
      </rPr>
      <t>载波频率</t>
    </r>
  </si>
  <si>
    <t>u16PosLoopFreq</t>
  </si>
  <si>
    <t>4000</t>
  </si>
  <si>
    <r>
      <rPr>
        <sz val="10"/>
        <color theme="1"/>
        <rFont val="宋体"/>
        <charset val="134"/>
      </rPr>
      <t>位置环频率</t>
    </r>
  </si>
  <si>
    <t>u16SpdLoopFreq</t>
  </si>
  <si>
    <r>
      <rPr>
        <sz val="10"/>
        <color theme="1"/>
        <rFont val="宋体"/>
        <charset val="134"/>
      </rPr>
      <t>速度环频率</t>
    </r>
  </si>
  <si>
    <t>u16CurLoopFreq</t>
  </si>
  <si>
    <r>
      <rPr>
        <sz val="10"/>
        <color theme="1"/>
        <rFont val="宋体"/>
        <charset val="134"/>
      </rPr>
      <t>电流环频率</t>
    </r>
  </si>
  <si>
    <t>Comm</t>
  </si>
  <si>
    <r>
      <rPr>
        <sz val="10"/>
        <color theme="1"/>
        <rFont val="宋体"/>
        <charset val="134"/>
      </rPr>
      <t>通讯交互</t>
    </r>
  </si>
  <si>
    <t>u16MbSlvId</t>
  </si>
  <si>
    <t>247</t>
  </si>
  <si>
    <r>
      <rPr>
        <sz val="10"/>
        <color theme="1"/>
        <rFont val="宋体"/>
        <charset val="134"/>
      </rPr>
      <t>读写</t>
    </r>
    <r>
      <rPr>
        <sz val="10"/>
        <color theme="1"/>
        <rFont val="Consolas"/>
        <charset val="134"/>
      </rPr>
      <t xml:space="preserve"> - </t>
    </r>
    <r>
      <rPr>
        <sz val="10"/>
        <color theme="1"/>
        <rFont val="宋体"/>
        <charset val="134"/>
      </rPr>
      <t>立即更改，重启生效</t>
    </r>
  </si>
  <si>
    <r>
      <rPr>
        <sz val="10"/>
        <color theme="1"/>
        <rFont val="Consolas"/>
        <charset val="134"/>
      </rPr>
      <t>Modbus-</t>
    </r>
    <r>
      <rPr>
        <sz val="10"/>
        <color theme="1"/>
        <rFont val="宋体"/>
        <charset val="134"/>
      </rPr>
      <t>从站节点</t>
    </r>
    <r>
      <rPr>
        <sz val="10"/>
        <color theme="1"/>
        <rFont val="Consolas"/>
        <charset val="134"/>
      </rPr>
      <t>ID</t>
    </r>
  </si>
  <si>
    <t>u32MbBaudrate</t>
  </si>
  <si>
    <t>19200</t>
  </si>
  <si>
    <t>1000000</t>
  </si>
  <si>
    <r>
      <rPr>
        <sz val="10"/>
        <color theme="1"/>
        <rFont val="Consolas"/>
        <charset val="134"/>
      </rPr>
      <t>Modbus-</t>
    </r>
    <r>
      <rPr>
        <sz val="10"/>
        <color theme="1"/>
        <rFont val="宋体"/>
        <charset val="134"/>
      </rPr>
      <t>从站波特率</t>
    </r>
  </si>
  <si>
    <t>u16MbParity</t>
  </si>
  <si>
    <r>
      <rPr>
        <sz val="10"/>
        <color theme="1"/>
        <rFont val="Consolas"/>
        <charset val="134"/>
      </rPr>
      <t>Modbus-</t>
    </r>
    <r>
      <rPr>
        <sz val="10"/>
        <color theme="1"/>
        <rFont val="宋体"/>
        <charset val="134"/>
      </rPr>
      <t>从站检验位</t>
    </r>
  </si>
  <si>
    <r>
      <rPr>
        <sz val="10"/>
        <color theme="1"/>
        <rFont val="Consolas"/>
        <charset val="134"/>
      </rPr>
      <t>0-</t>
    </r>
    <r>
      <rPr>
        <sz val="10"/>
        <color theme="1"/>
        <rFont val="宋体"/>
        <charset val="134"/>
      </rPr>
      <t>无校验</t>
    </r>
    <r>
      <rPr>
        <sz val="10"/>
        <color theme="1"/>
        <rFont val="Consolas"/>
        <charset val="134"/>
      </rPr>
      <t>;
1-</t>
    </r>
    <r>
      <rPr>
        <sz val="10"/>
        <color theme="1"/>
        <rFont val="宋体"/>
        <charset val="134"/>
      </rPr>
      <t>奇校验</t>
    </r>
    <r>
      <rPr>
        <sz val="10"/>
        <color theme="1"/>
        <rFont val="Consolas"/>
        <charset val="134"/>
      </rPr>
      <t>;
2-</t>
    </r>
    <r>
      <rPr>
        <sz val="10"/>
        <color theme="1"/>
        <rFont val="宋体"/>
        <charset val="134"/>
      </rPr>
      <t>偶校验</t>
    </r>
  </si>
  <si>
    <t>u16MbMstEndian</t>
  </si>
  <si>
    <r>
      <rPr>
        <sz val="10"/>
        <color theme="1"/>
        <rFont val="Consolas"/>
        <charset val="134"/>
      </rPr>
      <t>Modbus-</t>
    </r>
    <r>
      <rPr>
        <sz val="10"/>
        <color theme="1"/>
        <rFont val="宋体"/>
        <charset val="134"/>
      </rPr>
      <t>主站大小端</t>
    </r>
  </si>
  <si>
    <r>
      <rPr>
        <sz val="10"/>
        <color theme="1"/>
        <rFont val="Consolas"/>
        <charset val="134"/>
      </rPr>
      <t>0-</t>
    </r>
    <r>
      <rPr>
        <sz val="10"/>
        <color theme="1"/>
        <rFont val="宋体"/>
        <charset val="134"/>
      </rPr>
      <t>小端</t>
    </r>
    <r>
      <rPr>
        <sz val="10"/>
        <color theme="1"/>
        <rFont val="Consolas"/>
        <charset val="134"/>
      </rPr>
      <t>;
1-</t>
    </r>
    <r>
      <rPr>
        <sz val="10"/>
        <color theme="1"/>
        <rFont val="宋体"/>
        <charset val="134"/>
      </rPr>
      <t>大端</t>
    </r>
    <r>
      <rPr>
        <sz val="10"/>
        <color theme="1"/>
        <rFont val="Consolas"/>
        <charset val="134"/>
      </rPr>
      <t>;</t>
    </r>
  </si>
  <si>
    <t>u16MbDisconnTime</t>
  </si>
  <si>
    <t>5000</t>
  </si>
  <si>
    <t>U16_MIN</t>
  </si>
  <si>
    <t>ms</t>
  </si>
  <si>
    <r>
      <rPr>
        <sz val="10"/>
        <color theme="1"/>
        <rFont val="Consolas"/>
        <charset val="134"/>
      </rPr>
      <t>Modbus-</t>
    </r>
    <r>
      <rPr>
        <sz val="10"/>
        <color theme="1"/>
        <rFont val="宋体"/>
        <charset val="134"/>
      </rPr>
      <t>通讯断开检测时间</t>
    </r>
  </si>
  <si>
    <t>u16MbResponseDelay</t>
  </si>
  <si>
    <r>
      <rPr>
        <sz val="10"/>
        <color theme="1"/>
        <rFont val="Consolas"/>
        <charset val="134"/>
      </rPr>
      <t>Modbus-</t>
    </r>
    <r>
      <rPr>
        <sz val="10"/>
        <color theme="1"/>
        <rFont val="宋体"/>
        <charset val="134"/>
      </rPr>
      <t>命令响应延时</t>
    </r>
    <r>
      <rPr>
        <sz val="10"/>
        <color theme="1"/>
        <rFont val="Consolas"/>
        <charset val="134"/>
      </rPr>
      <t xml:space="preserve"> </t>
    </r>
  </si>
  <si>
    <t>u16CopNodeId</t>
  </si>
  <si>
    <t>127</t>
  </si>
  <si>
    <r>
      <rPr>
        <sz val="10"/>
        <color theme="1"/>
        <rFont val="Consolas"/>
        <charset val="134"/>
      </rPr>
      <t>CANopen-</t>
    </r>
    <r>
      <rPr>
        <sz val="10"/>
        <color theme="1"/>
        <rFont val="宋体"/>
        <charset val="134"/>
      </rPr>
      <t>节点</t>
    </r>
    <r>
      <rPr>
        <sz val="10"/>
        <color theme="1"/>
        <rFont val="Consolas"/>
        <charset val="134"/>
      </rPr>
      <t>ID</t>
    </r>
  </si>
  <si>
    <t>u16CopBitrate</t>
  </si>
  <si>
    <r>
      <rPr>
        <sz val="10"/>
        <color theme="1"/>
        <rFont val="Consolas"/>
        <charset val="134"/>
      </rPr>
      <t>CANopen-</t>
    </r>
    <r>
      <rPr>
        <sz val="10"/>
        <color theme="1"/>
        <rFont val="宋体"/>
        <charset val="134"/>
      </rPr>
      <t>比特率</t>
    </r>
  </si>
  <si>
    <t>u16PdoInhTime</t>
  </si>
  <si>
    <t>100</t>
  </si>
  <si>
    <r>
      <rPr>
        <sz val="10"/>
        <color theme="1"/>
        <rFont val="Consolas"/>
        <charset val="134"/>
      </rPr>
      <t>CANopen-PDO</t>
    </r>
    <r>
      <rPr>
        <sz val="10"/>
        <color theme="1"/>
        <rFont val="宋体"/>
        <charset val="134"/>
      </rPr>
      <t>禁止时间</t>
    </r>
  </si>
  <si>
    <t>u16CopState</t>
  </si>
  <si>
    <r>
      <rPr>
        <sz val="10"/>
        <color theme="1"/>
        <rFont val="Consolas"/>
        <charset val="134"/>
      </rPr>
      <t>CANopen-</t>
    </r>
    <r>
      <rPr>
        <sz val="10"/>
        <color theme="1"/>
        <rFont val="宋体"/>
        <charset val="134"/>
      </rPr>
      <t>通信状态</t>
    </r>
  </si>
  <si>
    <t>u16EcatScanPrd</t>
  </si>
  <si>
    <r>
      <rPr>
        <sz val="10"/>
        <color theme="1"/>
        <rFont val="Consolas"/>
        <charset val="134"/>
      </rPr>
      <t>EtherCAT-</t>
    </r>
    <r>
      <rPr>
        <sz val="10"/>
        <color theme="1"/>
        <rFont val="宋体"/>
        <charset val="134"/>
      </rPr>
      <t>通信状态</t>
    </r>
  </si>
  <si>
    <t>u16EcatState</t>
  </si>
  <si>
    <r>
      <rPr>
        <sz val="10"/>
        <color theme="1"/>
        <rFont val="Consolas"/>
        <charset val="134"/>
      </rPr>
      <t>EtherCAT-Port0</t>
    </r>
    <r>
      <rPr>
        <sz val="10"/>
        <color theme="1"/>
        <rFont val="宋体"/>
        <charset val="134"/>
      </rPr>
      <t>错误统计</t>
    </r>
  </si>
  <si>
    <t>u16EcatPort0ErrCnt</t>
  </si>
  <si>
    <r>
      <rPr>
        <sz val="10"/>
        <color theme="1"/>
        <rFont val="Consolas"/>
        <charset val="134"/>
      </rPr>
      <t>EtherCAT-Port1</t>
    </r>
    <r>
      <rPr>
        <sz val="10"/>
        <color theme="1"/>
        <rFont val="宋体"/>
        <charset val="134"/>
      </rPr>
      <t>错误统计</t>
    </r>
  </si>
  <si>
    <t>u16EcatPort1ErrCnt</t>
  </si>
  <si>
    <r>
      <rPr>
        <sz val="10"/>
        <color theme="1"/>
        <rFont val="Consolas"/>
        <charset val="134"/>
      </rPr>
      <t>EtherCAT-</t>
    </r>
    <r>
      <rPr>
        <sz val="10"/>
        <color theme="1"/>
        <rFont val="宋体"/>
        <charset val="134"/>
      </rPr>
      <t>接收错误统计</t>
    </r>
  </si>
  <si>
    <t>u16EcatRxErrCnt</t>
  </si>
  <si>
    <r>
      <rPr>
        <sz val="10"/>
        <color theme="1"/>
        <rFont val="Consolas"/>
        <charset val="134"/>
      </rPr>
      <t>EtherCAT-</t>
    </r>
    <r>
      <rPr>
        <sz val="10"/>
        <color theme="1"/>
        <rFont val="宋体"/>
        <charset val="134"/>
      </rPr>
      <t>处理单元错误统计</t>
    </r>
  </si>
  <si>
    <t>u16EcatPdiErrCnt</t>
  </si>
  <si>
    <t>u16PanelDispPage</t>
  </si>
  <si>
    <t>5</t>
  </si>
  <si>
    <r>
      <rPr>
        <sz val="10"/>
        <color theme="1"/>
        <rFont val="宋体"/>
        <charset val="134"/>
      </rPr>
      <t>面板默认显示页面</t>
    </r>
  </si>
  <si>
    <r>
      <rPr>
        <sz val="10"/>
        <color theme="1"/>
        <rFont val="Consolas"/>
        <charset val="134"/>
      </rPr>
      <t>0-</t>
    </r>
    <r>
      <rPr>
        <sz val="10"/>
        <color theme="1"/>
        <rFont val="宋体"/>
        <charset val="134"/>
      </rPr>
      <t>反馈转速</t>
    </r>
    <r>
      <rPr>
        <sz val="10"/>
        <color theme="1"/>
        <rFont val="Consolas"/>
        <charset val="134"/>
      </rPr>
      <t xml:space="preserve">
1-</t>
    </r>
    <r>
      <rPr>
        <sz val="10"/>
        <color theme="1"/>
        <rFont val="宋体"/>
        <charset val="134"/>
      </rPr>
      <t>反馈转矩</t>
    </r>
    <r>
      <rPr>
        <sz val="10"/>
        <color theme="1"/>
        <rFont val="Consolas"/>
        <charset val="134"/>
      </rPr>
      <t xml:space="preserve">
2-</t>
    </r>
    <r>
      <rPr>
        <sz val="10"/>
        <color theme="1"/>
        <rFont val="宋体"/>
        <charset val="134"/>
      </rPr>
      <t>位置偏差</t>
    </r>
    <r>
      <rPr>
        <sz val="10"/>
        <color theme="1"/>
        <rFont val="Consolas"/>
        <charset val="134"/>
      </rPr>
      <t xml:space="preserve">
3-</t>
    </r>
    <r>
      <rPr>
        <sz val="10"/>
        <color theme="1"/>
        <rFont val="宋体"/>
        <charset val="134"/>
      </rPr>
      <t>反馈脉冲</t>
    </r>
    <r>
      <rPr>
        <sz val="10"/>
        <color theme="1"/>
        <rFont val="Consolas"/>
        <charset val="134"/>
      </rPr>
      <t xml:space="preserve">
4-</t>
    </r>
    <r>
      <rPr>
        <sz val="10"/>
        <color theme="1"/>
        <rFont val="宋体"/>
        <charset val="134"/>
      </rPr>
      <t>指令脉冲</t>
    </r>
    <r>
      <rPr>
        <sz val="10"/>
        <color theme="1"/>
        <rFont val="Consolas"/>
        <charset val="134"/>
      </rPr>
      <t xml:space="preserve">
5-</t>
    </r>
    <r>
      <rPr>
        <sz val="10"/>
        <color theme="1"/>
        <rFont val="宋体"/>
        <charset val="134"/>
      </rPr>
      <t>系统运行状态</t>
    </r>
  </si>
  <si>
    <t>u16PanelKeyVaule</t>
  </si>
  <si>
    <r>
      <rPr>
        <sz val="10"/>
        <color theme="1"/>
        <rFont val="宋体"/>
        <charset val="134"/>
      </rPr>
      <t>面板按键键值</t>
    </r>
  </si>
  <si>
    <t>u16ScopeSampPrd</t>
  </si>
  <si>
    <t>2000</t>
  </si>
  <si>
    <t>不允许保存，不可恢复</t>
  </si>
  <si>
    <t>数据采样周期</t>
  </si>
  <si>
    <t>u16ScopeSampPts</t>
  </si>
  <si>
    <t>数据采样点数</t>
  </si>
  <si>
    <t>u16ScopeSampSrc1</t>
  </si>
  <si>
    <r>
      <rPr>
        <sz val="10"/>
        <color theme="1"/>
        <rFont val="宋体"/>
        <charset val="134"/>
      </rPr>
      <t>数据记录通道来源</t>
    </r>
    <r>
      <rPr>
        <sz val="10"/>
        <color theme="1"/>
        <rFont val="Consolas"/>
        <charset val="134"/>
      </rPr>
      <t>1 (</t>
    </r>
    <r>
      <rPr>
        <sz val="10"/>
        <color theme="1"/>
        <rFont val="宋体"/>
        <charset val="134"/>
      </rPr>
      <t>数据源</t>
    </r>
    <r>
      <rPr>
        <sz val="10"/>
        <color theme="1"/>
        <rFont val="Consolas"/>
        <charset val="134"/>
      </rPr>
      <t>)</t>
    </r>
  </si>
  <si>
    <r>
      <rPr>
        <sz val="10"/>
        <color theme="1"/>
        <rFont val="Consolas"/>
        <charset val="134"/>
      </rPr>
      <t>00-</t>
    </r>
    <r>
      <rPr>
        <sz val="10"/>
        <color theme="1"/>
        <rFont val="宋体"/>
        <charset val="134"/>
      </rPr>
      <t>无</t>
    </r>
    <r>
      <rPr>
        <sz val="10"/>
        <color theme="1"/>
        <rFont val="Consolas"/>
        <charset val="134"/>
      </rPr>
      <t xml:space="preserve">
01-</t>
    </r>
    <r>
      <rPr>
        <sz val="10"/>
        <color theme="1"/>
        <rFont val="宋体"/>
        <charset val="134"/>
      </rPr>
      <t>自定义地址</t>
    </r>
    <r>
      <rPr>
        <sz val="10"/>
        <color theme="1"/>
        <rFont val="Consolas"/>
        <charset val="134"/>
      </rPr>
      <t xml:space="preserve">
02-</t>
    </r>
    <r>
      <rPr>
        <sz val="10"/>
        <color theme="1"/>
        <rFont val="宋体"/>
        <charset val="134"/>
      </rPr>
      <t>主回路母线电压</t>
    </r>
    <r>
      <rPr>
        <sz val="10"/>
        <color theme="1"/>
        <rFont val="Consolas"/>
        <charset val="134"/>
      </rPr>
      <t xml:space="preserve">
03-</t>
    </r>
    <r>
      <rPr>
        <sz val="10"/>
        <color theme="1"/>
        <rFont val="宋体"/>
        <charset val="134"/>
      </rPr>
      <t>用户转矩指令</t>
    </r>
    <r>
      <rPr>
        <sz val="10"/>
        <color theme="1"/>
        <rFont val="Consolas"/>
        <charset val="134"/>
      </rPr>
      <t xml:space="preserve">
04-</t>
    </r>
    <r>
      <rPr>
        <sz val="10"/>
        <color theme="1"/>
        <rFont val="宋体"/>
        <charset val="134"/>
      </rPr>
      <t>用户转矩反馈</t>
    </r>
    <r>
      <rPr>
        <sz val="10"/>
        <color theme="1"/>
        <rFont val="Consolas"/>
        <charset val="134"/>
      </rPr>
      <t xml:space="preserve">
05-</t>
    </r>
    <r>
      <rPr>
        <sz val="10"/>
        <color theme="1"/>
        <rFont val="宋体"/>
        <charset val="134"/>
      </rPr>
      <t>用户速度指令</t>
    </r>
    <r>
      <rPr>
        <sz val="10"/>
        <color theme="1"/>
        <rFont val="Consolas"/>
        <charset val="134"/>
      </rPr>
      <t xml:space="preserve">
06-</t>
    </r>
    <r>
      <rPr>
        <sz val="10"/>
        <color theme="1"/>
        <rFont val="宋体"/>
        <charset val="134"/>
      </rPr>
      <t>用户速度反馈</t>
    </r>
    <r>
      <rPr>
        <sz val="10"/>
        <color theme="1"/>
        <rFont val="Consolas"/>
        <charset val="134"/>
      </rPr>
      <t xml:space="preserve">
07-</t>
    </r>
    <r>
      <rPr>
        <sz val="10"/>
        <color theme="1"/>
        <rFont val="宋体"/>
        <charset val="134"/>
      </rPr>
      <t>用户位置指令</t>
    </r>
    <r>
      <rPr>
        <sz val="10"/>
        <color theme="1"/>
        <rFont val="Consolas"/>
        <charset val="134"/>
      </rPr>
      <t xml:space="preserve">
08-</t>
    </r>
    <r>
      <rPr>
        <sz val="10"/>
        <color theme="1"/>
        <rFont val="宋体"/>
        <charset val="134"/>
      </rPr>
      <t>用户位置反馈</t>
    </r>
    <r>
      <rPr>
        <sz val="10"/>
        <color theme="1"/>
        <rFont val="Consolas"/>
        <charset val="134"/>
      </rPr>
      <t xml:space="preserve">
09-</t>
    </r>
    <r>
      <rPr>
        <sz val="10"/>
        <color theme="1"/>
        <rFont val="宋体"/>
        <charset val="134"/>
      </rPr>
      <t>驱动层速度指令</t>
    </r>
    <r>
      <rPr>
        <sz val="10"/>
        <color theme="1"/>
        <rFont val="Consolas"/>
        <charset val="134"/>
      </rPr>
      <t xml:space="preserve">
10-</t>
    </r>
    <r>
      <rPr>
        <sz val="10"/>
        <color theme="1"/>
        <rFont val="宋体"/>
        <charset val="134"/>
      </rPr>
      <t>驱动层速度反馈</t>
    </r>
    <r>
      <rPr>
        <sz val="10"/>
        <color theme="1"/>
        <rFont val="Consolas"/>
        <charset val="134"/>
      </rPr>
      <t xml:space="preserve">
11-</t>
    </r>
    <r>
      <rPr>
        <sz val="10"/>
        <color theme="1"/>
        <rFont val="宋体"/>
        <charset val="134"/>
      </rPr>
      <t>驱动层位置指令</t>
    </r>
    <r>
      <rPr>
        <sz val="10"/>
        <color theme="1"/>
        <rFont val="Consolas"/>
        <charset val="134"/>
      </rPr>
      <t xml:space="preserve">
12-</t>
    </r>
    <r>
      <rPr>
        <sz val="10"/>
        <color theme="1"/>
        <rFont val="宋体"/>
        <charset val="134"/>
      </rPr>
      <t>驱动层位置反馈</t>
    </r>
    <r>
      <rPr>
        <sz val="10"/>
        <color theme="1"/>
        <rFont val="Consolas"/>
        <charset val="134"/>
      </rPr>
      <t xml:space="preserve">
13-</t>
    </r>
    <r>
      <rPr>
        <sz val="10"/>
        <color theme="1"/>
        <rFont val="宋体"/>
        <charset val="134"/>
      </rPr>
      <t>电角度指令</t>
    </r>
    <r>
      <rPr>
        <sz val="10"/>
        <color theme="1"/>
        <rFont val="Consolas"/>
        <charset val="134"/>
      </rPr>
      <t xml:space="preserve">
14-</t>
    </r>
    <r>
      <rPr>
        <sz val="10"/>
        <color theme="1"/>
        <rFont val="宋体"/>
        <charset val="134"/>
      </rPr>
      <t>电角度反馈</t>
    </r>
    <r>
      <rPr>
        <sz val="10"/>
        <color theme="1"/>
        <rFont val="Consolas"/>
        <charset val="134"/>
      </rPr>
      <t xml:space="preserve">
15-U</t>
    </r>
    <r>
      <rPr>
        <sz val="10"/>
        <color theme="1"/>
        <rFont val="宋体"/>
        <charset val="134"/>
      </rPr>
      <t>相占空比</t>
    </r>
    <r>
      <rPr>
        <sz val="10"/>
        <color theme="1"/>
        <rFont val="Consolas"/>
        <charset val="134"/>
      </rPr>
      <t xml:space="preserve">
16-V</t>
    </r>
    <r>
      <rPr>
        <sz val="10"/>
        <color theme="1"/>
        <rFont val="宋体"/>
        <charset val="134"/>
      </rPr>
      <t>相占空比</t>
    </r>
    <r>
      <rPr>
        <sz val="10"/>
        <color theme="1"/>
        <rFont val="Consolas"/>
        <charset val="134"/>
      </rPr>
      <t xml:space="preserve">
17-W</t>
    </r>
    <r>
      <rPr>
        <sz val="10"/>
        <color theme="1"/>
        <rFont val="宋体"/>
        <charset val="134"/>
      </rPr>
      <t>相占空比</t>
    </r>
    <r>
      <rPr>
        <sz val="10"/>
        <color theme="1"/>
        <rFont val="Consolas"/>
        <charset val="134"/>
      </rPr>
      <t xml:space="preserve">
18-U</t>
    </r>
    <r>
      <rPr>
        <sz val="10"/>
        <color theme="1"/>
        <rFont val="宋体"/>
        <charset val="134"/>
      </rPr>
      <t>相电流反馈</t>
    </r>
    <r>
      <rPr>
        <sz val="10"/>
        <color theme="1"/>
        <rFont val="Consolas"/>
        <charset val="134"/>
      </rPr>
      <t xml:space="preserve">
19-V</t>
    </r>
    <r>
      <rPr>
        <sz val="10"/>
        <color theme="1"/>
        <rFont val="宋体"/>
        <charset val="134"/>
      </rPr>
      <t>相电流反馈</t>
    </r>
    <r>
      <rPr>
        <sz val="10"/>
        <color theme="1"/>
        <rFont val="Consolas"/>
        <charset val="134"/>
      </rPr>
      <t xml:space="preserve">
20-W</t>
    </r>
    <r>
      <rPr>
        <sz val="10"/>
        <color theme="1"/>
        <rFont val="宋体"/>
        <charset val="134"/>
      </rPr>
      <t>相电流反馈</t>
    </r>
    <r>
      <rPr>
        <sz val="10"/>
        <color theme="1"/>
        <rFont val="Consolas"/>
        <charset val="134"/>
      </rPr>
      <t xml:space="preserve">
21-Q</t>
    </r>
    <r>
      <rPr>
        <sz val="10"/>
        <color theme="1"/>
        <rFont val="宋体"/>
        <charset val="134"/>
      </rPr>
      <t>轴电流指令</t>
    </r>
    <r>
      <rPr>
        <sz val="10"/>
        <color theme="1"/>
        <rFont val="Consolas"/>
        <charset val="134"/>
      </rPr>
      <t xml:space="preserve">
22-Q</t>
    </r>
    <r>
      <rPr>
        <sz val="10"/>
        <color theme="1"/>
        <rFont val="宋体"/>
        <charset val="134"/>
      </rPr>
      <t>轴电流反馈</t>
    </r>
    <r>
      <rPr>
        <sz val="10"/>
        <color theme="1"/>
        <rFont val="Consolas"/>
        <charset val="134"/>
      </rPr>
      <t xml:space="preserve">
23-D</t>
    </r>
    <r>
      <rPr>
        <sz val="10"/>
        <color theme="1"/>
        <rFont val="宋体"/>
        <charset val="134"/>
      </rPr>
      <t>轴电流指令</t>
    </r>
    <r>
      <rPr>
        <sz val="10"/>
        <color theme="1"/>
        <rFont val="Consolas"/>
        <charset val="134"/>
      </rPr>
      <t xml:space="preserve">
24-D</t>
    </r>
    <r>
      <rPr>
        <sz val="10"/>
        <color theme="1"/>
        <rFont val="宋体"/>
        <charset val="134"/>
      </rPr>
      <t>轴电流反馈</t>
    </r>
    <r>
      <rPr>
        <sz val="10"/>
        <color theme="1"/>
        <rFont val="Consolas"/>
        <charset val="134"/>
      </rPr>
      <t xml:space="preserve">
25-</t>
    </r>
    <r>
      <rPr>
        <sz val="10"/>
        <color theme="1"/>
        <rFont val="宋体"/>
        <charset val="134"/>
      </rPr>
      <t>调试缓冲数据</t>
    </r>
    <r>
      <rPr>
        <sz val="10"/>
        <color theme="1"/>
        <rFont val="Consolas"/>
        <charset val="134"/>
      </rPr>
      <t>1</t>
    </r>
    <r>
      <rPr>
        <sz val="10"/>
        <color theme="1"/>
        <rFont val="宋体"/>
        <charset val="134"/>
      </rPr>
      <t>（有符号</t>
    </r>
    <r>
      <rPr>
        <sz val="10"/>
        <color theme="1"/>
        <rFont val="Consolas"/>
        <charset val="134"/>
      </rPr>
      <t>64</t>
    </r>
    <r>
      <rPr>
        <sz val="10"/>
        <color theme="1"/>
        <rFont val="宋体"/>
        <charset val="134"/>
      </rPr>
      <t>位）</t>
    </r>
    <r>
      <rPr>
        <sz val="10"/>
        <color theme="1"/>
        <rFont val="Consolas"/>
        <charset val="134"/>
      </rPr>
      <t xml:space="preserve">
26-</t>
    </r>
    <r>
      <rPr>
        <sz val="10"/>
        <color theme="1"/>
        <rFont val="宋体"/>
        <charset val="134"/>
      </rPr>
      <t>调试缓冲数据</t>
    </r>
    <r>
      <rPr>
        <sz val="10"/>
        <color theme="1"/>
        <rFont val="Consolas"/>
        <charset val="134"/>
      </rPr>
      <t>2</t>
    </r>
    <r>
      <rPr>
        <sz val="10"/>
        <color theme="1"/>
        <rFont val="宋体"/>
        <charset val="134"/>
      </rPr>
      <t>（有符号</t>
    </r>
    <r>
      <rPr>
        <sz val="10"/>
        <color theme="1"/>
        <rFont val="Consolas"/>
        <charset val="134"/>
      </rPr>
      <t>64</t>
    </r>
    <r>
      <rPr>
        <sz val="10"/>
        <color theme="1"/>
        <rFont val="宋体"/>
        <charset val="134"/>
      </rPr>
      <t>位）</t>
    </r>
    <r>
      <rPr>
        <sz val="10"/>
        <color theme="1"/>
        <rFont val="Consolas"/>
        <charset val="134"/>
      </rPr>
      <t xml:space="preserve">
27-</t>
    </r>
    <r>
      <rPr>
        <sz val="10"/>
        <color theme="1"/>
        <rFont val="宋体"/>
        <charset val="134"/>
      </rPr>
      <t>调试缓冲数据</t>
    </r>
    <r>
      <rPr>
        <sz val="10"/>
        <color theme="1"/>
        <rFont val="Consolas"/>
        <charset val="134"/>
      </rPr>
      <t>3</t>
    </r>
    <r>
      <rPr>
        <sz val="10"/>
        <color theme="1"/>
        <rFont val="宋体"/>
        <charset val="134"/>
      </rPr>
      <t>（有符号</t>
    </r>
    <r>
      <rPr>
        <sz val="10"/>
        <color theme="1"/>
        <rFont val="Consolas"/>
        <charset val="134"/>
      </rPr>
      <t>64</t>
    </r>
    <r>
      <rPr>
        <sz val="10"/>
        <color theme="1"/>
        <rFont val="宋体"/>
        <charset val="134"/>
      </rPr>
      <t>位）</t>
    </r>
    <r>
      <rPr>
        <sz val="10"/>
        <color theme="1"/>
        <rFont val="Consolas"/>
        <charset val="134"/>
      </rPr>
      <t xml:space="preserve">
28-</t>
    </r>
    <r>
      <rPr>
        <sz val="10"/>
        <color theme="1"/>
        <rFont val="宋体"/>
        <charset val="134"/>
      </rPr>
      <t>调试缓冲数据</t>
    </r>
    <r>
      <rPr>
        <sz val="10"/>
        <color theme="1"/>
        <rFont val="Consolas"/>
        <charset val="134"/>
      </rPr>
      <t>4</t>
    </r>
    <r>
      <rPr>
        <sz val="10"/>
        <color theme="1"/>
        <rFont val="宋体"/>
        <charset val="134"/>
      </rPr>
      <t>（有符号</t>
    </r>
    <r>
      <rPr>
        <sz val="10"/>
        <color theme="1"/>
        <rFont val="Consolas"/>
        <charset val="134"/>
      </rPr>
      <t>64</t>
    </r>
    <r>
      <rPr>
        <sz val="10"/>
        <color theme="1"/>
        <rFont val="宋体"/>
        <charset val="134"/>
      </rPr>
      <t>位）</t>
    </r>
    <r>
      <rPr>
        <sz val="10"/>
        <color theme="1"/>
        <rFont val="Consolas"/>
        <charset val="134"/>
      </rPr>
      <t xml:space="preserve">
29-</t>
    </r>
    <r>
      <rPr>
        <sz val="10"/>
        <color theme="1"/>
        <rFont val="宋体"/>
        <charset val="134"/>
      </rPr>
      <t>调试缓冲数据</t>
    </r>
    <r>
      <rPr>
        <sz val="10"/>
        <color theme="1"/>
        <rFont val="Consolas"/>
        <charset val="134"/>
      </rPr>
      <t>1</t>
    </r>
    <r>
      <rPr>
        <sz val="10"/>
        <color theme="1"/>
        <rFont val="宋体"/>
        <charset val="134"/>
      </rPr>
      <t>（无符号</t>
    </r>
    <r>
      <rPr>
        <sz val="10"/>
        <color theme="1"/>
        <rFont val="Consolas"/>
        <charset val="134"/>
      </rPr>
      <t>64</t>
    </r>
    <r>
      <rPr>
        <sz val="10"/>
        <color theme="1"/>
        <rFont val="宋体"/>
        <charset val="134"/>
      </rPr>
      <t>位）</t>
    </r>
    <r>
      <rPr>
        <sz val="10"/>
        <color theme="1"/>
        <rFont val="Consolas"/>
        <charset val="134"/>
      </rPr>
      <t xml:space="preserve">
30-</t>
    </r>
    <r>
      <rPr>
        <sz val="10"/>
        <color theme="1"/>
        <rFont val="宋体"/>
        <charset val="134"/>
      </rPr>
      <t>调试缓冲数据</t>
    </r>
    <r>
      <rPr>
        <sz val="10"/>
        <color theme="1"/>
        <rFont val="Consolas"/>
        <charset val="134"/>
      </rPr>
      <t>2</t>
    </r>
    <r>
      <rPr>
        <sz val="10"/>
        <color theme="1"/>
        <rFont val="宋体"/>
        <charset val="134"/>
      </rPr>
      <t>（无符号</t>
    </r>
    <r>
      <rPr>
        <sz val="10"/>
        <color theme="1"/>
        <rFont val="Consolas"/>
        <charset val="134"/>
      </rPr>
      <t>64</t>
    </r>
    <r>
      <rPr>
        <sz val="10"/>
        <color theme="1"/>
        <rFont val="宋体"/>
        <charset val="134"/>
      </rPr>
      <t>位）</t>
    </r>
    <r>
      <rPr>
        <sz val="10"/>
        <color theme="1"/>
        <rFont val="Consolas"/>
        <charset val="134"/>
      </rPr>
      <t xml:space="preserve">
31-</t>
    </r>
    <r>
      <rPr>
        <sz val="10"/>
        <color theme="1"/>
        <rFont val="宋体"/>
        <charset val="134"/>
      </rPr>
      <t>调试缓冲数据</t>
    </r>
    <r>
      <rPr>
        <sz val="10"/>
        <color theme="1"/>
        <rFont val="Consolas"/>
        <charset val="134"/>
      </rPr>
      <t>3</t>
    </r>
    <r>
      <rPr>
        <sz val="10"/>
        <color theme="1"/>
        <rFont val="宋体"/>
        <charset val="134"/>
      </rPr>
      <t>（无符号</t>
    </r>
    <r>
      <rPr>
        <sz val="10"/>
        <color theme="1"/>
        <rFont val="Consolas"/>
        <charset val="134"/>
      </rPr>
      <t>64</t>
    </r>
    <r>
      <rPr>
        <sz val="10"/>
        <color theme="1"/>
        <rFont val="宋体"/>
        <charset val="134"/>
      </rPr>
      <t>位）</t>
    </r>
    <r>
      <rPr>
        <sz val="10"/>
        <color theme="1"/>
        <rFont val="Consolas"/>
        <charset val="134"/>
      </rPr>
      <t xml:space="preserve">
32-</t>
    </r>
    <r>
      <rPr>
        <sz val="10"/>
        <color theme="1"/>
        <rFont val="宋体"/>
        <charset val="134"/>
      </rPr>
      <t>调试缓冲数据</t>
    </r>
    <r>
      <rPr>
        <sz val="10"/>
        <color theme="1"/>
        <rFont val="Consolas"/>
        <charset val="134"/>
      </rPr>
      <t>4</t>
    </r>
    <r>
      <rPr>
        <sz val="10"/>
        <color theme="1"/>
        <rFont val="宋体"/>
        <charset val="134"/>
      </rPr>
      <t>（无符号</t>
    </r>
    <r>
      <rPr>
        <sz val="10"/>
        <color theme="1"/>
        <rFont val="Consolas"/>
        <charset val="134"/>
      </rPr>
      <t>64</t>
    </r>
    <r>
      <rPr>
        <sz val="10"/>
        <color theme="1"/>
        <rFont val="宋体"/>
        <charset val="134"/>
      </rPr>
      <t>位）</t>
    </r>
  </si>
  <si>
    <t>u16ScopeSampSrc2</t>
  </si>
  <si>
    <r>
      <rPr>
        <sz val="10"/>
        <color theme="1"/>
        <rFont val="Consolas"/>
        <charset val="134"/>
      </rPr>
      <t>数据记录通道来源</t>
    </r>
    <r>
      <rPr>
        <sz val="10"/>
        <color theme="1"/>
        <rFont val="Consolas"/>
        <charset val="134"/>
      </rPr>
      <t>2 (</t>
    </r>
    <r>
      <rPr>
        <sz val="10"/>
        <color theme="1"/>
        <rFont val="宋体"/>
        <charset val="134"/>
      </rPr>
      <t>数据源</t>
    </r>
    <r>
      <rPr>
        <sz val="10"/>
        <color theme="1"/>
        <rFont val="Consolas"/>
        <charset val="134"/>
      </rPr>
      <t>)</t>
    </r>
  </si>
  <si>
    <t>u16ScopeSampSrc3</t>
  </si>
  <si>
    <r>
      <rPr>
        <sz val="10"/>
        <color theme="1"/>
        <rFont val="Consolas"/>
        <charset val="134"/>
      </rPr>
      <t>数据记录通道来源</t>
    </r>
    <r>
      <rPr>
        <sz val="10"/>
        <color theme="1"/>
        <rFont val="Consolas"/>
        <charset val="134"/>
      </rPr>
      <t>3 (</t>
    </r>
    <r>
      <rPr>
        <sz val="10"/>
        <color theme="1"/>
        <rFont val="宋体"/>
        <charset val="134"/>
      </rPr>
      <t>数据源</t>
    </r>
    <r>
      <rPr>
        <sz val="10"/>
        <color theme="1"/>
        <rFont val="Consolas"/>
        <charset val="134"/>
      </rPr>
      <t>)</t>
    </r>
  </si>
  <si>
    <t>u16ScopeSampSrc4</t>
  </si>
  <si>
    <r>
      <rPr>
        <sz val="10"/>
        <color theme="1"/>
        <rFont val="Consolas"/>
        <charset val="134"/>
      </rPr>
      <t>数据记录通道来源</t>
    </r>
    <r>
      <rPr>
        <sz val="10"/>
        <color theme="1"/>
        <rFont val="Consolas"/>
        <charset val="134"/>
      </rPr>
      <t>4 (</t>
    </r>
    <r>
      <rPr>
        <sz val="10"/>
        <color theme="1"/>
        <rFont val="宋体"/>
        <charset val="134"/>
      </rPr>
      <t>数据源</t>
    </r>
    <r>
      <rPr>
        <sz val="10"/>
        <color theme="1"/>
        <rFont val="Consolas"/>
        <charset val="134"/>
      </rPr>
      <t>)</t>
    </r>
  </si>
  <si>
    <t>u16ScopeSampAddr1</t>
  </si>
  <si>
    <r>
      <rPr>
        <sz val="10"/>
        <color theme="1"/>
        <rFont val="Consolas"/>
        <charset val="134"/>
      </rPr>
      <t>数据记录通道地址</t>
    </r>
    <r>
      <rPr>
        <sz val="10"/>
        <color theme="1"/>
        <rFont val="Consolas"/>
        <charset val="134"/>
      </rPr>
      <t>1</t>
    </r>
  </si>
  <si>
    <t>u16ScopeSampAddr2</t>
  </si>
  <si>
    <r>
      <rPr>
        <sz val="10"/>
        <color theme="1"/>
        <rFont val="Consolas"/>
        <charset val="134"/>
      </rPr>
      <t>数据记录通道地址</t>
    </r>
    <r>
      <rPr>
        <sz val="10"/>
        <color theme="1"/>
        <rFont val="Consolas"/>
        <charset val="134"/>
      </rPr>
      <t>2</t>
    </r>
  </si>
  <si>
    <t>u16ScopeSampAddr3</t>
  </si>
  <si>
    <r>
      <rPr>
        <sz val="10"/>
        <color theme="1"/>
        <rFont val="Consolas"/>
        <charset val="134"/>
      </rPr>
      <t>数据记录通道地址</t>
    </r>
    <r>
      <rPr>
        <sz val="10"/>
        <color theme="1"/>
        <rFont val="Consolas"/>
        <charset val="134"/>
      </rPr>
      <t>3</t>
    </r>
  </si>
  <si>
    <t>u16ScopeSampAddr4</t>
  </si>
  <si>
    <r>
      <rPr>
        <sz val="10"/>
        <color theme="1"/>
        <rFont val="Consolas"/>
        <charset val="134"/>
      </rPr>
      <t>数据记录通道地址</t>
    </r>
    <r>
      <rPr>
        <sz val="10"/>
        <color theme="1"/>
        <rFont val="Consolas"/>
        <charset val="134"/>
      </rPr>
      <t>4</t>
    </r>
  </si>
  <si>
    <t>u16ScopeTrigSrc1</t>
  </si>
  <si>
    <r>
      <rPr>
        <sz val="10"/>
        <color theme="1"/>
        <rFont val="Consolas"/>
        <charset val="134"/>
      </rPr>
      <t>数据触发通道来源</t>
    </r>
    <r>
      <rPr>
        <sz val="10"/>
        <color theme="1"/>
        <rFont val="Consolas"/>
        <charset val="134"/>
      </rPr>
      <t xml:space="preserve">1 </t>
    </r>
  </si>
  <si>
    <t>00-无
01-用户自定义
02-伺服使能信号
03-PWM使能信号
04-用户转矩指令
05-用户转矩反馈
06-用户速度指令
07-用户速度反馈
08-用户位置指令
09-用户位置反馈
10-主回路母线电压
11-报警代码</t>
  </si>
  <si>
    <t>u16ScopeTrigSrc2</t>
  </si>
  <si>
    <r>
      <rPr>
        <sz val="10"/>
        <color theme="1"/>
        <rFont val="Consolas"/>
        <charset val="134"/>
      </rPr>
      <t>数据触发通道来源2</t>
    </r>
    <r>
      <rPr>
        <sz val="10"/>
        <color theme="1"/>
        <rFont val="Consolas"/>
        <charset val="134"/>
      </rPr>
      <t xml:space="preserve"> </t>
    </r>
  </si>
  <si>
    <t>u16ScopeTrigAddr1</t>
  </si>
  <si>
    <r>
      <rPr>
        <sz val="10"/>
        <color theme="1"/>
        <rFont val="Consolas"/>
        <charset val="134"/>
      </rPr>
      <t>数据触发通道地址</t>
    </r>
    <r>
      <rPr>
        <sz val="10"/>
        <color theme="1"/>
        <rFont val="Consolas"/>
        <charset val="134"/>
      </rPr>
      <t>1</t>
    </r>
  </si>
  <si>
    <t>u16ScopeTrigAddr2</t>
  </si>
  <si>
    <r>
      <rPr>
        <sz val="10"/>
        <color theme="1"/>
        <rFont val="Consolas"/>
        <charset val="134"/>
      </rPr>
      <t>数据触发通道地址</t>
    </r>
    <r>
      <rPr>
        <sz val="10"/>
        <color theme="1"/>
        <rFont val="Consolas"/>
        <charset val="134"/>
      </rPr>
      <t>2</t>
    </r>
  </si>
  <si>
    <t>u64</t>
  </si>
  <si>
    <t>u64ScopeTrigThold1</t>
  </si>
  <si>
    <t>U64_MAX</t>
  </si>
  <si>
    <r>
      <rPr>
        <sz val="10"/>
        <color theme="1"/>
        <rFont val="Consolas"/>
        <charset val="134"/>
      </rPr>
      <t>数据触发阈值</t>
    </r>
    <r>
      <rPr>
        <sz val="10"/>
        <color theme="1"/>
        <rFont val="Consolas"/>
        <charset val="134"/>
      </rPr>
      <t>1</t>
    </r>
  </si>
  <si>
    <t>u64ScopeTrigThold2</t>
  </si>
  <si>
    <r>
      <rPr>
        <sz val="10"/>
        <color theme="1"/>
        <rFont val="Consolas"/>
        <charset val="134"/>
      </rPr>
      <t>数据触发阈值</t>
    </r>
    <r>
      <rPr>
        <sz val="10"/>
        <color theme="1"/>
        <rFont val="Consolas"/>
        <charset val="134"/>
      </rPr>
      <t>2</t>
    </r>
  </si>
  <si>
    <t>u16ScopeTrigMode</t>
  </si>
  <si>
    <t>数据触发模式</t>
  </si>
  <si>
    <t>0-通道1
1-通道1且通道2（同时满足触发条件）
2-通道1或通道2（任一满足触发条件）</t>
  </si>
  <si>
    <t>u16ScopeTrigCond1</t>
  </si>
  <si>
    <t>11</t>
  </si>
  <si>
    <r>
      <rPr>
        <sz val="10"/>
        <color theme="1"/>
        <rFont val="Consolas"/>
        <charset val="134"/>
      </rPr>
      <t>数据触发通道条件</t>
    </r>
    <r>
      <rPr>
        <sz val="10"/>
        <color theme="1"/>
        <rFont val="Consolas"/>
        <charset val="134"/>
      </rPr>
      <t>1 (</t>
    </r>
    <r>
      <rPr>
        <sz val="10"/>
        <color theme="1"/>
        <rFont val="宋体"/>
        <charset val="134"/>
      </rPr>
      <t>触发源</t>
    </r>
    <r>
      <rPr>
        <sz val="10"/>
        <color theme="1"/>
        <rFont val="Consolas"/>
        <charset val="134"/>
      </rPr>
      <t>)</t>
    </r>
  </si>
  <si>
    <t>00-上升沿
01-下降沿
02-小于
03-大于
04-小于等于
05-大于等于
06-上升沿(绝对值)
07-下降沿(绝对值)
08-小于(绝对值)
09-大于(绝对值)
10-小于等于(绝对值)
11-大于等于(绝对值)</t>
  </si>
  <si>
    <t>u16ScopeTrigCond2</t>
  </si>
  <si>
    <r>
      <rPr>
        <sz val="10"/>
        <color theme="1"/>
        <rFont val="Consolas"/>
        <charset val="134"/>
      </rPr>
      <t>数据触发通道条件2</t>
    </r>
    <r>
      <rPr>
        <sz val="10"/>
        <color theme="1"/>
        <rFont val="Consolas"/>
        <charset val="134"/>
      </rPr>
      <t xml:space="preserve"> (</t>
    </r>
    <r>
      <rPr>
        <sz val="10"/>
        <color theme="1"/>
        <rFont val="宋体"/>
        <charset val="134"/>
      </rPr>
      <t>触发源</t>
    </r>
    <r>
      <rPr>
        <sz val="10"/>
        <color theme="1"/>
        <rFont val="Consolas"/>
        <charset val="134"/>
      </rPr>
      <t>)</t>
    </r>
  </si>
  <si>
    <t>u16ScopeTrigPreset</t>
  </si>
  <si>
    <t>10</t>
  </si>
  <si>
    <t>99</t>
  </si>
  <si>
    <t>%</t>
  </si>
  <si>
    <t>数据预触发百分比</t>
  </si>
  <si>
    <t>u16ScopeSampEndIdx</t>
  </si>
  <si>
    <t>只读</t>
  </si>
  <si>
    <t>数据记录结束点索引</t>
  </si>
  <si>
    <t>最后一个记录点的索引</t>
  </si>
  <si>
    <t>u16ScopeSampSts</t>
  </si>
  <si>
    <r>
      <rPr>
        <sz val="10"/>
        <color theme="1"/>
        <rFont val="宋体"/>
        <charset val="134"/>
      </rPr>
      <t>数据记录状态</t>
    </r>
  </si>
  <si>
    <t>u16ScopeUploadSts</t>
  </si>
  <si>
    <t>数据上传状态</t>
  </si>
  <si>
    <t>s16DbgBuf1</t>
  </si>
  <si>
    <t>调试数据缓冲</t>
  </si>
  <si>
    <t>s16DbgBuf2</t>
  </si>
  <si>
    <t>s16DbgBuf3</t>
  </si>
  <si>
    <t>s16DbgBuf4</t>
  </si>
  <si>
    <t>u16DbgBuf1</t>
  </si>
  <si>
    <t>u16DbgBuf2</t>
  </si>
  <si>
    <t>u16DbgBuf3</t>
  </si>
  <si>
    <t>u16DbgBuf4</t>
  </si>
  <si>
    <t>s32</t>
  </si>
  <si>
    <t>s32DbgBuf1</t>
  </si>
  <si>
    <t>S32_MIN</t>
  </si>
  <si>
    <t>S32_MAX</t>
  </si>
  <si>
    <t>s32DbgBuf2</t>
  </si>
  <si>
    <t>s32DbgBuf3</t>
  </si>
  <si>
    <t>s32DbgBuf4</t>
  </si>
  <si>
    <t>u32DbgBuf1</t>
  </si>
  <si>
    <t>u32DbgBuf2</t>
  </si>
  <si>
    <t>u32DbgBuf3</t>
  </si>
  <si>
    <t>u32DbgBuf4</t>
  </si>
  <si>
    <t>s64</t>
  </si>
  <si>
    <t>s64DbgBuf1</t>
  </si>
  <si>
    <t>S64_MIN</t>
  </si>
  <si>
    <t>S64_MAX</t>
  </si>
  <si>
    <t>s64DbgBuf2</t>
  </si>
  <si>
    <t>s64DbgBuf3</t>
  </si>
  <si>
    <t>s64DbgBuf4</t>
  </si>
  <si>
    <t>u64DbgBuf1</t>
  </si>
  <si>
    <t>u64DbgBuf2</t>
  </si>
  <si>
    <t>u64DbgBuf3</t>
  </si>
  <si>
    <t>u64DbgBuf4</t>
  </si>
  <si>
    <t>u16TunerBuff01</t>
  </si>
  <si>
    <t>u16TunerBuff02</t>
  </si>
  <si>
    <t>u16TunerBuff03</t>
  </si>
  <si>
    <t>u16TunerBuff04</t>
  </si>
  <si>
    <t>u16TunerBuff05</t>
  </si>
  <si>
    <t>u16TunerBuff06</t>
  </si>
  <si>
    <t>u16TunerBuff07</t>
  </si>
  <si>
    <t>u16TunerBuff08</t>
  </si>
  <si>
    <t>u16TunerBuff09</t>
  </si>
  <si>
    <t>u16TunerBuff10</t>
  </si>
  <si>
    <t>u16TunerBuff11</t>
  </si>
  <si>
    <t>u16TunerBuff12</t>
  </si>
  <si>
    <t>u16TunerBuff13</t>
  </si>
  <si>
    <t>u16TunerBuff14</t>
  </si>
  <si>
    <t>u16TunerBuff15</t>
  </si>
  <si>
    <t>u16TunerBuff16</t>
  </si>
  <si>
    <t>u16TunerBuff17</t>
  </si>
  <si>
    <t>Alarm</t>
  </si>
  <si>
    <t>报警</t>
  </si>
  <si>
    <t>u16TunerBuff18</t>
  </si>
  <si>
    <t>u16TunerBuff19</t>
  </si>
  <si>
    <t>u16TunerBuff20</t>
  </si>
  <si>
    <t>u16TunerBuff21</t>
  </si>
  <si>
    <t>u16TunerBuff22</t>
  </si>
  <si>
    <t>u16TunerBuff23</t>
  </si>
  <si>
    <t>u16TunerBuff24</t>
  </si>
  <si>
    <t>u16TunerBuff25</t>
  </si>
  <si>
    <t>u16AlmCodeSeq</t>
  </si>
  <si>
    <r>
      <rPr>
        <sz val="10"/>
        <color theme="1"/>
        <rFont val="宋体"/>
        <charset val="134"/>
      </rPr>
      <t>当前所有报警代码轮巡</t>
    </r>
  </si>
  <si>
    <t>u16LastAlmCode</t>
  </si>
  <si>
    <t>最新报警代码</t>
  </si>
  <si>
    <t>u16HisAlmCode01</t>
  </si>
  <si>
    <r>
      <rPr>
        <sz val="10"/>
        <color theme="1"/>
        <rFont val="宋体"/>
        <charset val="134"/>
      </rPr>
      <t>历史报警代码</t>
    </r>
    <r>
      <rPr>
        <sz val="10"/>
        <color theme="1"/>
        <rFont val="Consolas"/>
        <charset val="134"/>
      </rPr>
      <t>01</t>
    </r>
  </si>
  <si>
    <t>u16HisAlmCode02</t>
  </si>
  <si>
    <r>
      <rPr>
        <sz val="10"/>
        <color theme="1"/>
        <rFont val="宋体"/>
        <charset val="134"/>
      </rPr>
      <t>历史报警代码</t>
    </r>
    <r>
      <rPr>
        <sz val="10"/>
        <color theme="1"/>
        <rFont val="Consolas"/>
        <charset val="134"/>
      </rPr>
      <t>02</t>
    </r>
  </si>
  <si>
    <t>u16HisAlmCode03</t>
  </si>
  <si>
    <r>
      <rPr>
        <sz val="10"/>
        <color theme="1"/>
        <rFont val="宋体"/>
        <charset val="134"/>
      </rPr>
      <t>历史报警代码</t>
    </r>
    <r>
      <rPr>
        <sz val="10"/>
        <color theme="1"/>
        <rFont val="Consolas"/>
        <charset val="134"/>
      </rPr>
      <t>03</t>
    </r>
  </si>
  <si>
    <t>u16HisAlmCode04</t>
  </si>
  <si>
    <r>
      <rPr>
        <sz val="10"/>
        <color theme="1"/>
        <rFont val="宋体"/>
        <charset val="134"/>
      </rPr>
      <t>历史报警代码</t>
    </r>
    <r>
      <rPr>
        <sz val="10"/>
        <color theme="1"/>
        <rFont val="Consolas"/>
        <charset val="134"/>
      </rPr>
      <t>04</t>
    </r>
  </si>
  <si>
    <t>u16HisAlmCode05</t>
  </si>
  <si>
    <r>
      <rPr>
        <sz val="10"/>
        <color theme="1"/>
        <rFont val="宋体"/>
        <charset val="134"/>
      </rPr>
      <t>历史报警代码</t>
    </r>
    <r>
      <rPr>
        <sz val="10"/>
        <color theme="1"/>
        <rFont val="Consolas"/>
        <charset val="134"/>
      </rPr>
      <t>05</t>
    </r>
  </si>
  <si>
    <t>u16HisAlmCode06</t>
  </si>
  <si>
    <r>
      <rPr>
        <sz val="10"/>
        <color theme="1"/>
        <rFont val="宋体"/>
        <charset val="134"/>
      </rPr>
      <t>历史报警代码</t>
    </r>
    <r>
      <rPr>
        <sz val="10"/>
        <color theme="1"/>
        <rFont val="Consolas"/>
        <charset val="134"/>
      </rPr>
      <t>06</t>
    </r>
  </si>
  <si>
    <t>u16HisAlmCode07</t>
  </si>
  <si>
    <r>
      <rPr>
        <sz val="10"/>
        <color theme="1"/>
        <rFont val="宋体"/>
        <charset val="134"/>
      </rPr>
      <t>历史报警代码</t>
    </r>
    <r>
      <rPr>
        <sz val="10"/>
        <color theme="1"/>
        <rFont val="Consolas"/>
        <charset val="134"/>
      </rPr>
      <t>07</t>
    </r>
  </si>
  <si>
    <t>u16HisAlmCode08</t>
  </si>
  <si>
    <r>
      <rPr>
        <sz val="10"/>
        <color theme="1"/>
        <rFont val="宋体"/>
        <charset val="134"/>
      </rPr>
      <t>历史报警代码</t>
    </r>
    <r>
      <rPr>
        <sz val="10"/>
        <color theme="1"/>
        <rFont val="Consolas"/>
        <charset val="134"/>
      </rPr>
      <t>08</t>
    </r>
  </si>
  <si>
    <t>u16HisAlmCode09</t>
  </si>
  <si>
    <r>
      <rPr>
        <sz val="10"/>
        <color theme="1"/>
        <rFont val="宋体"/>
        <charset val="134"/>
      </rPr>
      <t>历史报警代码</t>
    </r>
    <r>
      <rPr>
        <sz val="10"/>
        <color theme="1"/>
        <rFont val="Consolas"/>
        <charset val="134"/>
      </rPr>
      <t>09</t>
    </r>
  </si>
  <si>
    <t>u16HisAlmCode10</t>
  </si>
  <si>
    <r>
      <rPr>
        <sz val="10"/>
        <color theme="1"/>
        <rFont val="宋体"/>
        <charset val="134"/>
      </rPr>
      <t>历史报警代码</t>
    </r>
    <r>
      <rPr>
        <sz val="10"/>
        <color theme="1"/>
        <rFont val="Consolas"/>
        <charset val="134"/>
      </rPr>
      <t>10</t>
    </r>
  </si>
  <si>
    <t>u16HisAlmCode11</t>
  </si>
  <si>
    <r>
      <rPr>
        <sz val="10"/>
        <color theme="1"/>
        <rFont val="宋体"/>
        <charset val="134"/>
      </rPr>
      <t>历史报警代码</t>
    </r>
    <r>
      <rPr>
        <sz val="10"/>
        <color theme="1"/>
        <rFont val="Consolas"/>
        <charset val="134"/>
      </rPr>
      <t>11</t>
    </r>
  </si>
  <si>
    <t>u16HisAlmCode12</t>
  </si>
  <si>
    <r>
      <rPr>
        <sz val="10"/>
        <color theme="1"/>
        <rFont val="宋体"/>
        <charset val="134"/>
      </rPr>
      <t>历史报警代码</t>
    </r>
    <r>
      <rPr>
        <sz val="10"/>
        <color theme="1"/>
        <rFont val="Consolas"/>
        <charset val="134"/>
      </rPr>
      <t>12</t>
    </r>
  </si>
  <si>
    <t>u16HisAlmCode13</t>
  </si>
  <si>
    <r>
      <rPr>
        <sz val="10"/>
        <color theme="1"/>
        <rFont val="宋体"/>
        <charset val="134"/>
      </rPr>
      <t>历史报警代码</t>
    </r>
    <r>
      <rPr>
        <sz val="10"/>
        <color theme="1"/>
        <rFont val="Consolas"/>
        <charset val="134"/>
      </rPr>
      <t>13</t>
    </r>
  </si>
  <si>
    <t>u16HisAlmCode14</t>
  </si>
  <si>
    <r>
      <rPr>
        <sz val="10"/>
        <color theme="1"/>
        <rFont val="宋体"/>
        <charset val="134"/>
      </rPr>
      <t>历史报警代码</t>
    </r>
    <r>
      <rPr>
        <sz val="10"/>
        <color theme="1"/>
        <rFont val="Consolas"/>
        <charset val="134"/>
      </rPr>
      <t>14</t>
    </r>
  </si>
  <si>
    <t>u16HisAlmCode15</t>
  </si>
  <si>
    <r>
      <rPr>
        <sz val="10"/>
        <color theme="1"/>
        <rFont val="宋体"/>
        <charset val="134"/>
      </rPr>
      <t>历史报警代码</t>
    </r>
    <r>
      <rPr>
        <sz val="10"/>
        <color theme="1"/>
        <rFont val="Consolas"/>
        <charset val="134"/>
      </rPr>
      <t>15</t>
    </r>
  </si>
  <si>
    <t>u32HisAlmTime01</t>
  </si>
  <si>
    <r>
      <rPr>
        <sz val="10"/>
        <color theme="1"/>
        <rFont val="宋体"/>
        <charset val="134"/>
      </rPr>
      <t>历史报警时间戳</t>
    </r>
    <r>
      <rPr>
        <sz val="10"/>
        <color theme="1"/>
        <rFont val="Consolas"/>
        <charset val="134"/>
      </rPr>
      <t>01</t>
    </r>
  </si>
  <si>
    <t>u32HisAlmTime02</t>
  </si>
  <si>
    <r>
      <rPr>
        <sz val="10"/>
        <color theme="1"/>
        <rFont val="宋体"/>
        <charset val="134"/>
      </rPr>
      <t>历史报警时间戳</t>
    </r>
    <r>
      <rPr>
        <sz val="10"/>
        <color theme="1"/>
        <rFont val="Consolas"/>
        <charset val="134"/>
      </rPr>
      <t>02</t>
    </r>
  </si>
  <si>
    <t>u32HisAlmTime03</t>
  </si>
  <si>
    <r>
      <rPr>
        <sz val="10"/>
        <color theme="1"/>
        <rFont val="宋体"/>
        <charset val="134"/>
      </rPr>
      <t>历史报警时间戳</t>
    </r>
    <r>
      <rPr>
        <sz val="10"/>
        <color theme="1"/>
        <rFont val="Consolas"/>
        <charset val="134"/>
      </rPr>
      <t>03</t>
    </r>
  </si>
  <si>
    <t>u32HisAlmTime04</t>
  </si>
  <si>
    <r>
      <rPr>
        <sz val="10"/>
        <color theme="1"/>
        <rFont val="宋体"/>
        <charset val="134"/>
      </rPr>
      <t>历史报警时间戳</t>
    </r>
    <r>
      <rPr>
        <sz val="10"/>
        <color theme="1"/>
        <rFont val="Consolas"/>
        <charset val="134"/>
      </rPr>
      <t>04</t>
    </r>
  </si>
  <si>
    <t>u32HisAlmTime05</t>
  </si>
  <si>
    <r>
      <rPr>
        <sz val="10"/>
        <color theme="1"/>
        <rFont val="宋体"/>
        <charset val="134"/>
      </rPr>
      <t>历史报警时间戳</t>
    </r>
    <r>
      <rPr>
        <sz val="10"/>
        <color theme="1"/>
        <rFont val="Consolas"/>
        <charset val="134"/>
      </rPr>
      <t>05</t>
    </r>
  </si>
  <si>
    <t>u32HisAlmTime06</t>
  </si>
  <si>
    <r>
      <rPr>
        <sz val="10"/>
        <color theme="1"/>
        <rFont val="宋体"/>
        <charset val="134"/>
      </rPr>
      <t>历史报警时间戳</t>
    </r>
    <r>
      <rPr>
        <sz val="10"/>
        <color theme="1"/>
        <rFont val="Consolas"/>
        <charset val="134"/>
      </rPr>
      <t>06</t>
    </r>
  </si>
  <si>
    <t>u32HisAlmTime07</t>
  </si>
  <si>
    <r>
      <rPr>
        <sz val="10"/>
        <color theme="1"/>
        <rFont val="宋体"/>
        <charset val="134"/>
      </rPr>
      <t>历史报警时间戳</t>
    </r>
    <r>
      <rPr>
        <sz val="10"/>
        <color theme="1"/>
        <rFont val="Consolas"/>
        <charset val="134"/>
      </rPr>
      <t>07</t>
    </r>
  </si>
  <si>
    <t>u32HisAlmTime08</t>
  </si>
  <si>
    <r>
      <rPr>
        <sz val="10"/>
        <color theme="1"/>
        <rFont val="宋体"/>
        <charset val="134"/>
      </rPr>
      <t>历史报警时间戳</t>
    </r>
    <r>
      <rPr>
        <sz val="10"/>
        <color theme="1"/>
        <rFont val="Consolas"/>
        <charset val="134"/>
      </rPr>
      <t>08</t>
    </r>
  </si>
  <si>
    <t>u32HisAlmTime09</t>
  </si>
  <si>
    <r>
      <rPr>
        <sz val="10"/>
        <color theme="1"/>
        <rFont val="宋体"/>
        <charset val="134"/>
      </rPr>
      <t>历史报警时间戳</t>
    </r>
    <r>
      <rPr>
        <sz val="10"/>
        <color theme="1"/>
        <rFont val="Consolas"/>
        <charset val="134"/>
      </rPr>
      <t>09</t>
    </r>
  </si>
  <si>
    <t>u32HisAlmTime10</t>
  </si>
  <si>
    <r>
      <rPr>
        <sz val="10"/>
        <color theme="1"/>
        <rFont val="宋体"/>
        <charset val="134"/>
      </rPr>
      <t>历史报警时间戳</t>
    </r>
    <r>
      <rPr>
        <sz val="10"/>
        <color theme="1"/>
        <rFont val="Consolas"/>
        <charset val="134"/>
      </rPr>
      <t>10</t>
    </r>
  </si>
  <si>
    <t>u32HisAlmTime11</t>
  </si>
  <si>
    <r>
      <rPr>
        <sz val="10"/>
        <color theme="1"/>
        <rFont val="宋体"/>
        <charset val="134"/>
      </rPr>
      <t>历史报警时间戳</t>
    </r>
    <r>
      <rPr>
        <sz val="10"/>
        <color theme="1"/>
        <rFont val="Consolas"/>
        <charset val="134"/>
      </rPr>
      <t>11</t>
    </r>
  </si>
  <si>
    <t>u32HisAlmTime12</t>
  </si>
  <si>
    <r>
      <rPr>
        <sz val="10"/>
        <color theme="1"/>
        <rFont val="宋体"/>
        <charset val="134"/>
      </rPr>
      <t>历史报警时间戳</t>
    </r>
    <r>
      <rPr>
        <sz val="10"/>
        <color theme="1"/>
        <rFont val="Consolas"/>
        <charset val="134"/>
      </rPr>
      <t>12</t>
    </r>
  </si>
  <si>
    <t>u32HisAlmTime13</t>
  </si>
  <si>
    <r>
      <rPr>
        <sz val="10"/>
        <color theme="1"/>
        <rFont val="宋体"/>
        <charset val="134"/>
      </rPr>
      <t>历史报警时间戳</t>
    </r>
    <r>
      <rPr>
        <sz val="10"/>
        <color theme="1"/>
        <rFont val="Consolas"/>
        <charset val="134"/>
      </rPr>
      <t>13</t>
    </r>
  </si>
  <si>
    <t>u32HisAlmTime14</t>
  </si>
  <si>
    <r>
      <rPr>
        <sz val="10"/>
        <color theme="1"/>
        <rFont val="宋体"/>
        <charset val="134"/>
      </rPr>
      <t>历史报警时间戳</t>
    </r>
    <r>
      <rPr>
        <sz val="10"/>
        <color theme="1"/>
        <rFont val="Consolas"/>
        <charset val="134"/>
      </rPr>
      <t>14</t>
    </r>
  </si>
  <si>
    <t>u32HisAlmTime15</t>
  </si>
  <si>
    <r>
      <rPr>
        <sz val="10"/>
        <color theme="1"/>
        <rFont val="宋体"/>
        <charset val="134"/>
      </rPr>
      <t>历史报警时间戳</t>
    </r>
    <r>
      <rPr>
        <sz val="10"/>
        <color theme="1"/>
        <rFont val="Consolas"/>
        <charset val="134"/>
      </rPr>
      <t>15</t>
    </r>
  </si>
  <si>
    <t>系统状态</t>
  </si>
  <si>
    <t>SysSts</t>
  </si>
  <si>
    <t>eSysState</t>
  </si>
  <si>
    <t>4</t>
  </si>
  <si>
    <r>
      <rPr>
        <sz val="10"/>
        <color theme="1"/>
        <rFont val="宋体"/>
        <charset val="134"/>
      </rPr>
      <t>系统状态</t>
    </r>
  </si>
  <si>
    <t>0-初始化
1-准备
2-就绪
3-使能
4-错误</t>
  </si>
  <si>
    <t>u32SysRunTime</t>
  </si>
  <si>
    <r>
      <rPr>
        <sz val="10"/>
        <color theme="1"/>
        <rFont val="宋体"/>
        <charset val="134"/>
      </rPr>
      <t>运行时间</t>
    </r>
  </si>
  <si>
    <t>u16DiState</t>
  </si>
  <si>
    <r>
      <rPr>
        <sz val="10"/>
        <color theme="1"/>
        <rFont val="Consolas"/>
        <charset val="134"/>
      </rPr>
      <t>DI</t>
    </r>
    <r>
      <rPr>
        <sz val="10"/>
        <color theme="1"/>
        <rFont val="宋体"/>
        <charset val="134"/>
      </rPr>
      <t>输入端子电平状态</t>
    </r>
  </si>
  <si>
    <t>u16DoState</t>
  </si>
  <si>
    <r>
      <rPr>
        <sz val="10"/>
        <color theme="1"/>
        <rFont val="Consolas"/>
        <charset val="134"/>
      </rPr>
      <t>DO</t>
    </r>
    <r>
      <rPr>
        <sz val="10"/>
        <color theme="1"/>
        <rFont val="宋体"/>
        <charset val="134"/>
      </rPr>
      <t>输出端子电平状态</t>
    </r>
  </si>
  <si>
    <t>u16UmdcSi</t>
  </si>
  <si>
    <r>
      <rPr>
        <sz val="10"/>
        <color theme="1"/>
        <rFont val="宋体"/>
        <charset val="134"/>
      </rPr>
      <t>主回路母线电压物理值</t>
    </r>
  </si>
  <si>
    <t>u16UcdcSi</t>
  </si>
  <si>
    <r>
      <rPr>
        <sz val="10"/>
        <color theme="1"/>
        <rFont val="宋体"/>
        <charset val="134"/>
      </rPr>
      <t>控制母线电压物理值</t>
    </r>
  </si>
  <si>
    <t>s16UaiSi0</t>
  </si>
  <si>
    <r>
      <rPr>
        <sz val="10"/>
        <color theme="1"/>
        <rFont val="Consolas"/>
        <charset val="134"/>
      </rPr>
      <t>AI0</t>
    </r>
    <r>
      <rPr>
        <sz val="10"/>
        <color theme="1"/>
        <rFont val="宋体"/>
        <charset val="134"/>
      </rPr>
      <t>输入电压物理值</t>
    </r>
  </si>
  <si>
    <t>s16UaiSi1</t>
  </si>
  <si>
    <r>
      <rPr>
        <sz val="10"/>
        <color theme="1"/>
        <rFont val="Consolas"/>
        <charset val="134"/>
      </rPr>
      <t>AI1</t>
    </r>
    <r>
      <rPr>
        <sz val="10"/>
        <color theme="1"/>
        <rFont val="宋体"/>
        <charset val="134"/>
      </rPr>
      <t>输入电压物理值</t>
    </r>
  </si>
  <si>
    <t>s16UaiSi2</t>
  </si>
  <si>
    <r>
      <rPr>
        <sz val="10"/>
        <color theme="1"/>
        <rFont val="Consolas"/>
        <charset val="134"/>
      </rPr>
      <t>AI2</t>
    </r>
    <r>
      <rPr>
        <sz val="10"/>
        <color theme="1"/>
        <rFont val="宋体"/>
        <charset val="134"/>
      </rPr>
      <t>输入电压物理值</t>
    </r>
  </si>
  <si>
    <t>u16UaoSi0</t>
  </si>
  <si>
    <r>
      <rPr>
        <sz val="10"/>
        <color theme="1"/>
        <rFont val="Consolas"/>
        <charset val="134"/>
      </rPr>
      <t>AO0</t>
    </r>
    <r>
      <rPr>
        <sz val="10"/>
        <color theme="1"/>
        <rFont val="宋体"/>
        <charset val="134"/>
      </rPr>
      <t>输出电压物理值</t>
    </r>
  </si>
  <si>
    <t>u16UaoSi1</t>
  </si>
  <si>
    <r>
      <rPr>
        <sz val="10"/>
        <color theme="1"/>
        <rFont val="Consolas"/>
        <charset val="134"/>
      </rPr>
      <t>AO1</t>
    </r>
    <r>
      <rPr>
        <sz val="10"/>
        <color theme="1"/>
        <rFont val="宋体"/>
        <charset val="134"/>
      </rPr>
      <t>输出电压物理值</t>
    </r>
  </si>
  <si>
    <t>s16TempInvtSi</t>
  </si>
  <si>
    <r>
      <rPr>
        <sz val="10"/>
        <color theme="1"/>
        <rFont val="Consolas"/>
        <charset val="134"/>
      </rPr>
      <t>0.1</t>
    </r>
    <r>
      <rPr>
        <sz val="10"/>
        <color theme="1"/>
        <rFont val="宋体"/>
        <charset val="134"/>
      </rPr>
      <t>℃</t>
    </r>
  </si>
  <si>
    <t>逆变桥温度物理值</t>
  </si>
  <si>
    <t>s16TempRectSi</t>
  </si>
  <si>
    <r>
      <rPr>
        <sz val="10"/>
        <color theme="1"/>
        <rFont val="宋体"/>
        <charset val="134"/>
      </rPr>
      <t>整流桥温度物理值</t>
    </r>
  </si>
  <si>
    <t>s16TempCtrlBrdSi</t>
  </si>
  <si>
    <r>
      <rPr>
        <sz val="10"/>
        <color theme="1"/>
        <rFont val="宋体"/>
        <charset val="134"/>
      </rPr>
      <t>控制板温度物理值</t>
    </r>
  </si>
  <si>
    <t>u16UmdcPu</t>
  </si>
  <si>
    <t>Q15</t>
  </si>
  <si>
    <r>
      <rPr>
        <sz val="10"/>
        <color theme="1"/>
        <rFont val="宋体"/>
        <charset val="134"/>
      </rPr>
      <t>主回路母线电压数字量</t>
    </r>
  </si>
  <si>
    <t>u16UcdcPu</t>
  </si>
  <si>
    <r>
      <rPr>
        <sz val="10"/>
        <color theme="1"/>
        <rFont val="宋体"/>
        <charset val="134"/>
      </rPr>
      <t>控制母线电压数字量</t>
    </r>
  </si>
  <si>
    <t>s16UaiPu0</t>
  </si>
  <si>
    <r>
      <rPr>
        <sz val="10"/>
        <color theme="1"/>
        <rFont val="Consolas"/>
        <charset val="134"/>
      </rPr>
      <t>AI0</t>
    </r>
    <r>
      <rPr>
        <sz val="10"/>
        <color theme="1"/>
        <rFont val="宋体"/>
        <charset val="134"/>
      </rPr>
      <t>输入电压数字量</t>
    </r>
  </si>
  <si>
    <t>s16UaiPu1</t>
  </si>
  <si>
    <r>
      <rPr>
        <sz val="10"/>
        <color theme="1"/>
        <rFont val="Consolas"/>
        <charset val="134"/>
      </rPr>
      <t>AI1</t>
    </r>
    <r>
      <rPr>
        <sz val="10"/>
        <color theme="1"/>
        <rFont val="宋体"/>
        <charset val="134"/>
      </rPr>
      <t>输入电压数字量</t>
    </r>
  </si>
  <si>
    <t>s16UaiPu2</t>
  </si>
  <si>
    <r>
      <rPr>
        <sz val="10"/>
        <color theme="1"/>
        <rFont val="Consolas"/>
        <charset val="134"/>
      </rPr>
      <t>AI2</t>
    </r>
    <r>
      <rPr>
        <sz val="10"/>
        <color theme="1"/>
        <rFont val="宋体"/>
        <charset val="134"/>
      </rPr>
      <t>输入电压数字量</t>
    </r>
  </si>
  <si>
    <t>s16TempInvtPu</t>
  </si>
  <si>
    <r>
      <rPr>
        <sz val="10"/>
        <color theme="1"/>
        <rFont val="宋体"/>
        <charset val="134"/>
      </rPr>
      <t>逆变桥温度数字量</t>
    </r>
  </si>
  <si>
    <t>s16TempRectPu</t>
  </si>
  <si>
    <r>
      <rPr>
        <sz val="10"/>
        <color theme="1"/>
        <rFont val="宋体"/>
        <charset val="134"/>
      </rPr>
      <t>整流桥温度数字量</t>
    </r>
  </si>
  <si>
    <t>s16TempCtrlBrdtPu</t>
  </si>
  <si>
    <r>
      <rPr>
        <sz val="10"/>
        <color theme="1"/>
        <rFont val="宋体"/>
        <charset val="134"/>
      </rPr>
      <t>控制板温度数字量</t>
    </r>
  </si>
  <si>
    <t>u16ProbeStatus</t>
  </si>
  <si>
    <r>
      <rPr>
        <sz val="10"/>
        <color theme="1"/>
        <rFont val="宋体"/>
        <charset val="134"/>
      </rPr>
      <t>探针状态</t>
    </r>
  </si>
  <si>
    <t>s64ProbePosEdgePos00</t>
  </si>
  <si>
    <t>pulse</t>
  </si>
  <si>
    <r>
      <rPr>
        <sz val="10"/>
        <color theme="1"/>
        <rFont val="宋体"/>
        <charset val="134"/>
      </rPr>
      <t>探针</t>
    </r>
    <r>
      <rPr>
        <sz val="10"/>
        <color theme="1"/>
        <rFont val="Consolas"/>
        <charset val="134"/>
      </rPr>
      <t>1</t>
    </r>
    <r>
      <rPr>
        <sz val="10"/>
        <color theme="1"/>
        <rFont val="宋体"/>
        <charset val="134"/>
      </rPr>
      <t>上升沿锁存位置</t>
    </r>
  </si>
  <si>
    <t>s64ProbeNegEdgePos00</t>
  </si>
  <si>
    <r>
      <rPr>
        <sz val="10"/>
        <color theme="1"/>
        <rFont val="宋体"/>
        <charset val="134"/>
      </rPr>
      <t>探针</t>
    </r>
    <r>
      <rPr>
        <sz val="10"/>
        <color theme="1"/>
        <rFont val="Consolas"/>
        <charset val="134"/>
      </rPr>
      <t>1</t>
    </r>
    <r>
      <rPr>
        <sz val="10"/>
        <color theme="1"/>
        <rFont val="宋体"/>
        <charset val="134"/>
      </rPr>
      <t>下降沿锁存位置</t>
    </r>
  </si>
  <si>
    <t>s64ProbePosEdgePos01</t>
  </si>
  <si>
    <r>
      <rPr>
        <sz val="10"/>
        <color theme="1"/>
        <rFont val="宋体"/>
        <charset val="134"/>
      </rPr>
      <t>探针</t>
    </r>
    <r>
      <rPr>
        <sz val="10"/>
        <color theme="1"/>
        <rFont val="Consolas"/>
        <charset val="134"/>
      </rPr>
      <t>2</t>
    </r>
    <r>
      <rPr>
        <sz val="10"/>
        <color theme="1"/>
        <rFont val="宋体"/>
        <charset val="134"/>
      </rPr>
      <t>上升沿锁存位置</t>
    </r>
  </si>
  <si>
    <t>s64ProbeNegEdgePos01</t>
  </si>
  <si>
    <r>
      <rPr>
        <sz val="10"/>
        <color theme="1"/>
        <rFont val="宋体"/>
        <charset val="134"/>
      </rPr>
      <t>探针</t>
    </r>
    <r>
      <rPr>
        <sz val="10"/>
        <color theme="1"/>
        <rFont val="Consolas"/>
        <charset val="134"/>
      </rPr>
      <t>2</t>
    </r>
    <r>
      <rPr>
        <sz val="10"/>
        <color theme="1"/>
        <rFont val="宋体"/>
        <charset val="134"/>
      </rPr>
      <t>下降沿锁存位置</t>
    </r>
  </si>
  <si>
    <t>s64ProbePosEdgePos02</t>
  </si>
  <si>
    <r>
      <rPr>
        <sz val="10"/>
        <color theme="1"/>
        <rFont val="宋体"/>
        <charset val="134"/>
      </rPr>
      <t>探针</t>
    </r>
    <r>
      <rPr>
        <sz val="10"/>
        <color theme="1"/>
        <rFont val="Consolas"/>
        <charset val="134"/>
      </rPr>
      <t>3</t>
    </r>
    <r>
      <rPr>
        <sz val="10"/>
        <color theme="1"/>
        <rFont val="宋体"/>
        <charset val="134"/>
      </rPr>
      <t>上升沿锁存位置</t>
    </r>
  </si>
  <si>
    <t>s64ProbeNegEdgePos02</t>
  </si>
  <si>
    <r>
      <rPr>
        <sz val="10"/>
        <color theme="1"/>
        <rFont val="宋体"/>
        <charset val="134"/>
      </rPr>
      <t>探针</t>
    </r>
    <r>
      <rPr>
        <sz val="10"/>
        <color theme="1"/>
        <rFont val="Consolas"/>
        <charset val="134"/>
      </rPr>
      <t>3</t>
    </r>
    <r>
      <rPr>
        <sz val="10"/>
        <color theme="1"/>
        <rFont val="宋体"/>
        <charset val="134"/>
      </rPr>
      <t>下降沿锁存位置</t>
    </r>
  </si>
  <si>
    <t>s64ProbePosEdgePos03</t>
  </si>
  <si>
    <r>
      <rPr>
        <sz val="10"/>
        <color theme="1"/>
        <rFont val="宋体"/>
        <charset val="134"/>
      </rPr>
      <t>探针</t>
    </r>
    <r>
      <rPr>
        <sz val="10"/>
        <color theme="1"/>
        <rFont val="Consolas"/>
        <charset val="134"/>
      </rPr>
      <t>4</t>
    </r>
    <r>
      <rPr>
        <sz val="10"/>
        <color theme="1"/>
        <rFont val="宋体"/>
        <charset val="134"/>
      </rPr>
      <t>上升沿锁存位置</t>
    </r>
  </si>
  <si>
    <t>s64ProbeNegEdgePos03</t>
  </si>
  <si>
    <r>
      <rPr>
        <sz val="10"/>
        <color theme="1"/>
        <rFont val="宋体"/>
        <charset val="134"/>
      </rPr>
      <t>探针</t>
    </r>
    <r>
      <rPr>
        <sz val="10"/>
        <color theme="1"/>
        <rFont val="Consolas"/>
        <charset val="134"/>
      </rPr>
      <t>4</t>
    </r>
    <r>
      <rPr>
        <sz val="10"/>
        <color theme="1"/>
        <rFont val="宋体"/>
        <charset val="134"/>
      </rPr>
      <t>下降沿锁存位置</t>
    </r>
  </si>
  <si>
    <t>u16HrTimerSel</t>
  </si>
  <si>
    <t>8</t>
  </si>
  <si>
    <r>
      <rPr>
        <sz val="10"/>
        <color theme="1"/>
        <rFont val="宋体"/>
        <charset val="134"/>
      </rPr>
      <t>程序段运行计时选择</t>
    </r>
  </si>
  <si>
    <t>u16CycleScanTime</t>
  </si>
  <si>
    <r>
      <rPr>
        <sz val="10"/>
        <color theme="1"/>
        <rFont val="宋体"/>
        <charset val="134"/>
      </rPr>
      <t>主循环程序</t>
    </r>
    <r>
      <rPr>
        <sz val="10"/>
        <color theme="1"/>
        <rFont val="Consolas"/>
        <charset val="134"/>
      </rPr>
      <t>Scan</t>
    </r>
    <r>
      <rPr>
        <sz val="10"/>
        <color theme="1"/>
        <rFont val="宋体"/>
        <charset val="134"/>
      </rPr>
      <t>运行时间</t>
    </r>
  </si>
  <si>
    <t>u16IsrScanATime</t>
  </si>
  <si>
    <r>
      <rPr>
        <sz val="10"/>
        <color theme="1"/>
        <rFont val="宋体"/>
        <charset val="134"/>
      </rPr>
      <t>中断程序</t>
    </r>
    <r>
      <rPr>
        <sz val="10"/>
        <color theme="1"/>
        <rFont val="Consolas"/>
        <charset val="134"/>
      </rPr>
      <t>ScanA</t>
    </r>
    <r>
      <rPr>
        <sz val="10"/>
        <color theme="1"/>
        <rFont val="宋体"/>
        <charset val="134"/>
      </rPr>
      <t>运行时间</t>
    </r>
  </si>
  <si>
    <t>u16IsrScanBTime</t>
  </si>
  <si>
    <r>
      <rPr>
        <sz val="10"/>
        <color theme="1"/>
        <rFont val="宋体"/>
        <charset val="134"/>
      </rPr>
      <t>中断程序</t>
    </r>
    <r>
      <rPr>
        <sz val="10"/>
        <color theme="1"/>
        <rFont val="Consolas"/>
        <charset val="134"/>
      </rPr>
      <t>ScanB</t>
    </r>
    <r>
      <rPr>
        <sz val="10"/>
        <color theme="1"/>
        <rFont val="宋体"/>
        <charset val="134"/>
      </rPr>
      <t>运行时间</t>
    </r>
  </si>
  <si>
    <t>u16IsrPosLoopTime</t>
  </si>
  <si>
    <r>
      <rPr>
        <sz val="10"/>
        <color theme="1"/>
        <rFont val="宋体"/>
        <charset val="134"/>
      </rPr>
      <t>中断程序位置环运行时间</t>
    </r>
  </si>
  <si>
    <t>u16IsrSpdLoopTime</t>
  </si>
  <si>
    <r>
      <rPr>
        <sz val="10"/>
        <color theme="1"/>
        <rFont val="宋体"/>
        <charset val="134"/>
      </rPr>
      <t>中断程序速度环运行时间</t>
    </r>
  </si>
  <si>
    <t>u16IsrCurLoopTime</t>
  </si>
  <si>
    <r>
      <rPr>
        <sz val="10"/>
        <color theme="1"/>
        <rFont val="宋体"/>
        <charset val="134"/>
      </rPr>
      <t>中断程序电流环运行时间</t>
    </r>
  </si>
  <si>
    <t>u16CustomTime0</t>
  </si>
  <si>
    <r>
      <rPr>
        <sz val="10"/>
        <color theme="1"/>
        <rFont val="宋体"/>
        <charset val="134"/>
      </rPr>
      <t>缺省程序运行时间</t>
    </r>
    <r>
      <rPr>
        <sz val="10"/>
        <color theme="1"/>
        <rFont val="Consolas"/>
        <charset val="134"/>
      </rPr>
      <t>0</t>
    </r>
  </si>
  <si>
    <t>u16CustomTime1</t>
  </si>
  <si>
    <r>
      <rPr>
        <sz val="10"/>
        <color theme="1"/>
        <rFont val="宋体"/>
        <charset val="134"/>
      </rPr>
      <t>缺省程序运行时间</t>
    </r>
    <r>
      <rPr>
        <sz val="10"/>
        <color theme="1"/>
        <rFont val="Consolas"/>
        <charset val="134"/>
      </rPr>
      <t>1</t>
    </r>
  </si>
  <si>
    <t>u16AxisNo</t>
  </si>
  <si>
    <t>轴号</t>
  </si>
  <si>
    <t>u16MotEncSel</t>
  </si>
  <si>
    <t>电机选择</t>
  </si>
  <si>
    <r>
      <rPr>
        <sz val="10"/>
        <color theme="1"/>
        <rFont val="Consolas"/>
        <charset val="134"/>
      </rPr>
      <t>0-</t>
    </r>
    <r>
      <rPr>
        <sz val="10"/>
        <color theme="1"/>
        <rFont val="宋体"/>
        <charset val="134"/>
      </rPr>
      <t>自定义</t>
    </r>
    <r>
      <rPr>
        <sz val="10"/>
        <color theme="1"/>
        <rFont val="Consolas"/>
        <charset val="134"/>
      </rPr>
      <t xml:space="preserve">
1-2804</t>
    </r>
    <r>
      <rPr>
        <sz val="10"/>
        <color theme="1"/>
        <rFont val="宋体"/>
        <charset val="134"/>
      </rPr>
      <t>无刷电机</t>
    </r>
    <r>
      <rPr>
        <sz val="10"/>
        <color theme="1"/>
        <rFont val="Consolas"/>
        <charset val="134"/>
      </rPr>
      <t>, 14</t>
    </r>
    <r>
      <rPr>
        <sz val="10"/>
        <color theme="1"/>
        <rFont val="宋体"/>
        <charset val="134"/>
      </rPr>
      <t>位单圈绝对值磁编码器</t>
    </r>
    <r>
      <rPr>
        <sz val="10"/>
        <color theme="1"/>
        <rFont val="Consolas"/>
        <charset val="134"/>
      </rPr>
      <t>MT6701</t>
    </r>
    <r>
      <rPr>
        <sz val="10"/>
        <color theme="1"/>
        <rFont val="宋体"/>
        <charset val="134"/>
      </rPr>
      <t>。</t>
    </r>
  </si>
  <si>
    <t>u16MotPolePairs</t>
  </si>
  <si>
    <t>允许保存，不可恢复</t>
  </si>
  <si>
    <r>
      <rPr>
        <sz val="10"/>
        <color theme="1"/>
        <rFont val="宋体"/>
        <charset val="134"/>
      </rPr>
      <t>电机极对数</t>
    </r>
  </si>
  <si>
    <t>u32MotInertia</t>
  </si>
  <si>
    <t>0.001kg.cm2</t>
  </si>
  <si>
    <r>
      <rPr>
        <sz val="10"/>
        <color theme="1"/>
        <rFont val="宋体"/>
        <charset val="134"/>
      </rPr>
      <t>电机转动惯量</t>
    </r>
  </si>
  <si>
    <t>u16MotStatorRes</t>
  </si>
  <si>
    <t>mΩ</t>
  </si>
  <si>
    <r>
      <rPr>
        <sz val="10"/>
        <color theme="1"/>
        <rFont val="宋体"/>
        <charset val="134"/>
      </rPr>
      <t>电机定子电阻</t>
    </r>
  </si>
  <si>
    <t>u16MotStatorLd</t>
  </si>
  <si>
    <t>0.01mH</t>
  </si>
  <si>
    <r>
      <rPr>
        <sz val="10"/>
        <color theme="1"/>
        <rFont val="宋体"/>
        <charset val="134"/>
      </rPr>
      <t>电机定子</t>
    </r>
    <r>
      <rPr>
        <sz val="10"/>
        <color theme="1"/>
        <rFont val="Consolas"/>
        <charset val="134"/>
      </rPr>
      <t>D</t>
    </r>
    <r>
      <rPr>
        <sz val="10"/>
        <color theme="1"/>
        <rFont val="宋体"/>
        <charset val="134"/>
      </rPr>
      <t>轴电感</t>
    </r>
  </si>
  <si>
    <t>u16MotStatorLq</t>
  </si>
  <si>
    <r>
      <rPr>
        <sz val="10"/>
        <color theme="1"/>
        <rFont val="宋体"/>
        <charset val="134"/>
      </rPr>
      <t>电机定子</t>
    </r>
    <r>
      <rPr>
        <sz val="10"/>
        <color theme="1"/>
        <rFont val="Consolas"/>
        <charset val="134"/>
      </rPr>
      <t>Q</t>
    </r>
    <r>
      <rPr>
        <sz val="10"/>
        <color theme="1"/>
        <rFont val="宋体"/>
        <charset val="134"/>
      </rPr>
      <t>轴电感</t>
    </r>
  </si>
  <si>
    <t>u16MotEmfCoeff</t>
  </si>
  <si>
    <r>
      <rPr>
        <sz val="10"/>
        <color theme="1"/>
        <rFont val="宋体"/>
        <charset val="134"/>
      </rPr>
      <t>电机反电动势常数</t>
    </r>
  </si>
  <si>
    <t>u16MotTrqCoeff</t>
  </si>
  <si>
    <r>
      <rPr>
        <sz val="10"/>
        <color theme="1"/>
        <rFont val="宋体"/>
        <charset val="134"/>
      </rPr>
      <t>电机转矩系数</t>
    </r>
  </si>
  <si>
    <t>u16MotTm</t>
  </si>
  <si>
    <t>0.01ms</t>
  </si>
  <si>
    <r>
      <rPr>
        <sz val="10"/>
        <color theme="1"/>
        <rFont val="宋体"/>
        <charset val="134"/>
      </rPr>
      <t>电机机械时间常数</t>
    </r>
  </si>
  <si>
    <t>u16MotVoltInRate</t>
  </si>
  <si>
    <t>V</t>
  </si>
  <si>
    <r>
      <rPr>
        <sz val="10"/>
        <color theme="1"/>
        <rFont val="宋体"/>
        <charset val="134"/>
      </rPr>
      <t>电机额定输入电压</t>
    </r>
  </si>
  <si>
    <t>0-AC380
1-AC220
2-DC24
3-DC48
4-DC80</t>
  </si>
  <si>
    <t>u16MotPowerRate</t>
  </si>
  <si>
    <t>0.01kW</t>
  </si>
  <si>
    <r>
      <rPr>
        <sz val="10"/>
        <color theme="1"/>
        <rFont val="宋体"/>
        <charset val="134"/>
      </rPr>
      <t>电机额定功率</t>
    </r>
  </si>
  <si>
    <t>u16MotCurRate</t>
  </si>
  <si>
    <r>
      <rPr>
        <sz val="10"/>
        <color theme="1"/>
        <rFont val="宋体"/>
        <charset val="134"/>
      </rPr>
      <t>电机额定电流</t>
    </r>
  </si>
  <si>
    <t>u16MotCurMax</t>
  </si>
  <si>
    <r>
      <rPr>
        <sz val="10"/>
        <color theme="1"/>
        <rFont val="宋体"/>
        <charset val="134"/>
      </rPr>
      <t>电机最大电流</t>
    </r>
  </si>
  <si>
    <t>u16MotTrqRate</t>
  </si>
  <si>
    <t>0.01N·m</t>
  </si>
  <si>
    <r>
      <rPr>
        <sz val="10"/>
        <color theme="1"/>
        <rFont val="宋体"/>
        <charset val="134"/>
      </rPr>
      <t>电机额定转矩</t>
    </r>
  </si>
  <si>
    <t>u16MotTrqMax</t>
  </si>
  <si>
    <r>
      <rPr>
        <sz val="10"/>
        <color theme="1"/>
        <rFont val="宋体"/>
        <charset val="134"/>
      </rPr>
      <t>电机最大转矩</t>
    </r>
  </si>
  <si>
    <t>u16MotSpdRate</t>
  </si>
  <si>
    <t>rpm</t>
  </si>
  <si>
    <r>
      <rPr>
        <sz val="10"/>
        <color theme="1"/>
        <rFont val="宋体"/>
        <charset val="134"/>
      </rPr>
      <t>电机额定转速</t>
    </r>
  </si>
  <si>
    <t>u16MotSpdMax</t>
  </si>
  <si>
    <r>
      <rPr>
        <sz val="10"/>
        <color theme="1"/>
        <rFont val="宋体"/>
        <charset val="134"/>
      </rPr>
      <t>电机最大转速</t>
    </r>
  </si>
  <si>
    <t>u16MotAccMax</t>
  </si>
  <si>
    <t>m/s2</t>
  </si>
  <si>
    <t>电机最大加速度</t>
  </si>
  <si>
    <t>u16EncSN</t>
  </si>
  <si>
    <r>
      <rPr>
        <sz val="10"/>
        <color theme="1"/>
        <rFont val="宋体"/>
        <charset val="134"/>
      </rPr>
      <t>编码器序列号</t>
    </r>
  </si>
  <si>
    <t>u16EncMethod</t>
  </si>
  <si>
    <r>
      <rPr>
        <sz val="11"/>
        <color theme="1"/>
        <rFont val="宋体"/>
        <charset val="134"/>
      </rPr>
      <t>编码器原理</t>
    </r>
  </si>
  <si>
    <r>
      <rPr>
        <sz val="10"/>
        <color theme="1"/>
        <rFont val="Consolas"/>
        <charset val="134"/>
      </rPr>
      <t>0-</t>
    </r>
    <r>
      <rPr>
        <sz val="10"/>
        <color theme="1"/>
        <rFont val="宋体"/>
        <charset val="134"/>
      </rPr>
      <t>无；</t>
    </r>
    <r>
      <rPr>
        <sz val="10"/>
        <color theme="1"/>
        <rFont val="Consolas"/>
        <charset val="134"/>
      </rPr>
      <t xml:space="preserve">
1-</t>
    </r>
    <r>
      <rPr>
        <sz val="10"/>
        <color theme="1"/>
        <rFont val="宋体"/>
        <charset val="134"/>
      </rPr>
      <t>光编码器；</t>
    </r>
    <r>
      <rPr>
        <sz val="10"/>
        <color theme="1"/>
        <rFont val="Consolas"/>
        <charset val="134"/>
      </rPr>
      <t xml:space="preserve">
2-</t>
    </r>
    <r>
      <rPr>
        <sz val="10"/>
        <color theme="1"/>
        <rFont val="宋体"/>
        <charset val="134"/>
      </rPr>
      <t>磁编码器；</t>
    </r>
    <r>
      <rPr>
        <sz val="10"/>
        <color theme="1"/>
        <rFont val="Consolas"/>
        <charset val="134"/>
      </rPr>
      <t xml:space="preserve">
3-</t>
    </r>
    <r>
      <rPr>
        <sz val="10"/>
        <color theme="1"/>
        <rFont val="宋体"/>
        <charset val="134"/>
      </rPr>
      <t>霍尔；</t>
    </r>
    <r>
      <rPr>
        <sz val="10"/>
        <color theme="1"/>
        <rFont val="Consolas"/>
        <charset val="134"/>
      </rPr>
      <t xml:space="preserve">
4-</t>
    </r>
    <r>
      <rPr>
        <sz val="10"/>
        <color theme="1"/>
        <rFont val="宋体"/>
        <charset val="134"/>
      </rPr>
      <t>电感式；</t>
    </r>
    <r>
      <rPr>
        <sz val="10"/>
        <color theme="1"/>
        <rFont val="Consolas"/>
        <charset val="134"/>
      </rPr>
      <t xml:space="preserve">
5-</t>
    </r>
    <r>
      <rPr>
        <sz val="10"/>
        <color theme="1"/>
        <rFont val="宋体"/>
        <charset val="134"/>
      </rPr>
      <t>旋变；</t>
    </r>
  </si>
  <si>
    <t>u16EncType</t>
  </si>
  <si>
    <r>
      <rPr>
        <sz val="10"/>
        <color theme="1"/>
        <rFont val="宋体"/>
        <charset val="134"/>
      </rPr>
      <t>编码器类型</t>
    </r>
  </si>
  <si>
    <r>
      <rPr>
        <sz val="10"/>
        <color theme="1"/>
        <rFont val="Consolas"/>
        <charset val="134"/>
      </rPr>
      <t>0-Hall
1-Tformat
2-12B</t>
    </r>
    <r>
      <rPr>
        <sz val="10"/>
        <color theme="1"/>
        <rFont val="宋体"/>
        <charset val="134"/>
      </rPr>
      <t>磁编</t>
    </r>
    <r>
      <rPr>
        <sz val="10"/>
        <color theme="1"/>
        <rFont val="Consolas"/>
        <charset val="134"/>
      </rPr>
      <t xml:space="preserve"> AS5600
3-14B</t>
    </r>
    <r>
      <rPr>
        <sz val="10"/>
        <color theme="1"/>
        <rFont val="宋体"/>
        <charset val="134"/>
      </rPr>
      <t>磁编</t>
    </r>
    <r>
      <rPr>
        <sz val="10"/>
        <color theme="1"/>
        <rFont val="Consolas"/>
        <charset val="134"/>
      </rPr>
      <t xml:space="preserve"> MT6701
4-14B</t>
    </r>
    <r>
      <rPr>
        <sz val="10"/>
        <color theme="1"/>
        <rFont val="宋体"/>
        <charset val="134"/>
      </rPr>
      <t>磁编</t>
    </r>
    <r>
      <rPr>
        <sz val="10"/>
        <color theme="1"/>
        <rFont val="Consolas"/>
        <charset val="134"/>
      </rPr>
      <t xml:space="preserve"> MT6816
5-21B</t>
    </r>
    <r>
      <rPr>
        <sz val="10"/>
        <color theme="1"/>
        <rFont val="宋体"/>
        <charset val="134"/>
      </rPr>
      <t>磁编</t>
    </r>
    <r>
      <rPr>
        <sz val="10"/>
        <color theme="1"/>
        <rFont val="Consolas"/>
        <charset val="134"/>
      </rPr>
      <t xml:space="preserve"> MT6835
6-ABZ</t>
    </r>
    <r>
      <rPr>
        <sz val="10"/>
        <color theme="1"/>
        <rFont val="宋体"/>
        <charset val="134"/>
      </rPr>
      <t>光编</t>
    </r>
    <r>
      <rPr>
        <sz val="10"/>
        <color theme="1"/>
        <rFont val="Consolas"/>
        <charset val="134"/>
      </rPr>
      <t xml:space="preserve"> 2500</t>
    </r>
    <r>
      <rPr>
        <sz val="10"/>
        <color theme="1"/>
        <rFont val="宋体"/>
        <charset val="134"/>
      </rPr>
      <t>线</t>
    </r>
    <r>
      <rPr>
        <sz val="10"/>
        <color theme="1"/>
        <rFont val="Consolas"/>
        <charset val="134"/>
      </rPr>
      <t xml:space="preserve">
7-ABZ</t>
    </r>
    <r>
      <rPr>
        <sz val="10"/>
        <color theme="1"/>
        <rFont val="宋体"/>
        <charset val="134"/>
      </rPr>
      <t>光编</t>
    </r>
    <r>
      <rPr>
        <sz val="10"/>
        <color theme="1"/>
        <rFont val="Consolas"/>
        <charset val="134"/>
      </rPr>
      <t xml:space="preserve"> 1000</t>
    </r>
    <r>
      <rPr>
        <sz val="10"/>
        <color theme="1"/>
        <rFont val="宋体"/>
        <charset val="134"/>
      </rPr>
      <t>线</t>
    </r>
  </si>
  <si>
    <t>u32EncRes</t>
  </si>
  <si>
    <t>6</t>
  </si>
  <si>
    <r>
      <rPr>
        <sz val="10"/>
        <color theme="1"/>
        <rFont val="宋体"/>
        <charset val="134"/>
      </rPr>
      <t>编码器分辨率</t>
    </r>
  </si>
  <si>
    <t>u32EncPosOffset</t>
  </si>
  <si>
    <t>U32_MIN</t>
  </si>
  <si>
    <t>电角度偏置</t>
  </si>
  <si>
    <t>u32EncPosInit</t>
  </si>
  <si>
    <r>
      <rPr>
        <sz val="10"/>
        <color theme="1"/>
        <rFont val="宋体"/>
        <charset val="134"/>
      </rPr>
      <t>编码器初始位置</t>
    </r>
  </si>
  <si>
    <t>u32EncPos</t>
  </si>
  <si>
    <r>
      <rPr>
        <sz val="10"/>
        <color theme="1"/>
        <rFont val="宋体"/>
        <charset val="134"/>
      </rPr>
      <t>编码器单圈位置</t>
    </r>
  </si>
  <si>
    <t>s32EncTurns</t>
  </si>
  <si>
    <r>
      <rPr>
        <sz val="10"/>
        <color theme="1"/>
        <rFont val="宋体"/>
        <charset val="134"/>
      </rPr>
      <t>编码器圈数</t>
    </r>
  </si>
  <si>
    <t>s64EncMultPos</t>
  </si>
  <si>
    <t>编码器多圈位置</t>
  </si>
  <si>
    <t>u16EncHallState</t>
  </si>
  <si>
    <t>编码器霍尔真值状态</t>
  </si>
  <si>
    <t>u16AbsEncWorkMode</t>
  </si>
  <si>
    <r>
      <rPr>
        <sz val="10"/>
        <color theme="1"/>
        <rFont val="宋体"/>
        <charset val="134"/>
      </rPr>
      <t>轴配置</t>
    </r>
    <r>
      <rPr>
        <sz val="10"/>
        <color theme="1"/>
        <rFont val="Consolas"/>
        <charset val="134"/>
      </rPr>
      <t>.</t>
    </r>
    <r>
      <rPr>
        <sz val="10"/>
        <color theme="1"/>
        <rFont val="宋体"/>
        <charset val="134"/>
      </rPr>
      <t>绝对值编码器工作模式</t>
    </r>
  </si>
  <si>
    <t>0-INC
1-ABS</t>
  </si>
  <si>
    <t>u16PwmFreq</t>
  </si>
  <si>
    <t>0.1kHz</t>
  </si>
  <si>
    <r>
      <rPr>
        <sz val="10"/>
        <color theme="1"/>
        <rFont val="Consolas"/>
        <charset val="134"/>
      </rPr>
      <t>PWM</t>
    </r>
    <r>
      <rPr>
        <sz val="10"/>
        <color theme="1"/>
        <rFont val="宋体"/>
        <charset val="134"/>
      </rPr>
      <t>载波频率</t>
    </r>
  </si>
  <si>
    <t>u16PwmDutyMax</t>
  </si>
  <si>
    <r>
      <rPr>
        <sz val="10"/>
        <color theme="1"/>
        <rFont val="Consolas"/>
        <charset val="134"/>
      </rPr>
      <t>PWM</t>
    </r>
    <r>
      <rPr>
        <sz val="10"/>
        <color theme="1"/>
        <rFont val="宋体"/>
        <charset val="134"/>
      </rPr>
      <t>最大占空比</t>
    </r>
  </si>
  <si>
    <t>u16PwmDeadband</t>
  </si>
  <si>
    <t>20</t>
  </si>
  <si>
    <t>0.1us</t>
  </si>
  <si>
    <r>
      <rPr>
        <sz val="10"/>
        <color theme="1"/>
        <rFont val="Consolas"/>
        <charset val="134"/>
      </rPr>
      <t>PWM</t>
    </r>
    <r>
      <rPr>
        <sz val="10"/>
        <color theme="1"/>
        <rFont val="宋体"/>
        <charset val="134"/>
      </rPr>
      <t>死区时间</t>
    </r>
  </si>
  <si>
    <t>u16PosLoopKp</t>
  </si>
  <si>
    <t>1500</t>
  </si>
  <si>
    <r>
      <rPr>
        <sz val="10"/>
        <color theme="1"/>
        <rFont val="宋体"/>
        <charset val="134"/>
      </rPr>
      <t>轴配置</t>
    </r>
    <r>
      <rPr>
        <sz val="10"/>
        <color theme="1"/>
        <rFont val="Consolas"/>
        <charset val="134"/>
      </rPr>
      <t>.</t>
    </r>
    <r>
      <rPr>
        <sz val="10"/>
        <color theme="1"/>
        <rFont val="宋体"/>
        <charset val="134"/>
      </rPr>
      <t>位置环增益系数</t>
    </r>
  </si>
  <si>
    <t>u16PosLoopKi</t>
  </si>
  <si>
    <t>250</t>
  </si>
  <si>
    <r>
      <rPr>
        <sz val="10"/>
        <color theme="1"/>
        <rFont val="宋体"/>
        <charset val="134"/>
      </rPr>
      <t>轴配置</t>
    </r>
    <r>
      <rPr>
        <sz val="10"/>
        <color theme="1"/>
        <rFont val="Consolas"/>
        <charset val="134"/>
      </rPr>
      <t>.</t>
    </r>
    <r>
      <rPr>
        <sz val="10"/>
        <color theme="1"/>
        <rFont val="宋体"/>
        <charset val="134"/>
      </rPr>
      <t>位置环积分系数</t>
    </r>
  </si>
  <si>
    <t>u16SpdLoopKp</t>
  </si>
  <si>
    <r>
      <rPr>
        <sz val="10"/>
        <color theme="1"/>
        <rFont val="宋体"/>
        <charset val="134"/>
      </rPr>
      <t>轴配置</t>
    </r>
    <r>
      <rPr>
        <sz val="10"/>
        <color theme="1"/>
        <rFont val="Consolas"/>
        <charset val="134"/>
      </rPr>
      <t>.</t>
    </r>
    <r>
      <rPr>
        <sz val="10"/>
        <color theme="1"/>
        <rFont val="宋体"/>
        <charset val="134"/>
      </rPr>
      <t>速度环增益系数</t>
    </r>
  </si>
  <si>
    <t>u16SpdLoopKi</t>
  </si>
  <si>
    <r>
      <rPr>
        <sz val="10"/>
        <color theme="1"/>
        <rFont val="宋体"/>
        <charset val="134"/>
      </rPr>
      <t>轴配置</t>
    </r>
    <r>
      <rPr>
        <sz val="10"/>
        <color theme="1"/>
        <rFont val="Consolas"/>
        <charset val="134"/>
      </rPr>
      <t>.</t>
    </r>
    <r>
      <rPr>
        <sz val="10"/>
        <color theme="1"/>
        <rFont val="宋体"/>
        <charset val="134"/>
      </rPr>
      <t>速度环积分系数</t>
    </r>
  </si>
  <si>
    <t>u16CurLoopIqKp</t>
  </si>
  <si>
    <t>60</t>
  </si>
  <si>
    <r>
      <rPr>
        <sz val="10"/>
        <color theme="1"/>
        <rFont val="宋体"/>
        <charset val="134"/>
      </rPr>
      <t>轴配置</t>
    </r>
    <r>
      <rPr>
        <sz val="10"/>
        <color theme="1"/>
        <rFont val="Consolas"/>
        <charset val="134"/>
      </rPr>
      <t>.</t>
    </r>
    <r>
      <rPr>
        <sz val="10"/>
        <color theme="1"/>
        <rFont val="宋体"/>
        <charset val="134"/>
      </rPr>
      <t>电流环转矩增益系数</t>
    </r>
  </si>
  <si>
    <t>u16CurLoopIqKi</t>
  </si>
  <si>
    <r>
      <rPr>
        <sz val="10"/>
        <color theme="1"/>
        <rFont val="宋体"/>
        <charset val="134"/>
      </rPr>
      <t>轴配置</t>
    </r>
    <r>
      <rPr>
        <sz val="10"/>
        <color theme="1"/>
        <rFont val="Consolas"/>
        <charset val="134"/>
      </rPr>
      <t>.</t>
    </r>
    <r>
      <rPr>
        <sz val="10"/>
        <color theme="1"/>
        <rFont val="宋体"/>
        <charset val="134"/>
      </rPr>
      <t>电流环转矩积分系数</t>
    </r>
  </si>
  <si>
    <t>u16CurLoopIdKp</t>
  </si>
  <si>
    <r>
      <rPr>
        <sz val="10"/>
        <color theme="1"/>
        <rFont val="宋体"/>
        <charset val="134"/>
      </rPr>
      <t>轴配置</t>
    </r>
    <r>
      <rPr>
        <sz val="10"/>
        <color theme="1"/>
        <rFont val="Consolas"/>
        <charset val="134"/>
      </rPr>
      <t>.</t>
    </r>
    <r>
      <rPr>
        <sz val="10"/>
        <color theme="1"/>
        <rFont val="宋体"/>
        <charset val="134"/>
      </rPr>
      <t>电流环磁链增益系数</t>
    </r>
  </si>
  <si>
    <t>u16CurLoopIdKi</t>
  </si>
  <si>
    <r>
      <rPr>
        <sz val="10"/>
        <color theme="1"/>
        <rFont val="宋体"/>
        <charset val="134"/>
      </rPr>
      <t>轴配置</t>
    </r>
    <r>
      <rPr>
        <sz val="10"/>
        <color theme="1"/>
        <rFont val="Consolas"/>
        <charset val="134"/>
      </rPr>
      <t>.</t>
    </r>
    <r>
      <rPr>
        <sz val="10"/>
        <color theme="1"/>
        <rFont val="宋体"/>
        <charset val="134"/>
      </rPr>
      <t>电流环磁链积分系数</t>
    </r>
  </si>
  <si>
    <t>u16SpdRefFltrTc</t>
  </si>
  <si>
    <r>
      <rPr>
        <sz val="10"/>
        <color theme="1"/>
        <rFont val="宋体"/>
        <charset val="134"/>
      </rPr>
      <t>轴配置</t>
    </r>
    <r>
      <rPr>
        <sz val="10"/>
        <color theme="1"/>
        <rFont val="Consolas"/>
        <charset val="134"/>
      </rPr>
      <t>.</t>
    </r>
    <r>
      <rPr>
        <sz val="10"/>
        <color theme="1"/>
        <rFont val="宋体"/>
        <charset val="134"/>
      </rPr>
      <t>速度指令滤波常数</t>
    </r>
  </si>
  <si>
    <t>u16SpdFbFltrTc</t>
  </si>
  <si>
    <r>
      <rPr>
        <sz val="10"/>
        <color theme="1"/>
        <rFont val="宋体"/>
        <charset val="134"/>
      </rPr>
      <t>轴配置</t>
    </r>
    <r>
      <rPr>
        <sz val="10"/>
        <color theme="1"/>
        <rFont val="Consolas"/>
        <charset val="134"/>
      </rPr>
      <t>.</t>
    </r>
    <r>
      <rPr>
        <sz val="10"/>
        <color theme="1"/>
        <rFont val="宋体"/>
        <charset val="134"/>
      </rPr>
      <t>速度反馈滤波常数</t>
    </r>
  </si>
  <si>
    <t>u16IdRefFltrTc</t>
  </si>
  <si>
    <r>
      <rPr>
        <sz val="10"/>
        <color theme="1"/>
        <rFont val="宋体"/>
        <charset val="134"/>
      </rPr>
      <t>轴配置</t>
    </r>
    <r>
      <rPr>
        <sz val="10"/>
        <color theme="1"/>
        <rFont val="Consolas"/>
        <charset val="134"/>
      </rPr>
      <t>.</t>
    </r>
    <r>
      <rPr>
        <sz val="10"/>
        <color theme="1"/>
        <rFont val="宋体"/>
        <charset val="134"/>
      </rPr>
      <t>转矩指令滤波常数</t>
    </r>
  </si>
  <si>
    <t>u16IdFbFltrTc</t>
  </si>
  <si>
    <r>
      <rPr>
        <sz val="10"/>
        <color theme="1"/>
        <rFont val="宋体"/>
        <charset val="134"/>
      </rPr>
      <t>轴配置</t>
    </r>
    <r>
      <rPr>
        <sz val="10"/>
        <color theme="1"/>
        <rFont val="Consolas"/>
        <charset val="134"/>
      </rPr>
      <t>.</t>
    </r>
    <r>
      <rPr>
        <sz val="10"/>
        <color theme="1"/>
        <rFont val="宋体"/>
        <charset val="134"/>
      </rPr>
      <t>转矩反馈滤波常数</t>
    </r>
  </si>
  <si>
    <t>u16IqRefFltrTc</t>
  </si>
  <si>
    <r>
      <rPr>
        <sz val="10"/>
        <color theme="1"/>
        <rFont val="宋体"/>
        <charset val="134"/>
      </rPr>
      <t>轴配置</t>
    </r>
    <r>
      <rPr>
        <sz val="10"/>
        <color theme="1"/>
        <rFont val="Consolas"/>
        <charset val="134"/>
      </rPr>
      <t>.</t>
    </r>
    <r>
      <rPr>
        <sz val="10"/>
        <color theme="1"/>
        <rFont val="宋体"/>
        <charset val="134"/>
      </rPr>
      <t>磁链指令滤波常数</t>
    </r>
  </si>
  <si>
    <t>u16IqFbFltrTc</t>
  </si>
  <si>
    <r>
      <rPr>
        <sz val="10"/>
        <color theme="1"/>
        <rFont val="宋体"/>
        <charset val="134"/>
      </rPr>
      <t>轴配置</t>
    </r>
    <r>
      <rPr>
        <sz val="10"/>
        <color theme="1"/>
        <rFont val="Consolas"/>
        <charset val="134"/>
      </rPr>
      <t>.</t>
    </r>
    <r>
      <rPr>
        <sz val="10"/>
        <color theme="1"/>
        <rFont val="宋体"/>
        <charset val="134"/>
      </rPr>
      <t>磁链反馈滤波常数</t>
    </r>
  </si>
  <si>
    <t>u16CurSampDir</t>
  </si>
  <si>
    <t>7</t>
  </si>
  <si>
    <r>
      <rPr>
        <sz val="10"/>
        <color theme="1"/>
        <rFont val="宋体"/>
        <charset val="134"/>
      </rPr>
      <t>轴配置</t>
    </r>
    <r>
      <rPr>
        <sz val="10"/>
        <color theme="1"/>
        <rFont val="Consolas"/>
        <charset val="134"/>
      </rPr>
      <t>.</t>
    </r>
    <r>
      <rPr>
        <sz val="10"/>
        <color theme="1"/>
        <rFont val="宋体"/>
        <charset val="134"/>
      </rPr>
      <t>电流采样方向</t>
    </r>
  </si>
  <si>
    <t>u16IphHwCoeff</t>
  </si>
  <si>
    <t>540</t>
  </si>
  <si>
    <r>
      <rPr>
        <sz val="10"/>
        <color theme="1"/>
        <rFont val="宋体"/>
        <charset val="134"/>
      </rPr>
      <t>轴配置</t>
    </r>
    <r>
      <rPr>
        <sz val="10"/>
        <color theme="1"/>
        <rFont val="Consolas"/>
        <charset val="134"/>
      </rPr>
      <t>.</t>
    </r>
    <r>
      <rPr>
        <sz val="10"/>
        <color theme="1"/>
        <rFont val="宋体"/>
        <charset val="134"/>
      </rPr>
      <t>电流硬件采样系数</t>
    </r>
  </si>
  <si>
    <r>
      <rPr>
        <sz val="10"/>
        <color theme="1"/>
        <rFont val="宋体"/>
        <charset val="134"/>
      </rPr>
      <t>最大电流</t>
    </r>
    <r>
      <rPr>
        <sz val="10"/>
        <color theme="1"/>
        <rFont val="Consolas"/>
        <charset val="134"/>
      </rPr>
      <t xml:space="preserve">(A)*100. </t>
    </r>
    <r>
      <rPr>
        <sz val="10"/>
        <color theme="1"/>
        <rFont val="宋体"/>
        <charset val="134"/>
      </rPr>
      <t>实际电流</t>
    </r>
    <r>
      <rPr>
        <sz val="10"/>
        <color theme="1"/>
        <rFont val="Consolas"/>
        <charset val="134"/>
      </rPr>
      <t>(0.01A)=</t>
    </r>
    <r>
      <rPr>
        <sz val="10"/>
        <color theme="1"/>
        <rFont val="宋体"/>
        <charset val="134"/>
      </rPr>
      <t>相电流系数</t>
    </r>
    <r>
      <rPr>
        <sz val="10"/>
        <color theme="1"/>
        <rFont val="Consolas"/>
        <charset val="134"/>
      </rPr>
      <t>*</t>
    </r>
    <r>
      <rPr>
        <sz val="10"/>
        <color theme="1"/>
        <rFont val="宋体"/>
        <charset val="134"/>
      </rPr>
      <t>反馈电流</t>
    </r>
    <r>
      <rPr>
        <sz val="10"/>
        <color theme="1"/>
        <rFont val="Consolas"/>
        <charset val="134"/>
      </rPr>
      <t>/32768</t>
    </r>
  </si>
  <si>
    <t>u16IphZoom</t>
  </si>
  <si>
    <t>10000</t>
  </si>
  <si>
    <r>
      <rPr>
        <sz val="10"/>
        <color theme="1"/>
        <rFont val="宋体"/>
        <charset val="134"/>
      </rPr>
      <t>轴配置</t>
    </r>
    <r>
      <rPr>
        <sz val="10"/>
        <color theme="1"/>
        <rFont val="Consolas"/>
        <charset val="134"/>
      </rPr>
      <t>.</t>
    </r>
    <r>
      <rPr>
        <sz val="10"/>
        <color theme="1"/>
        <rFont val="宋体"/>
        <charset val="134"/>
      </rPr>
      <t>电流缩放系数</t>
    </r>
  </si>
  <si>
    <t>s16IaOffset</t>
  </si>
  <si>
    <r>
      <rPr>
        <sz val="10"/>
        <color theme="1"/>
        <rFont val="宋体"/>
        <charset val="134"/>
      </rPr>
      <t>轴配置</t>
    </r>
    <r>
      <rPr>
        <sz val="10"/>
        <color theme="1"/>
        <rFont val="Consolas"/>
        <charset val="134"/>
      </rPr>
      <t>.U</t>
    </r>
    <r>
      <rPr>
        <sz val="10"/>
        <color theme="1"/>
        <rFont val="宋体"/>
        <charset val="134"/>
      </rPr>
      <t>相电流偏置标幺值</t>
    </r>
  </si>
  <si>
    <t>s16IbOffset</t>
  </si>
  <si>
    <r>
      <rPr>
        <sz val="10"/>
        <color theme="1"/>
        <rFont val="宋体"/>
        <charset val="134"/>
      </rPr>
      <t>轴配置</t>
    </r>
    <r>
      <rPr>
        <sz val="10"/>
        <color theme="1"/>
        <rFont val="Consolas"/>
        <charset val="134"/>
      </rPr>
      <t>.V</t>
    </r>
    <r>
      <rPr>
        <sz val="10"/>
        <color theme="1"/>
        <rFont val="宋体"/>
        <charset val="134"/>
      </rPr>
      <t>相电流偏置标幺值</t>
    </r>
  </si>
  <si>
    <t>s16IcOffset</t>
  </si>
  <si>
    <r>
      <rPr>
        <sz val="10"/>
        <color theme="1"/>
        <rFont val="宋体"/>
        <charset val="134"/>
      </rPr>
      <t>轴配置</t>
    </r>
    <r>
      <rPr>
        <sz val="10"/>
        <color theme="1"/>
        <rFont val="Consolas"/>
        <charset val="134"/>
      </rPr>
      <t>.W</t>
    </r>
    <r>
      <rPr>
        <sz val="10"/>
        <color theme="1"/>
        <rFont val="宋体"/>
        <charset val="134"/>
      </rPr>
      <t>相电流偏置标幺值</t>
    </r>
  </si>
  <si>
    <t>u16SpdMaxGain</t>
  </si>
  <si>
    <r>
      <rPr>
        <sz val="10"/>
        <color theme="1"/>
        <rFont val="宋体"/>
        <charset val="134"/>
      </rPr>
      <t>轴配置</t>
    </r>
    <r>
      <rPr>
        <sz val="10"/>
        <color theme="1"/>
        <rFont val="Consolas"/>
        <charset val="134"/>
      </rPr>
      <t>.</t>
    </r>
    <r>
      <rPr>
        <sz val="10"/>
        <color theme="1"/>
        <rFont val="宋体"/>
        <charset val="134"/>
      </rPr>
      <t>最大速度增益</t>
    </r>
  </si>
  <si>
    <t>u16CurRateDigMot</t>
  </si>
  <si>
    <r>
      <rPr>
        <sz val="10"/>
        <color theme="1"/>
        <rFont val="宋体"/>
        <charset val="134"/>
      </rPr>
      <t>轴配置</t>
    </r>
    <r>
      <rPr>
        <sz val="10"/>
        <color theme="1"/>
        <rFont val="Consolas"/>
        <charset val="134"/>
      </rPr>
      <t>.</t>
    </r>
    <r>
      <rPr>
        <sz val="10"/>
        <color theme="1"/>
        <rFont val="宋体"/>
        <charset val="134"/>
      </rPr>
      <t>额定电流数字量</t>
    </r>
  </si>
  <si>
    <t>u16OverCurrTh</t>
  </si>
  <si>
    <r>
      <rPr>
        <sz val="10"/>
        <color theme="1"/>
        <rFont val="宋体"/>
        <charset val="134"/>
      </rPr>
      <t>轴配置</t>
    </r>
    <r>
      <rPr>
        <sz val="10"/>
        <color theme="1"/>
        <rFont val="Consolas"/>
        <charset val="134"/>
      </rPr>
      <t>.</t>
    </r>
    <r>
      <rPr>
        <sz val="10"/>
        <color theme="1"/>
        <rFont val="宋体"/>
        <charset val="134"/>
      </rPr>
      <t>软件过流阈值</t>
    </r>
  </si>
  <si>
    <r>
      <rPr>
        <sz val="10"/>
        <color theme="1"/>
        <rFont val="宋体"/>
        <charset val="134"/>
      </rPr>
      <t>驱动器和电机额定电流数字量中较小值的</t>
    </r>
    <r>
      <rPr>
        <sz val="10"/>
        <color theme="1"/>
        <rFont val="Consolas"/>
        <charset val="134"/>
      </rPr>
      <t>3.9</t>
    </r>
    <r>
      <rPr>
        <sz val="10"/>
        <color theme="1"/>
        <rFont val="宋体"/>
        <charset val="134"/>
      </rPr>
      <t>倍</t>
    </r>
  </si>
  <si>
    <t>u16OverSpdTh</t>
  </si>
  <si>
    <r>
      <rPr>
        <sz val="10"/>
        <color theme="1"/>
        <rFont val="宋体"/>
        <charset val="134"/>
      </rPr>
      <t>轴配置</t>
    </r>
    <r>
      <rPr>
        <sz val="10"/>
        <color theme="1"/>
        <rFont val="Consolas"/>
        <charset val="134"/>
      </rPr>
      <t>.</t>
    </r>
    <r>
      <rPr>
        <sz val="10"/>
        <color theme="1"/>
        <rFont val="宋体"/>
        <charset val="134"/>
      </rPr>
      <t>过速阈值</t>
    </r>
  </si>
  <si>
    <r>
      <rPr>
        <sz val="10"/>
        <color theme="1"/>
        <rFont val="宋体"/>
        <charset val="134"/>
      </rPr>
      <t>如果速度反馈超过此设定值则触发过速故障保护；设定值为</t>
    </r>
    <r>
      <rPr>
        <sz val="10"/>
        <color theme="1"/>
        <rFont val="Consolas"/>
        <charset val="134"/>
      </rPr>
      <t>0</t>
    </r>
    <r>
      <rPr>
        <sz val="10"/>
        <color theme="1"/>
        <rFont val="宋体"/>
        <charset val="134"/>
      </rPr>
      <t>时则以电机最高转速</t>
    </r>
    <r>
      <rPr>
        <sz val="10"/>
        <color theme="1"/>
        <rFont val="Consolas"/>
        <charset val="134"/>
      </rPr>
      <t>x1.2</t>
    </r>
    <r>
      <rPr>
        <sz val="10"/>
        <color theme="1"/>
        <rFont val="宋体"/>
        <charset val="134"/>
      </rPr>
      <t>倍作为过速阈值；</t>
    </r>
  </si>
  <si>
    <t>u16OverTempTh</t>
  </si>
  <si>
    <t>850</t>
  </si>
  <si>
    <t>1250</t>
  </si>
  <si>
    <r>
      <rPr>
        <sz val="10"/>
        <color theme="1"/>
        <rFont val="宋体"/>
        <charset val="134"/>
      </rPr>
      <t>轴配置</t>
    </r>
    <r>
      <rPr>
        <sz val="10"/>
        <color theme="1"/>
        <rFont val="Consolas"/>
        <charset val="134"/>
      </rPr>
      <t>.</t>
    </r>
    <r>
      <rPr>
        <sz val="10"/>
        <color theme="1"/>
        <rFont val="宋体"/>
        <charset val="134"/>
      </rPr>
      <t>过热阈值</t>
    </r>
  </si>
  <si>
    <t>u16OverLoadCoeff</t>
  </si>
  <si>
    <r>
      <rPr>
        <sz val="10"/>
        <color theme="1"/>
        <rFont val="宋体"/>
        <charset val="134"/>
      </rPr>
      <t>轴配置</t>
    </r>
    <r>
      <rPr>
        <sz val="10"/>
        <color theme="1"/>
        <rFont val="Consolas"/>
        <charset val="134"/>
      </rPr>
      <t>.</t>
    </r>
    <r>
      <rPr>
        <sz val="10"/>
        <color theme="1"/>
        <rFont val="宋体"/>
        <charset val="134"/>
      </rPr>
      <t>过载倍数</t>
    </r>
  </si>
  <si>
    <t>eCtrlMethod</t>
  </si>
  <si>
    <r>
      <rPr>
        <sz val="10"/>
        <color theme="1"/>
        <rFont val="宋体"/>
        <charset val="134"/>
      </rPr>
      <t>用户层</t>
    </r>
    <r>
      <rPr>
        <sz val="10"/>
        <color theme="1"/>
        <rFont val="Consolas"/>
        <charset val="134"/>
      </rPr>
      <t>.</t>
    </r>
    <r>
      <rPr>
        <sz val="10"/>
        <color theme="1"/>
        <rFont val="宋体"/>
        <charset val="134"/>
      </rPr>
      <t>控制方法</t>
    </r>
  </si>
  <si>
    <r>
      <rPr>
        <sz val="10"/>
        <color theme="1"/>
        <rFont val="Consolas"/>
        <charset val="134"/>
      </rPr>
      <t>0-</t>
    </r>
    <r>
      <rPr>
        <sz val="10"/>
        <color theme="1"/>
        <rFont val="宋体"/>
        <charset val="134"/>
      </rPr>
      <t>有感矢量控制；</t>
    </r>
    <r>
      <rPr>
        <sz val="10"/>
        <color theme="1"/>
        <rFont val="Consolas"/>
        <charset val="134"/>
      </rPr>
      <t xml:space="preserve">
1-</t>
    </r>
    <r>
      <rPr>
        <sz val="10"/>
        <color theme="1"/>
        <rFont val="宋体"/>
        <charset val="134"/>
      </rPr>
      <t>无感矢量控制；</t>
    </r>
    <r>
      <rPr>
        <sz val="10"/>
        <color theme="1"/>
        <rFont val="Consolas"/>
        <charset val="134"/>
      </rPr>
      <t xml:space="preserve">
2-VF</t>
    </r>
    <r>
      <rPr>
        <sz val="10"/>
        <color theme="1"/>
        <rFont val="宋体"/>
        <charset val="134"/>
      </rPr>
      <t>速度开环控制；</t>
    </r>
    <r>
      <rPr>
        <sz val="10"/>
        <color theme="1"/>
        <rFont val="Consolas"/>
        <charset val="134"/>
      </rPr>
      <t xml:space="preserve">
3-VF</t>
    </r>
    <r>
      <rPr>
        <sz val="10"/>
        <color theme="1"/>
        <rFont val="宋体"/>
        <charset val="134"/>
      </rPr>
      <t>分离开环控制；</t>
    </r>
  </si>
  <si>
    <t>eAppSel</t>
  </si>
  <si>
    <r>
      <rPr>
        <sz val="10"/>
        <color theme="1"/>
        <rFont val="宋体"/>
        <charset val="134"/>
      </rPr>
      <t>用户层</t>
    </r>
    <r>
      <rPr>
        <sz val="10"/>
        <color theme="1"/>
        <rFont val="Consolas"/>
        <charset val="134"/>
      </rPr>
      <t>.</t>
    </r>
    <r>
      <rPr>
        <sz val="10"/>
        <color theme="1"/>
        <rFont val="宋体"/>
        <charset val="134"/>
      </rPr>
      <t>应用选择</t>
    </r>
  </si>
  <si>
    <r>
      <rPr>
        <sz val="10"/>
        <color theme="1"/>
        <rFont val="Consolas"/>
        <charset val="134"/>
      </rPr>
      <t>0-</t>
    </r>
    <r>
      <rPr>
        <sz val="10"/>
        <color theme="1"/>
        <rFont val="宋体"/>
        <charset val="134"/>
      </rPr>
      <t>通用控制</t>
    </r>
    <r>
      <rPr>
        <sz val="10"/>
        <color theme="1"/>
        <rFont val="Consolas"/>
        <charset val="134"/>
      </rPr>
      <t xml:space="preserve">
1-</t>
    </r>
    <r>
      <rPr>
        <sz val="10"/>
        <color theme="1"/>
        <rFont val="宋体"/>
        <charset val="134"/>
      </rPr>
      <t>开环测试</t>
    </r>
    <r>
      <rPr>
        <sz val="10"/>
        <color theme="1"/>
        <rFont val="Consolas"/>
        <charset val="134"/>
      </rPr>
      <t xml:space="preserve">
2-</t>
    </r>
    <r>
      <rPr>
        <sz val="10"/>
        <color theme="1"/>
        <rFont val="宋体"/>
        <charset val="134"/>
      </rPr>
      <t>编码器辨识</t>
    </r>
    <r>
      <rPr>
        <sz val="10"/>
        <color theme="1"/>
        <rFont val="Consolas"/>
        <charset val="134"/>
      </rPr>
      <t xml:space="preserve">
3-</t>
    </r>
    <r>
      <rPr>
        <sz val="10"/>
        <color theme="1"/>
        <rFont val="宋体"/>
        <charset val="134"/>
      </rPr>
      <t>响应测试</t>
    </r>
  </si>
  <si>
    <t>eCtrlMode</t>
  </si>
  <si>
    <r>
      <rPr>
        <sz val="10"/>
        <color theme="1"/>
        <rFont val="宋体"/>
        <charset val="134"/>
      </rPr>
      <t>用户层</t>
    </r>
    <r>
      <rPr>
        <sz val="10"/>
        <color theme="1"/>
        <rFont val="Consolas"/>
        <charset val="134"/>
      </rPr>
      <t>.</t>
    </r>
    <r>
      <rPr>
        <sz val="10"/>
        <color theme="1"/>
        <rFont val="宋体"/>
        <charset val="134"/>
      </rPr>
      <t>控制模式</t>
    </r>
  </si>
  <si>
    <r>
      <rPr>
        <sz val="10"/>
        <color theme="1"/>
        <rFont val="Consolas"/>
        <charset val="134"/>
      </rPr>
      <t>0-</t>
    </r>
    <r>
      <rPr>
        <sz val="10"/>
        <color theme="1"/>
        <rFont val="宋体"/>
        <charset val="134"/>
      </rPr>
      <t>位置模式</t>
    </r>
    <r>
      <rPr>
        <sz val="10"/>
        <color theme="1"/>
        <rFont val="Consolas"/>
        <charset val="134"/>
      </rPr>
      <t xml:space="preserve">
1-</t>
    </r>
    <r>
      <rPr>
        <sz val="10"/>
        <color theme="1"/>
        <rFont val="宋体"/>
        <charset val="134"/>
      </rPr>
      <t>速度模式</t>
    </r>
    <r>
      <rPr>
        <sz val="10"/>
        <color theme="1"/>
        <rFont val="Consolas"/>
        <charset val="134"/>
      </rPr>
      <t xml:space="preserve">
2-</t>
    </r>
    <r>
      <rPr>
        <sz val="10"/>
        <color theme="1"/>
        <rFont val="宋体"/>
        <charset val="134"/>
      </rPr>
      <t>转矩模式</t>
    </r>
    <r>
      <rPr>
        <sz val="10"/>
        <color theme="1"/>
        <rFont val="Consolas"/>
        <charset val="134"/>
      </rPr>
      <t xml:space="preserve">
3-DS402(ECAT/COP)</t>
    </r>
  </si>
  <si>
    <t>eCtrlCmdSrc</t>
  </si>
  <si>
    <r>
      <rPr>
        <sz val="10"/>
        <color theme="1"/>
        <rFont val="宋体"/>
        <charset val="134"/>
      </rPr>
      <t>用户层</t>
    </r>
    <r>
      <rPr>
        <sz val="10"/>
        <color theme="1"/>
        <rFont val="Consolas"/>
        <charset val="134"/>
      </rPr>
      <t>.</t>
    </r>
    <r>
      <rPr>
        <sz val="10"/>
        <color theme="1"/>
        <rFont val="宋体"/>
        <charset val="134"/>
      </rPr>
      <t>控制命令来源</t>
    </r>
  </si>
  <si>
    <t>eDiSrc</t>
  </si>
  <si>
    <r>
      <rPr>
        <sz val="10"/>
        <color theme="1"/>
        <rFont val="宋体"/>
        <charset val="134"/>
      </rPr>
      <t>用户层</t>
    </r>
    <r>
      <rPr>
        <sz val="10"/>
        <color theme="1"/>
        <rFont val="Consolas"/>
        <charset val="134"/>
      </rPr>
      <t>.</t>
    </r>
    <r>
      <rPr>
        <sz val="10"/>
        <color theme="1"/>
        <rFont val="宋体"/>
        <charset val="134"/>
      </rPr>
      <t>外部或虚拟</t>
    </r>
    <r>
      <rPr>
        <sz val="10"/>
        <color theme="1"/>
        <rFont val="Consolas"/>
        <charset val="134"/>
      </rPr>
      <t>DI</t>
    </r>
    <r>
      <rPr>
        <sz val="10"/>
        <color theme="1"/>
        <rFont val="宋体"/>
        <charset val="134"/>
      </rPr>
      <t>选择</t>
    </r>
  </si>
  <si>
    <r>
      <rPr>
        <sz val="10"/>
        <color theme="1"/>
        <rFont val="Consolas"/>
        <charset val="134"/>
      </rPr>
      <t>0-</t>
    </r>
    <r>
      <rPr>
        <sz val="10"/>
        <color theme="1"/>
        <rFont val="宋体"/>
        <charset val="134"/>
      </rPr>
      <t>外部</t>
    </r>
    <r>
      <rPr>
        <sz val="10"/>
        <color theme="1"/>
        <rFont val="Consolas"/>
        <charset val="134"/>
      </rPr>
      <t>DI
1-</t>
    </r>
    <r>
      <rPr>
        <sz val="10"/>
        <color theme="1"/>
        <rFont val="宋体"/>
        <charset val="134"/>
      </rPr>
      <t>虚拟</t>
    </r>
    <r>
      <rPr>
        <sz val="10"/>
        <color theme="1"/>
        <rFont val="Consolas"/>
        <charset val="134"/>
      </rPr>
      <t>DI</t>
    </r>
  </si>
  <si>
    <t>eDoSrc</t>
  </si>
  <si>
    <r>
      <rPr>
        <sz val="10"/>
        <color theme="1"/>
        <rFont val="宋体"/>
        <charset val="134"/>
      </rPr>
      <t>用户层</t>
    </r>
    <r>
      <rPr>
        <sz val="10"/>
        <color theme="1"/>
        <rFont val="Consolas"/>
        <charset val="134"/>
      </rPr>
      <t>.</t>
    </r>
    <r>
      <rPr>
        <sz val="10"/>
        <color theme="1"/>
        <rFont val="宋体"/>
        <charset val="134"/>
      </rPr>
      <t>外部或虚拟</t>
    </r>
    <r>
      <rPr>
        <sz val="10"/>
        <color theme="1"/>
        <rFont val="Consolas"/>
        <charset val="134"/>
      </rPr>
      <t>DO</t>
    </r>
    <r>
      <rPr>
        <sz val="10"/>
        <color theme="1"/>
        <rFont val="宋体"/>
        <charset val="134"/>
      </rPr>
      <t>选择</t>
    </r>
  </si>
  <si>
    <r>
      <rPr>
        <sz val="10"/>
        <color theme="1"/>
        <rFont val="Consolas"/>
        <charset val="134"/>
      </rPr>
      <t>0-</t>
    </r>
    <r>
      <rPr>
        <sz val="10"/>
        <color theme="1"/>
        <rFont val="宋体"/>
        <charset val="134"/>
      </rPr>
      <t>外部</t>
    </r>
    <r>
      <rPr>
        <sz val="10"/>
        <color theme="1"/>
        <rFont val="Consolas"/>
        <charset val="134"/>
      </rPr>
      <t>DO
1-</t>
    </r>
    <r>
      <rPr>
        <sz val="10"/>
        <color theme="1"/>
        <rFont val="宋体"/>
        <charset val="134"/>
      </rPr>
      <t>虚拟</t>
    </r>
    <r>
      <rPr>
        <sz val="10"/>
        <color theme="1"/>
        <rFont val="Consolas"/>
        <charset val="134"/>
      </rPr>
      <t>DO</t>
    </r>
  </si>
  <si>
    <t>u32CommCmd</t>
  </si>
  <si>
    <r>
      <rPr>
        <sz val="10"/>
        <color theme="1"/>
        <rFont val="宋体"/>
        <charset val="134"/>
      </rPr>
      <t>用户层</t>
    </r>
    <r>
      <rPr>
        <sz val="10"/>
        <color theme="1"/>
        <rFont val="Consolas"/>
        <charset val="134"/>
      </rPr>
      <t>.</t>
    </r>
    <r>
      <rPr>
        <sz val="10"/>
        <color theme="1"/>
        <rFont val="宋体"/>
        <charset val="134"/>
      </rPr>
      <t>通信命令字</t>
    </r>
  </si>
  <si>
    <r>
      <rPr>
        <sz val="10"/>
        <color theme="1"/>
        <rFont val="Consolas"/>
        <charset val="134"/>
      </rPr>
      <t>bit0:</t>
    </r>
    <r>
      <rPr>
        <sz val="10"/>
        <color theme="1"/>
        <rFont val="宋体"/>
        <charset val="134"/>
      </rPr>
      <t>伺服使能</t>
    </r>
  </si>
  <si>
    <t>u32DiCmd</t>
  </si>
  <si>
    <r>
      <rPr>
        <sz val="10"/>
        <color theme="1"/>
        <rFont val="宋体"/>
        <charset val="134"/>
      </rPr>
      <t>用户层</t>
    </r>
    <r>
      <rPr>
        <sz val="10"/>
        <color theme="1"/>
        <rFont val="Consolas"/>
        <charset val="134"/>
      </rPr>
      <t>.DI</t>
    </r>
    <r>
      <rPr>
        <sz val="10"/>
        <color theme="1"/>
        <rFont val="宋体"/>
        <charset val="134"/>
      </rPr>
      <t>命令字</t>
    </r>
  </si>
  <si>
    <t>u16PwrOnConf</t>
  </si>
  <si>
    <t>User</t>
  </si>
  <si>
    <r>
      <rPr>
        <sz val="10"/>
        <color theme="1"/>
        <rFont val="宋体"/>
        <charset val="134"/>
      </rPr>
      <t>用户层</t>
    </r>
    <r>
      <rPr>
        <sz val="10"/>
        <color theme="1"/>
        <rFont val="Consolas"/>
        <charset val="134"/>
      </rPr>
      <t>.</t>
    </r>
    <r>
      <rPr>
        <sz val="10"/>
        <color theme="1"/>
        <rFont val="宋体"/>
        <charset val="134"/>
      </rPr>
      <t>上电配置</t>
    </r>
  </si>
  <si>
    <t>u16OpenLoopEn</t>
  </si>
  <si>
    <r>
      <rPr>
        <sz val="10"/>
        <color theme="1"/>
        <rFont val="宋体"/>
        <charset val="134"/>
      </rPr>
      <t>应用层</t>
    </r>
    <r>
      <rPr>
        <sz val="10"/>
        <color theme="1"/>
        <rFont val="Consolas"/>
        <charset val="134"/>
      </rPr>
      <t>.</t>
    </r>
    <r>
      <rPr>
        <sz val="10"/>
        <color theme="1"/>
        <rFont val="宋体"/>
        <charset val="134"/>
      </rPr>
      <t>开环测试使能</t>
    </r>
  </si>
  <si>
    <t>u16OpenPeriod</t>
  </si>
  <si>
    <r>
      <rPr>
        <sz val="10"/>
        <color theme="1"/>
        <rFont val="宋体"/>
        <charset val="134"/>
      </rPr>
      <t>应用层</t>
    </r>
    <r>
      <rPr>
        <sz val="10"/>
        <color theme="1"/>
        <rFont val="Consolas"/>
        <charset val="134"/>
      </rPr>
      <t>.</t>
    </r>
    <r>
      <rPr>
        <sz val="10"/>
        <color theme="1"/>
        <rFont val="宋体"/>
        <charset val="134"/>
      </rPr>
      <t>开环测试</t>
    </r>
    <r>
      <rPr>
        <sz val="10"/>
        <color theme="1"/>
        <rFont val="Consolas"/>
        <charset val="134"/>
      </rPr>
      <t>.</t>
    </r>
    <r>
      <rPr>
        <sz val="10"/>
        <color theme="1"/>
        <rFont val="宋体"/>
        <charset val="134"/>
      </rPr>
      <t>运行周期</t>
    </r>
  </si>
  <si>
    <t>u16OpenElecAngLock</t>
  </si>
  <si>
    <r>
      <rPr>
        <sz val="10"/>
        <color theme="1"/>
        <rFont val="宋体"/>
        <charset val="134"/>
      </rPr>
      <t>应用层</t>
    </r>
    <r>
      <rPr>
        <sz val="10"/>
        <color theme="1"/>
        <rFont val="Consolas"/>
        <charset val="134"/>
      </rPr>
      <t>.</t>
    </r>
    <r>
      <rPr>
        <sz val="10"/>
        <color theme="1"/>
        <rFont val="宋体"/>
        <charset val="134"/>
      </rPr>
      <t>开环测试</t>
    </r>
    <r>
      <rPr>
        <sz val="10"/>
        <color theme="1"/>
        <rFont val="Consolas"/>
        <charset val="134"/>
      </rPr>
      <t>.</t>
    </r>
    <r>
      <rPr>
        <sz val="10"/>
        <color theme="1"/>
        <rFont val="宋体"/>
        <charset val="134"/>
      </rPr>
      <t>电角度锁定位置</t>
    </r>
  </si>
  <si>
    <r>
      <rPr>
        <sz val="10"/>
        <color theme="1"/>
        <rFont val="宋体"/>
        <charset val="134"/>
      </rPr>
      <t>运行周期为</t>
    </r>
    <r>
      <rPr>
        <sz val="10"/>
        <color theme="1"/>
        <rFont val="Consolas"/>
        <charset val="134"/>
      </rPr>
      <t>0</t>
    </r>
    <r>
      <rPr>
        <sz val="10"/>
        <color theme="1"/>
        <rFont val="宋体"/>
        <charset val="134"/>
      </rPr>
      <t>时生效</t>
    </r>
  </si>
  <si>
    <t>s16OpenElecAngInc</t>
  </si>
  <si>
    <t>400</t>
  </si>
  <si>
    <r>
      <rPr>
        <sz val="10"/>
        <color theme="1"/>
        <rFont val="宋体"/>
        <charset val="134"/>
      </rPr>
      <t>应用层</t>
    </r>
    <r>
      <rPr>
        <sz val="10"/>
        <color theme="1"/>
        <rFont val="Consolas"/>
        <charset val="134"/>
      </rPr>
      <t>.</t>
    </r>
    <r>
      <rPr>
        <sz val="10"/>
        <color theme="1"/>
        <rFont val="宋体"/>
        <charset val="134"/>
      </rPr>
      <t>开环测试</t>
    </r>
    <r>
      <rPr>
        <sz val="10"/>
        <color theme="1"/>
        <rFont val="Consolas"/>
        <charset val="134"/>
      </rPr>
      <t>.</t>
    </r>
    <r>
      <rPr>
        <sz val="10"/>
        <color theme="1"/>
        <rFont val="宋体"/>
        <charset val="134"/>
      </rPr>
      <t>电角度自增量</t>
    </r>
  </si>
  <si>
    <r>
      <rPr>
        <sz val="10"/>
        <color theme="1"/>
        <rFont val="宋体"/>
        <charset val="134"/>
      </rPr>
      <t>运行周期不为</t>
    </r>
    <r>
      <rPr>
        <sz val="10"/>
        <color theme="1"/>
        <rFont val="Consolas"/>
        <charset val="134"/>
      </rPr>
      <t>0</t>
    </r>
    <r>
      <rPr>
        <sz val="10"/>
        <color theme="1"/>
        <rFont val="宋体"/>
        <charset val="134"/>
      </rPr>
      <t>时生效</t>
    </r>
  </si>
  <si>
    <t>s16OpenUqRef</t>
  </si>
  <si>
    <r>
      <rPr>
        <sz val="10"/>
        <color theme="1"/>
        <rFont val="宋体"/>
        <charset val="134"/>
      </rPr>
      <t>应用层</t>
    </r>
    <r>
      <rPr>
        <sz val="10"/>
        <color theme="1"/>
        <rFont val="Consolas"/>
        <charset val="134"/>
      </rPr>
      <t>.</t>
    </r>
    <r>
      <rPr>
        <sz val="10"/>
        <color theme="1"/>
        <rFont val="宋体"/>
        <charset val="134"/>
      </rPr>
      <t>开环测试</t>
    </r>
    <r>
      <rPr>
        <sz val="10"/>
        <color theme="1"/>
        <rFont val="Consolas"/>
        <charset val="134"/>
      </rPr>
      <t>.Q</t>
    </r>
    <r>
      <rPr>
        <sz val="10"/>
        <color theme="1"/>
        <rFont val="宋体"/>
        <charset val="134"/>
      </rPr>
      <t>轴指令</t>
    </r>
  </si>
  <si>
    <t>s16OpenUdRef</t>
  </si>
  <si>
    <r>
      <rPr>
        <sz val="10"/>
        <color theme="1"/>
        <rFont val="宋体"/>
        <charset val="134"/>
      </rPr>
      <t>应用层</t>
    </r>
    <r>
      <rPr>
        <sz val="10"/>
        <color theme="1"/>
        <rFont val="Consolas"/>
        <charset val="134"/>
      </rPr>
      <t>.</t>
    </r>
    <r>
      <rPr>
        <sz val="10"/>
        <color theme="1"/>
        <rFont val="宋体"/>
        <charset val="134"/>
      </rPr>
      <t>开环测试</t>
    </r>
    <r>
      <rPr>
        <sz val="10"/>
        <color theme="1"/>
        <rFont val="Consolas"/>
        <charset val="134"/>
      </rPr>
      <t>.D</t>
    </r>
    <r>
      <rPr>
        <sz val="10"/>
        <color theme="1"/>
        <rFont val="宋体"/>
        <charset val="134"/>
      </rPr>
      <t>轴指令</t>
    </r>
  </si>
  <si>
    <t>u16MotEncIdentEn</t>
  </si>
  <si>
    <r>
      <rPr>
        <sz val="10"/>
        <color theme="1"/>
        <rFont val="宋体"/>
        <charset val="134"/>
      </rPr>
      <t>应用层</t>
    </r>
    <r>
      <rPr>
        <sz val="10"/>
        <color theme="1"/>
        <rFont val="Consolas"/>
        <charset val="134"/>
      </rPr>
      <t>.</t>
    </r>
    <r>
      <rPr>
        <sz val="10"/>
        <color theme="1"/>
        <rFont val="宋体"/>
        <charset val="134"/>
      </rPr>
      <t>电机编码器辨识使能</t>
    </r>
  </si>
  <si>
    <r>
      <rPr>
        <sz val="10"/>
        <color theme="1"/>
        <rFont val="Consolas"/>
        <charset val="134"/>
      </rPr>
      <t>bit0:</t>
    </r>
    <r>
      <rPr>
        <sz val="10"/>
        <color theme="1"/>
        <rFont val="宋体"/>
        <charset val="134"/>
      </rPr>
      <t>辨识使能</t>
    </r>
  </si>
  <si>
    <t>u16MotEncIdentDirMatched</t>
  </si>
  <si>
    <r>
      <rPr>
        <sz val="10"/>
        <color theme="1"/>
        <rFont val="宋体"/>
        <charset val="134"/>
      </rPr>
      <t>应用层</t>
    </r>
    <r>
      <rPr>
        <sz val="10"/>
        <color theme="1"/>
        <rFont val="Consolas"/>
        <charset val="134"/>
      </rPr>
      <t>.</t>
    </r>
    <r>
      <rPr>
        <sz val="10"/>
        <color theme="1"/>
        <rFont val="宋体"/>
        <charset val="134"/>
      </rPr>
      <t>电机编码器辨识</t>
    </r>
    <r>
      <rPr>
        <sz val="10"/>
        <color theme="1"/>
        <rFont val="Consolas"/>
        <charset val="134"/>
      </rPr>
      <t>.</t>
    </r>
    <r>
      <rPr>
        <sz val="10"/>
        <color theme="1"/>
        <rFont val="宋体"/>
        <charset val="134"/>
      </rPr>
      <t>方向匹配状态</t>
    </r>
  </si>
  <si>
    <r>
      <rPr>
        <sz val="10"/>
        <color theme="1"/>
        <rFont val="Consolas"/>
        <charset val="134"/>
      </rPr>
      <t>0-</t>
    </r>
    <r>
      <rPr>
        <sz val="10"/>
        <color theme="1"/>
        <rFont val="宋体"/>
        <charset val="134"/>
      </rPr>
      <t>待测定</t>
    </r>
    <r>
      <rPr>
        <sz val="10"/>
        <color theme="1"/>
        <rFont val="Consolas"/>
        <charset val="134"/>
      </rPr>
      <t xml:space="preserve">
1-</t>
    </r>
    <r>
      <rPr>
        <sz val="10"/>
        <color theme="1"/>
        <rFont val="宋体"/>
        <charset val="134"/>
      </rPr>
      <t>电机旋转方向与电角度递增方向相同</t>
    </r>
    <r>
      <rPr>
        <sz val="10"/>
        <color theme="1"/>
        <rFont val="Consolas"/>
        <charset val="134"/>
      </rPr>
      <t>(</t>
    </r>
    <r>
      <rPr>
        <sz val="10"/>
        <color theme="1"/>
        <rFont val="宋体"/>
        <charset val="134"/>
      </rPr>
      <t>电机相序正常</t>
    </r>
    <r>
      <rPr>
        <sz val="10"/>
        <color theme="1"/>
        <rFont val="Consolas"/>
        <charset val="134"/>
      </rPr>
      <t>)
2-</t>
    </r>
    <r>
      <rPr>
        <sz val="10"/>
        <color theme="1"/>
        <rFont val="宋体"/>
        <charset val="134"/>
      </rPr>
      <t>电机旋转方向与电角度递增方向相反</t>
    </r>
    <r>
      <rPr>
        <sz val="10"/>
        <color theme="1"/>
        <rFont val="Consolas"/>
        <charset val="134"/>
      </rPr>
      <t>(</t>
    </r>
    <r>
      <rPr>
        <sz val="10"/>
        <color theme="1"/>
        <rFont val="宋体"/>
        <charset val="134"/>
      </rPr>
      <t>电机相序异常</t>
    </r>
    <r>
      <rPr>
        <sz val="10"/>
        <color theme="1"/>
        <rFont val="Consolas"/>
        <charset val="134"/>
      </rPr>
      <t>)</t>
    </r>
  </si>
  <si>
    <t>u16MotEncIdentPolePairs</t>
  </si>
  <si>
    <r>
      <rPr>
        <sz val="10"/>
        <color theme="1"/>
        <rFont val="宋体"/>
        <charset val="134"/>
      </rPr>
      <t>应用层</t>
    </r>
    <r>
      <rPr>
        <sz val="10"/>
        <color theme="1"/>
        <rFont val="Consolas"/>
        <charset val="134"/>
      </rPr>
      <t>.</t>
    </r>
    <r>
      <rPr>
        <sz val="10"/>
        <color theme="1"/>
        <rFont val="宋体"/>
        <charset val="134"/>
      </rPr>
      <t>电机编码器辨识</t>
    </r>
    <r>
      <rPr>
        <sz val="10"/>
        <color theme="1"/>
        <rFont val="Consolas"/>
        <charset val="134"/>
      </rPr>
      <t>.</t>
    </r>
    <r>
      <rPr>
        <sz val="10"/>
        <color theme="1"/>
        <rFont val="宋体"/>
        <charset val="134"/>
      </rPr>
      <t>电机极对数</t>
    </r>
  </si>
  <si>
    <t>u32MotEncIdentOffset</t>
  </si>
  <si>
    <r>
      <rPr>
        <sz val="10"/>
        <color theme="1"/>
        <rFont val="宋体"/>
        <charset val="134"/>
      </rPr>
      <t>应用层</t>
    </r>
    <r>
      <rPr>
        <sz val="10"/>
        <color theme="1"/>
        <rFont val="Consolas"/>
        <charset val="134"/>
      </rPr>
      <t>.</t>
    </r>
    <r>
      <rPr>
        <sz val="10"/>
        <color theme="1"/>
        <rFont val="宋体"/>
        <charset val="134"/>
      </rPr>
      <t>电机编码器辨识</t>
    </r>
    <r>
      <rPr>
        <sz val="10"/>
        <color theme="1"/>
        <rFont val="Consolas"/>
        <charset val="134"/>
      </rPr>
      <t>.</t>
    </r>
    <r>
      <rPr>
        <sz val="10"/>
        <color theme="1"/>
        <rFont val="宋体"/>
        <charset val="134"/>
      </rPr>
      <t>编码器安装偏置角</t>
    </r>
  </si>
  <si>
    <t>u32MotEncIdentRes</t>
  </si>
  <si>
    <r>
      <rPr>
        <sz val="10"/>
        <color theme="1"/>
        <rFont val="宋体"/>
        <charset val="134"/>
      </rPr>
      <t>应用层</t>
    </r>
    <r>
      <rPr>
        <sz val="10"/>
        <color theme="1"/>
        <rFont val="Consolas"/>
        <charset val="134"/>
      </rPr>
      <t>.</t>
    </r>
    <r>
      <rPr>
        <sz val="10"/>
        <color theme="1"/>
        <rFont val="宋体"/>
        <charset val="134"/>
      </rPr>
      <t>电机编码器辨识</t>
    </r>
    <r>
      <rPr>
        <sz val="10"/>
        <color theme="1"/>
        <rFont val="Consolas"/>
        <charset val="134"/>
      </rPr>
      <t>.</t>
    </r>
    <r>
      <rPr>
        <sz val="10"/>
        <color theme="1"/>
        <rFont val="宋体"/>
        <charset val="134"/>
      </rPr>
      <t>编码器分辨率</t>
    </r>
  </si>
  <si>
    <t>u16MotEncIdentState</t>
  </si>
  <si>
    <r>
      <rPr>
        <sz val="10"/>
        <color theme="1"/>
        <rFont val="宋体"/>
        <charset val="134"/>
      </rPr>
      <t>应用层</t>
    </r>
    <r>
      <rPr>
        <sz val="10"/>
        <color theme="1"/>
        <rFont val="Consolas"/>
        <charset val="134"/>
      </rPr>
      <t>.</t>
    </r>
    <r>
      <rPr>
        <sz val="10"/>
        <color theme="1"/>
        <rFont val="宋体"/>
        <charset val="134"/>
      </rPr>
      <t>电机编码器辨识</t>
    </r>
    <r>
      <rPr>
        <sz val="10"/>
        <color theme="1"/>
        <rFont val="Consolas"/>
        <charset val="134"/>
      </rPr>
      <t>.</t>
    </r>
    <r>
      <rPr>
        <sz val="10"/>
        <color theme="1"/>
        <rFont val="宋体"/>
        <charset val="134"/>
      </rPr>
      <t>运行状态</t>
    </r>
  </si>
  <si>
    <r>
      <rPr>
        <sz val="10"/>
        <color theme="1"/>
        <rFont val="Consolas"/>
        <charset val="134"/>
      </rPr>
      <t>0-</t>
    </r>
    <r>
      <rPr>
        <sz val="10"/>
        <color theme="1"/>
        <rFont val="宋体"/>
        <charset val="134"/>
      </rPr>
      <t>初始化阶段；</t>
    </r>
    <r>
      <rPr>
        <sz val="10"/>
        <color theme="1"/>
        <rFont val="Consolas"/>
        <charset val="134"/>
      </rPr>
      <t xml:space="preserve">
1-</t>
    </r>
    <r>
      <rPr>
        <sz val="10"/>
        <color theme="1"/>
        <rFont val="宋体"/>
        <charset val="134"/>
      </rPr>
      <t>电压自适应阶段；</t>
    </r>
    <r>
      <rPr>
        <sz val="10"/>
        <color theme="1"/>
        <rFont val="Consolas"/>
        <charset val="134"/>
      </rPr>
      <t xml:space="preserve">
2-</t>
    </r>
    <r>
      <rPr>
        <sz val="10"/>
        <color theme="1"/>
        <rFont val="宋体"/>
        <charset val="134"/>
      </rPr>
      <t>电机正方向辨识；</t>
    </r>
    <r>
      <rPr>
        <sz val="10"/>
        <color theme="1"/>
        <rFont val="Consolas"/>
        <charset val="134"/>
      </rPr>
      <t xml:space="preserve">
3-</t>
    </r>
    <r>
      <rPr>
        <sz val="10"/>
        <color theme="1"/>
        <rFont val="宋体"/>
        <charset val="134"/>
      </rPr>
      <t>编码器分辨率辨识阶段；</t>
    </r>
    <r>
      <rPr>
        <sz val="10"/>
        <color theme="1"/>
        <rFont val="Consolas"/>
        <charset val="134"/>
      </rPr>
      <t xml:space="preserve">
4-</t>
    </r>
    <r>
      <rPr>
        <sz val="10"/>
        <color theme="1"/>
        <rFont val="宋体"/>
        <charset val="134"/>
      </rPr>
      <t>电机电角度回初阶段；</t>
    </r>
    <r>
      <rPr>
        <sz val="10"/>
        <color theme="1"/>
        <rFont val="Consolas"/>
        <charset val="134"/>
      </rPr>
      <t xml:space="preserve">
5-</t>
    </r>
    <r>
      <rPr>
        <sz val="10"/>
        <color theme="1"/>
        <rFont val="宋体"/>
        <charset val="134"/>
      </rPr>
      <t>电机正向旋转（给定电角度自增）；</t>
    </r>
    <r>
      <rPr>
        <sz val="10"/>
        <color theme="1"/>
        <rFont val="Consolas"/>
        <charset val="134"/>
      </rPr>
      <t xml:space="preserve">
6-</t>
    </r>
    <r>
      <rPr>
        <sz val="10"/>
        <color theme="1"/>
        <rFont val="宋体"/>
        <charset val="134"/>
      </rPr>
      <t>电机反向旋转（给定电角度自减）；</t>
    </r>
    <r>
      <rPr>
        <sz val="10"/>
        <color theme="1"/>
        <rFont val="Consolas"/>
        <charset val="134"/>
      </rPr>
      <t xml:space="preserve">
7-</t>
    </r>
    <r>
      <rPr>
        <sz val="10"/>
        <color theme="1"/>
        <rFont val="宋体"/>
        <charset val="134"/>
      </rPr>
      <t>计算编码器安装偏置；</t>
    </r>
    <r>
      <rPr>
        <sz val="10"/>
        <color theme="1"/>
        <rFont val="Consolas"/>
        <charset val="134"/>
      </rPr>
      <t xml:space="preserve">
8-</t>
    </r>
    <r>
      <rPr>
        <sz val="10"/>
        <color theme="1"/>
        <rFont val="宋体"/>
        <charset val="134"/>
      </rPr>
      <t>错误处理；</t>
    </r>
    <r>
      <rPr>
        <sz val="10"/>
        <color theme="1"/>
        <rFont val="Consolas"/>
        <charset val="134"/>
      </rPr>
      <t xml:space="preserve">
9-</t>
    </r>
    <r>
      <rPr>
        <sz val="10"/>
        <color theme="1"/>
        <rFont val="宋体"/>
        <charset val="134"/>
      </rPr>
      <t>辨识完成；</t>
    </r>
  </si>
  <si>
    <t>u16MotEncIdentErr</t>
  </si>
  <si>
    <r>
      <rPr>
        <sz val="10"/>
        <color theme="1"/>
        <rFont val="宋体"/>
        <charset val="134"/>
      </rPr>
      <t>应用层</t>
    </r>
    <r>
      <rPr>
        <sz val="10"/>
        <color theme="1"/>
        <rFont val="Consolas"/>
        <charset val="134"/>
      </rPr>
      <t>.</t>
    </r>
    <r>
      <rPr>
        <sz val="10"/>
        <color theme="1"/>
        <rFont val="宋体"/>
        <charset val="134"/>
      </rPr>
      <t>电机编码器辨识</t>
    </r>
    <r>
      <rPr>
        <sz val="10"/>
        <color theme="1"/>
        <rFont val="Consolas"/>
        <charset val="134"/>
      </rPr>
      <t>.</t>
    </r>
    <r>
      <rPr>
        <sz val="10"/>
        <color theme="1"/>
        <rFont val="宋体"/>
        <charset val="134"/>
      </rPr>
      <t>错误类型</t>
    </r>
  </si>
  <si>
    <t>u16MotParaIdentEn</t>
  </si>
  <si>
    <r>
      <rPr>
        <sz val="10"/>
        <color theme="1"/>
        <rFont val="宋体"/>
        <charset val="134"/>
      </rPr>
      <t>应用层</t>
    </r>
    <r>
      <rPr>
        <sz val="10"/>
        <color theme="1"/>
        <rFont val="Consolas"/>
        <charset val="134"/>
      </rPr>
      <t>.</t>
    </r>
    <r>
      <rPr>
        <sz val="10"/>
        <color theme="1"/>
        <rFont val="宋体"/>
        <charset val="134"/>
      </rPr>
      <t>电机参数辨识使能</t>
    </r>
  </si>
  <si>
    <t>u16MotParaIdentRs</t>
  </si>
  <si>
    <r>
      <rPr>
        <sz val="10"/>
        <color theme="1"/>
        <rFont val="宋体"/>
        <charset val="134"/>
      </rPr>
      <t>应用层</t>
    </r>
    <r>
      <rPr>
        <sz val="10"/>
        <color theme="1"/>
        <rFont val="Consolas"/>
        <charset val="134"/>
      </rPr>
      <t>.</t>
    </r>
    <r>
      <rPr>
        <sz val="10"/>
        <color theme="1"/>
        <rFont val="宋体"/>
        <charset val="134"/>
      </rPr>
      <t>电机参数辨识</t>
    </r>
    <r>
      <rPr>
        <sz val="10"/>
        <color theme="1"/>
        <rFont val="Consolas"/>
        <charset val="134"/>
      </rPr>
      <t>.</t>
    </r>
    <r>
      <rPr>
        <sz val="10"/>
        <color theme="1"/>
        <rFont val="宋体"/>
        <charset val="134"/>
      </rPr>
      <t>电机相电阻</t>
    </r>
  </si>
  <si>
    <t>u16MotParaIdentLd</t>
  </si>
  <si>
    <r>
      <rPr>
        <sz val="10"/>
        <color theme="1"/>
        <rFont val="宋体"/>
        <charset val="134"/>
      </rPr>
      <t>应用层</t>
    </r>
    <r>
      <rPr>
        <sz val="10"/>
        <color theme="1"/>
        <rFont val="Consolas"/>
        <charset val="134"/>
      </rPr>
      <t>.</t>
    </r>
    <r>
      <rPr>
        <sz val="10"/>
        <color theme="1"/>
        <rFont val="宋体"/>
        <charset val="134"/>
      </rPr>
      <t>电机参数辨识</t>
    </r>
    <r>
      <rPr>
        <sz val="10"/>
        <color theme="1"/>
        <rFont val="Consolas"/>
        <charset val="134"/>
      </rPr>
      <t>.</t>
    </r>
    <r>
      <rPr>
        <sz val="10"/>
        <color theme="1"/>
        <rFont val="宋体"/>
        <charset val="134"/>
      </rPr>
      <t>电机</t>
    </r>
    <r>
      <rPr>
        <sz val="10"/>
        <color theme="1"/>
        <rFont val="Consolas"/>
        <charset val="134"/>
      </rPr>
      <t>D</t>
    </r>
    <r>
      <rPr>
        <sz val="10"/>
        <color theme="1"/>
        <rFont val="宋体"/>
        <charset val="134"/>
      </rPr>
      <t>轴电感</t>
    </r>
  </si>
  <si>
    <t>u16MotParaIdentLq</t>
  </si>
  <si>
    <r>
      <rPr>
        <sz val="10"/>
        <color theme="1"/>
        <rFont val="宋体"/>
        <charset val="134"/>
      </rPr>
      <t>应用层</t>
    </r>
    <r>
      <rPr>
        <sz val="10"/>
        <color theme="1"/>
        <rFont val="Consolas"/>
        <charset val="134"/>
      </rPr>
      <t>.</t>
    </r>
    <r>
      <rPr>
        <sz val="10"/>
        <color theme="1"/>
        <rFont val="宋体"/>
        <charset val="134"/>
      </rPr>
      <t>电机参数辨识</t>
    </r>
    <r>
      <rPr>
        <sz val="10"/>
        <color theme="1"/>
        <rFont val="Consolas"/>
        <charset val="134"/>
      </rPr>
      <t>.</t>
    </r>
    <r>
      <rPr>
        <sz val="10"/>
        <color theme="1"/>
        <rFont val="宋体"/>
        <charset val="134"/>
      </rPr>
      <t>电机</t>
    </r>
    <r>
      <rPr>
        <sz val="10"/>
        <color theme="1"/>
        <rFont val="Consolas"/>
        <charset val="134"/>
      </rPr>
      <t>Q</t>
    </r>
    <r>
      <rPr>
        <sz val="10"/>
        <color theme="1"/>
        <rFont val="宋体"/>
        <charset val="134"/>
      </rPr>
      <t>轴电感</t>
    </r>
  </si>
  <si>
    <t>u16MotParaIdentFluxLk</t>
  </si>
  <si>
    <t>0.1V*ms/rad</t>
  </si>
  <si>
    <r>
      <rPr>
        <sz val="10"/>
        <color theme="1"/>
        <rFont val="宋体"/>
        <charset val="134"/>
      </rPr>
      <t>应用层</t>
    </r>
    <r>
      <rPr>
        <sz val="10"/>
        <color theme="1"/>
        <rFont val="Consolas"/>
        <charset val="134"/>
      </rPr>
      <t>.</t>
    </r>
    <r>
      <rPr>
        <sz val="10"/>
        <color theme="1"/>
        <rFont val="宋体"/>
        <charset val="134"/>
      </rPr>
      <t>电机参数辨识</t>
    </r>
    <r>
      <rPr>
        <sz val="10"/>
        <color theme="1"/>
        <rFont val="Consolas"/>
        <charset val="134"/>
      </rPr>
      <t>.</t>
    </r>
    <r>
      <rPr>
        <sz val="10"/>
        <color theme="1"/>
        <rFont val="宋体"/>
        <charset val="134"/>
      </rPr>
      <t>电机磁链</t>
    </r>
  </si>
  <si>
    <t>u16MainDcCapEn</t>
  </si>
  <si>
    <r>
      <rPr>
        <sz val="10"/>
        <color theme="1"/>
        <rFont val="宋体"/>
        <charset val="134"/>
      </rPr>
      <t>应用层</t>
    </r>
    <r>
      <rPr>
        <sz val="10"/>
        <color theme="1"/>
        <rFont val="Consolas"/>
        <charset val="134"/>
      </rPr>
      <t>.</t>
    </r>
    <r>
      <rPr>
        <sz val="10"/>
        <color theme="1"/>
        <rFont val="宋体"/>
        <charset val="134"/>
      </rPr>
      <t>主回路母线电容辨识使能</t>
    </r>
  </si>
  <si>
    <t>u32MainDcCapValue</t>
  </si>
  <si>
    <t>uf</t>
  </si>
  <si>
    <r>
      <rPr>
        <sz val="10"/>
        <color theme="1"/>
        <rFont val="宋体"/>
        <charset val="134"/>
      </rPr>
      <t>应用层</t>
    </r>
    <r>
      <rPr>
        <sz val="10"/>
        <color theme="1"/>
        <rFont val="Consolas"/>
        <charset val="134"/>
      </rPr>
      <t>.</t>
    </r>
    <r>
      <rPr>
        <sz val="10"/>
        <color theme="1"/>
        <rFont val="宋体"/>
        <charset val="134"/>
      </rPr>
      <t>主回路母线电容辨识</t>
    </r>
    <r>
      <rPr>
        <sz val="10"/>
        <color theme="1"/>
        <rFont val="Consolas"/>
        <charset val="134"/>
      </rPr>
      <t>.</t>
    </r>
    <r>
      <rPr>
        <sz val="10"/>
        <color theme="1"/>
        <rFont val="宋体"/>
        <charset val="134"/>
      </rPr>
      <t>电容容量</t>
    </r>
  </si>
  <si>
    <t>eLoopRspModeSel</t>
  </si>
  <si>
    <r>
      <rPr>
        <sz val="10"/>
        <color theme="1"/>
        <rFont val="宋体"/>
        <charset val="134"/>
      </rPr>
      <t>应用层</t>
    </r>
    <r>
      <rPr>
        <sz val="10"/>
        <color theme="1"/>
        <rFont val="Consolas"/>
        <charset val="134"/>
      </rPr>
      <t>.</t>
    </r>
    <r>
      <rPr>
        <sz val="10"/>
        <color theme="1"/>
        <rFont val="宋体"/>
        <charset val="134"/>
      </rPr>
      <t>响应测试</t>
    </r>
    <r>
      <rPr>
        <sz val="10"/>
        <color theme="1"/>
        <rFont val="Consolas"/>
        <charset val="134"/>
      </rPr>
      <t>.</t>
    </r>
    <r>
      <rPr>
        <sz val="10"/>
        <color theme="1"/>
        <rFont val="宋体"/>
        <charset val="134"/>
      </rPr>
      <t>环路选择</t>
    </r>
  </si>
  <si>
    <r>
      <rPr>
        <sz val="10"/>
        <color theme="1"/>
        <rFont val="Consolas"/>
        <charset val="134"/>
      </rPr>
      <t>0-</t>
    </r>
    <r>
      <rPr>
        <sz val="10"/>
        <color theme="1"/>
        <rFont val="宋体"/>
        <charset val="134"/>
      </rPr>
      <t>转矩模式</t>
    </r>
    <r>
      <rPr>
        <sz val="10"/>
        <color theme="1"/>
        <rFont val="Consolas"/>
        <charset val="134"/>
      </rPr>
      <t xml:space="preserve">
1-</t>
    </r>
    <r>
      <rPr>
        <sz val="10"/>
        <color theme="1"/>
        <rFont val="宋体"/>
        <charset val="134"/>
      </rPr>
      <t>速度模式</t>
    </r>
    <r>
      <rPr>
        <sz val="10"/>
        <color theme="1"/>
        <rFont val="Consolas"/>
        <charset val="134"/>
      </rPr>
      <t xml:space="preserve">
2-</t>
    </r>
    <r>
      <rPr>
        <sz val="10"/>
        <color theme="1"/>
        <rFont val="宋体"/>
        <charset val="134"/>
      </rPr>
      <t>位置模式</t>
    </r>
  </si>
  <si>
    <t>s64LoopRspStep</t>
  </si>
  <si>
    <r>
      <rPr>
        <sz val="10"/>
        <color theme="1"/>
        <rFont val="宋体"/>
        <charset val="134"/>
      </rPr>
      <t>应用层</t>
    </r>
    <r>
      <rPr>
        <sz val="10"/>
        <color theme="1"/>
        <rFont val="Consolas"/>
        <charset val="134"/>
      </rPr>
      <t>.</t>
    </r>
    <r>
      <rPr>
        <sz val="10"/>
        <color theme="1"/>
        <rFont val="宋体"/>
        <charset val="134"/>
      </rPr>
      <t>响应测试</t>
    </r>
    <r>
      <rPr>
        <sz val="10"/>
        <color theme="1"/>
        <rFont val="Consolas"/>
        <charset val="134"/>
      </rPr>
      <t>.</t>
    </r>
    <r>
      <rPr>
        <sz val="10"/>
        <color theme="1"/>
        <rFont val="宋体"/>
        <charset val="134"/>
      </rPr>
      <t>环路阶跃值</t>
    </r>
  </si>
  <si>
    <t>eLoopRspState</t>
  </si>
  <si>
    <r>
      <rPr>
        <sz val="10"/>
        <color theme="1"/>
        <rFont val="宋体"/>
        <charset val="134"/>
      </rPr>
      <t>应用层</t>
    </r>
    <r>
      <rPr>
        <sz val="10"/>
        <color theme="1"/>
        <rFont val="Consolas"/>
        <charset val="134"/>
      </rPr>
      <t>.</t>
    </r>
    <r>
      <rPr>
        <sz val="10"/>
        <color theme="1"/>
        <rFont val="宋体"/>
        <charset val="134"/>
      </rPr>
      <t>响应测试</t>
    </r>
    <r>
      <rPr>
        <sz val="10"/>
        <color theme="1"/>
        <rFont val="Consolas"/>
        <charset val="134"/>
      </rPr>
      <t>.</t>
    </r>
    <r>
      <rPr>
        <sz val="10"/>
        <color theme="1"/>
        <rFont val="宋体"/>
        <charset val="134"/>
      </rPr>
      <t>运行状态</t>
    </r>
  </si>
  <si>
    <r>
      <rPr>
        <sz val="10"/>
        <color theme="1"/>
        <rFont val="Consolas"/>
        <charset val="134"/>
      </rPr>
      <t>0-</t>
    </r>
    <r>
      <rPr>
        <sz val="10"/>
        <color theme="1"/>
        <rFont val="宋体"/>
        <charset val="134"/>
      </rPr>
      <t>空闲</t>
    </r>
    <r>
      <rPr>
        <sz val="10"/>
        <color theme="1"/>
        <rFont val="Consolas"/>
        <charset val="134"/>
      </rPr>
      <t xml:space="preserve">
1-</t>
    </r>
    <r>
      <rPr>
        <sz val="10"/>
        <color theme="1"/>
        <rFont val="宋体"/>
        <charset val="134"/>
      </rPr>
      <t>初始化</t>
    </r>
    <r>
      <rPr>
        <sz val="10"/>
        <color theme="1"/>
        <rFont val="Consolas"/>
        <charset val="134"/>
      </rPr>
      <t xml:space="preserve">
2-</t>
    </r>
    <r>
      <rPr>
        <sz val="10"/>
        <color theme="1"/>
        <rFont val="宋体"/>
        <charset val="134"/>
      </rPr>
      <t>等待</t>
    </r>
    <r>
      <rPr>
        <sz val="10"/>
        <color theme="1"/>
        <rFont val="Consolas"/>
        <charset val="134"/>
      </rPr>
      <t xml:space="preserve">
3-</t>
    </r>
    <r>
      <rPr>
        <sz val="10"/>
        <color theme="1"/>
        <rFont val="宋体"/>
        <charset val="134"/>
      </rPr>
      <t>忙碌</t>
    </r>
    <r>
      <rPr>
        <sz val="10"/>
        <color theme="1"/>
        <rFont val="Consolas"/>
        <charset val="134"/>
      </rPr>
      <t xml:space="preserve">
4-</t>
    </r>
    <r>
      <rPr>
        <sz val="10"/>
        <color theme="1"/>
        <rFont val="宋体"/>
        <charset val="134"/>
      </rPr>
      <t>数据上传</t>
    </r>
  </si>
  <si>
    <t>u16EncCmd</t>
  </si>
  <si>
    <r>
      <rPr>
        <sz val="10"/>
        <color theme="1"/>
        <rFont val="宋体"/>
        <charset val="134"/>
      </rPr>
      <t>编码器指令</t>
    </r>
  </si>
  <si>
    <t>u16EncErrCode</t>
  </si>
  <si>
    <r>
      <rPr>
        <sz val="10"/>
        <color theme="1"/>
        <rFont val="宋体"/>
        <charset val="134"/>
      </rPr>
      <t>编码器错误代码</t>
    </r>
  </si>
  <si>
    <t>u16EncComErrSum</t>
  </si>
  <si>
    <r>
      <rPr>
        <sz val="10"/>
        <color theme="1"/>
        <rFont val="宋体"/>
        <charset val="134"/>
      </rPr>
      <t>编码器通信错误次数</t>
    </r>
  </si>
  <si>
    <t>eAxisFSM</t>
  </si>
  <si>
    <r>
      <rPr>
        <sz val="10"/>
        <color theme="1"/>
        <rFont val="宋体"/>
        <charset val="134"/>
      </rPr>
      <t>轴状态机</t>
    </r>
  </si>
  <si>
    <r>
      <rPr>
        <sz val="10"/>
        <color theme="1"/>
        <rFont val="Consolas"/>
        <charset val="134"/>
      </rPr>
      <t xml:space="preserve">0: </t>
    </r>
    <r>
      <rPr>
        <sz val="10"/>
        <color theme="1"/>
        <rFont val="宋体"/>
        <charset val="134"/>
      </rPr>
      <t>初始化</t>
    </r>
    <r>
      <rPr>
        <sz val="10"/>
        <color theme="1"/>
        <rFont val="Consolas"/>
        <charset val="134"/>
      </rPr>
      <t xml:space="preserve">
1</t>
    </r>
    <r>
      <rPr>
        <sz val="10"/>
        <color theme="1"/>
        <rFont val="宋体"/>
        <charset val="134"/>
      </rPr>
      <t>：就绪</t>
    </r>
    <r>
      <rPr>
        <sz val="10"/>
        <color theme="1"/>
        <rFont val="Consolas"/>
        <charset val="134"/>
      </rPr>
      <t xml:space="preserve">
2</t>
    </r>
    <r>
      <rPr>
        <sz val="10"/>
        <color theme="1"/>
        <rFont val="宋体"/>
        <charset val="134"/>
      </rPr>
      <t>：使能</t>
    </r>
    <r>
      <rPr>
        <sz val="10"/>
        <color theme="1"/>
        <rFont val="Consolas"/>
        <charset val="134"/>
      </rPr>
      <t xml:space="preserve">
3</t>
    </r>
    <r>
      <rPr>
        <sz val="10"/>
        <color theme="1"/>
        <rFont val="宋体"/>
        <charset val="134"/>
      </rPr>
      <t>：错误</t>
    </r>
  </si>
  <si>
    <t>bPwmSwSts</t>
  </si>
  <si>
    <r>
      <rPr>
        <sz val="10"/>
        <color theme="1"/>
        <rFont val="Consolas"/>
        <charset val="134"/>
      </rPr>
      <t>PWM</t>
    </r>
    <r>
      <rPr>
        <sz val="10"/>
        <color theme="1"/>
        <rFont val="宋体"/>
        <charset val="134"/>
      </rPr>
      <t>状态</t>
    </r>
  </si>
  <si>
    <t>s64UserPosRef</t>
  </si>
  <si>
    <r>
      <rPr>
        <sz val="10"/>
        <color theme="1"/>
        <rFont val="宋体"/>
        <charset val="134"/>
      </rPr>
      <t>用户层</t>
    </r>
    <r>
      <rPr>
        <sz val="10"/>
        <color theme="1"/>
        <rFont val="Consolas"/>
        <charset val="134"/>
      </rPr>
      <t>.</t>
    </r>
    <r>
      <rPr>
        <sz val="10"/>
        <color theme="1"/>
        <rFont val="宋体"/>
        <charset val="134"/>
      </rPr>
      <t>用户位置指令</t>
    </r>
  </si>
  <si>
    <t>s64UserPosFb</t>
  </si>
  <si>
    <r>
      <rPr>
        <sz val="10"/>
        <color theme="1"/>
        <rFont val="宋体"/>
        <charset val="134"/>
      </rPr>
      <t>用户层</t>
    </r>
    <r>
      <rPr>
        <sz val="10"/>
        <color theme="1"/>
        <rFont val="Consolas"/>
        <charset val="134"/>
      </rPr>
      <t>.</t>
    </r>
    <r>
      <rPr>
        <sz val="10"/>
        <color theme="1"/>
        <rFont val="宋体"/>
        <charset val="134"/>
      </rPr>
      <t>用户位置反馈</t>
    </r>
  </si>
  <si>
    <t>s32UserPosErr</t>
  </si>
  <si>
    <r>
      <rPr>
        <sz val="10"/>
        <color theme="1"/>
        <rFont val="宋体"/>
        <charset val="134"/>
      </rPr>
      <t>用户层</t>
    </r>
    <r>
      <rPr>
        <sz val="10"/>
        <color theme="1"/>
        <rFont val="Consolas"/>
        <charset val="134"/>
      </rPr>
      <t>.</t>
    </r>
    <r>
      <rPr>
        <sz val="10"/>
        <color theme="1"/>
        <rFont val="宋体"/>
        <charset val="134"/>
      </rPr>
      <t>用户速度误差</t>
    </r>
  </si>
  <si>
    <t>s32UserSpdRef</t>
  </si>
  <si>
    <t>0.1rpm</t>
  </si>
  <si>
    <r>
      <rPr>
        <sz val="10"/>
        <color theme="1"/>
        <rFont val="宋体"/>
        <charset val="134"/>
      </rPr>
      <t>用户层</t>
    </r>
    <r>
      <rPr>
        <sz val="10"/>
        <color theme="1"/>
        <rFont val="Consolas"/>
        <charset val="134"/>
      </rPr>
      <t>.</t>
    </r>
    <r>
      <rPr>
        <sz val="10"/>
        <color theme="1"/>
        <rFont val="宋体"/>
        <charset val="134"/>
      </rPr>
      <t>用户速度指令</t>
    </r>
  </si>
  <si>
    <t>s32UserSpdFb</t>
  </si>
  <si>
    <r>
      <rPr>
        <sz val="10"/>
        <color theme="1"/>
        <rFont val="宋体"/>
        <charset val="134"/>
      </rPr>
      <t>用户层</t>
    </r>
    <r>
      <rPr>
        <sz val="10"/>
        <color theme="1"/>
        <rFont val="Consolas"/>
        <charset val="134"/>
      </rPr>
      <t>.</t>
    </r>
    <r>
      <rPr>
        <sz val="10"/>
        <color theme="1"/>
        <rFont val="宋体"/>
        <charset val="134"/>
      </rPr>
      <t>用户速度反馈</t>
    </r>
  </si>
  <si>
    <t>s16UserTrqRef</t>
  </si>
  <si>
    <r>
      <rPr>
        <sz val="10"/>
        <color theme="1"/>
        <rFont val="宋体"/>
        <charset val="134"/>
      </rPr>
      <t>用户层</t>
    </r>
    <r>
      <rPr>
        <sz val="10"/>
        <color theme="1"/>
        <rFont val="Consolas"/>
        <charset val="134"/>
      </rPr>
      <t>.</t>
    </r>
    <r>
      <rPr>
        <sz val="10"/>
        <color theme="1"/>
        <rFont val="宋体"/>
        <charset val="134"/>
      </rPr>
      <t>用户转矩指令千分比</t>
    </r>
  </si>
  <si>
    <t>s16UserTrqFb</t>
  </si>
  <si>
    <r>
      <rPr>
        <sz val="10"/>
        <color theme="1"/>
        <rFont val="宋体"/>
        <charset val="134"/>
      </rPr>
      <t>用户层</t>
    </r>
    <r>
      <rPr>
        <sz val="10"/>
        <color theme="1"/>
        <rFont val="Consolas"/>
        <charset val="134"/>
      </rPr>
      <t>.</t>
    </r>
    <r>
      <rPr>
        <sz val="10"/>
        <color theme="1"/>
        <rFont val="宋体"/>
        <charset val="134"/>
      </rPr>
      <t>用户转矩反馈千分比</t>
    </r>
  </si>
  <si>
    <t>s16IaFbSi</t>
  </si>
  <si>
    <r>
      <rPr>
        <sz val="10"/>
        <color theme="1"/>
        <rFont val="Consolas"/>
        <charset val="134"/>
      </rPr>
      <t>A</t>
    </r>
    <r>
      <rPr>
        <sz val="10"/>
        <color theme="1"/>
        <rFont val="宋体"/>
        <charset val="134"/>
      </rPr>
      <t>相反馈电流物理值</t>
    </r>
  </si>
  <si>
    <t>s16IbFbSi</t>
  </si>
  <si>
    <r>
      <rPr>
        <sz val="10"/>
        <color theme="1"/>
        <rFont val="Consolas"/>
        <charset val="134"/>
      </rPr>
      <t>B</t>
    </r>
    <r>
      <rPr>
        <sz val="10"/>
        <color theme="1"/>
        <rFont val="宋体"/>
        <charset val="134"/>
      </rPr>
      <t>相反馈电流物理值</t>
    </r>
  </si>
  <si>
    <t>s16IcFbSi</t>
  </si>
  <si>
    <r>
      <rPr>
        <sz val="10"/>
        <color theme="1"/>
        <rFont val="Consolas"/>
        <charset val="134"/>
      </rPr>
      <t>C</t>
    </r>
    <r>
      <rPr>
        <sz val="10"/>
        <color theme="1"/>
        <rFont val="宋体"/>
        <charset val="134"/>
      </rPr>
      <t>相反馈电流物理值</t>
    </r>
  </si>
  <si>
    <t>eLogicCtrlMethod</t>
  </si>
  <si>
    <r>
      <rPr>
        <sz val="10"/>
        <color theme="1"/>
        <rFont val="宋体"/>
        <charset val="134"/>
      </rPr>
      <t>逻辑层</t>
    </r>
    <r>
      <rPr>
        <sz val="10"/>
        <color theme="1"/>
        <rFont val="Consolas"/>
        <charset val="134"/>
      </rPr>
      <t>.</t>
    </r>
    <r>
      <rPr>
        <sz val="10"/>
        <color theme="1"/>
        <rFont val="宋体"/>
        <charset val="134"/>
      </rPr>
      <t>控制方式</t>
    </r>
  </si>
  <si>
    <t>eLogicCtrlMode</t>
  </si>
  <si>
    <r>
      <rPr>
        <sz val="10"/>
        <color theme="1"/>
        <rFont val="宋体"/>
        <charset val="134"/>
      </rPr>
      <t>逻辑层</t>
    </r>
    <r>
      <rPr>
        <sz val="10"/>
        <color theme="1"/>
        <rFont val="Consolas"/>
        <charset val="134"/>
      </rPr>
      <t>.</t>
    </r>
    <r>
      <rPr>
        <sz val="10"/>
        <color theme="1"/>
        <rFont val="宋体"/>
        <charset val="134"/>
      </rPr>
      <t>控制模式</t>
    </r>
  </si>
  <si>
    <t>bLogicDrvEnCmd</t>
  </si>
  <si>
    <r>
      <rPr>
        <sz val="10"/>
        <color theme="1"/>
        <rFont val="宋体"/>
        <charset val="134"/>
      </rPr>
      <t>逻辑层</t>
    </r>
    <r>
      <rPr>
        <sz val="10"/>
        <color theme="1"/>
        <rFont val="Consolas"/>
        <charset val="134"/>
      </rPr>
      <t>.</t>
    </r>
    <r>
      <rPr>
        <sz val="10"/>
        <color theme="1"/>
        <rFont val="宋体"/>
        <charset val="134"/>
      </rPr>
      <t>伺服使能</t>
    </r>
  </si>
  <si>
    <r>
      <rPr>
        <sz val="10"/>
        <color theme="1"/>
        <rFont val="宋体"/>
        <charset val="134"/>
      </rPr>
      <t>控制字分解</t>
    </r>
  </si>
  <si>
    <t>bLogicJogFwdCmd</t>
  </si>
  <si>
    <r>
      <rPr>
        <sz val="10"/>
        <color theme="1"/>
        <rFont val="宋体"/>
        <charset val="134"/>
      </rPr>
      <t>逻辑层</t>
    </r>
    <r>
      <rPr>
        <sz val="10"/>
        <color theme="1"/>
        <rFont val="Consolas"/>
        <charset val="134"/>
      </rPr>
      <t>.</t>
    </r>
    <r>
      <rPr>
        <sz val="10"/>
        <color theme="1"/>
        <rFont val="宋体"/>
        <charset val="134"/>
      </rPr>
      <t>正向点动</t>
    </r>
  </si>
  <si>
    <t>bLogicJogRevCmd</t>
  </si>
  <si>
    <r>
      <rPr>
        <sz val="10"/>
        <color theme="1"/>
        <rFont val="宋体"/>
        <charset val="134"/>
      </rPr>
      <t>逻辑层</t>
    </r>
    <r>
      <rPr>
        <sz val="10"/>
        <color theme="1"/>
        <rFont val="Consolas"/>
        <charset val="134"/>
      </rPr>
      <t>.</t>
    </r>
    <r>
      <rPr>
        <sz val="10"/>
        <color theme="1"/>
        <rFont val="宋体"/>
        <charset val="134"/>
      </rPr>
      <t>反向点动</t>
    </r>
  </si>
  <si>
    <t>bLogicStopCmd</t>
  </si>
  <si>
    <r>
      <rPr>
        <sz val="10"/>
        <color theme="1"/>
        <rFont val="宋体"/>
        <charset val="134"/>
      </rPr>
      <t>逻辑层</t>
    </r>
    <r>
      <rPr>
        <sz val="10"/>
        <color theme="1"/>
        <rFont val="Consolas"/>
        <charset val="134"/>
      </rPr>
      <t>.</t>
    </r>
    <r>
      <rPr>
        <sz val="10"/>
        <color theme="1"/>
        <rFont val="宋体"/>
        <charset val="134"/>
      </rPr>
      <t>停机指令</t>
    </r>
  </si>
  <si>
    <t>bLogicHomingCmd</t>
  </si>
  <si>
    <r>
      <rPr>
        <sz val="10"/>
        <color theme="1"/>
        <rFont val="宋体"/>
        <charset val="134"/>
      </rPr>
      <t>逻辑层</t>
    </r>
    <r>
      <rPr>
        <sz val="10"/>
        <color theme="1"/>
        <rFont val="Consolas"/>
        <charset val="134"/>
      </rPr>
      <t>.</t>
    </r>
    <r>
      <rPr>
        <sz val="10"/>
        <color theme="1"/>
        <rFont val="宋体"/>
        <charset val="134"/>
      </rPr>
      <t>回原使能</t>
    </r>
  </si>
  <si>
    <t>bLogicPosRevokeCmd</t>
  </si>
  <si>
    <r>
      <rPr>
        <sz val="10"/>
        <color theme="1"/>
        <rFont val="宋体"/>
        <charset val="134"/>
      </rPr>
      <t>逻辑层</t>
    </r>
    <r>
      <rPr>
        <sz val="10"/>
        <color theme="1"/>
        <rFont val="Consolas"/>
        <charset val="134"/>
      </rPr>
      <t>.</t>
    </r>
    <r>
      <rPr>
        <sz val="10"/>
        <color theme="1"/>
        <rFont val="宋体"/>
        <charset val="134"/>
      </rPr>
      <t>位置指令中断</t>
    </r>
  </si>
  <si>
    <t>bLogicMultMotionEn</t>
  </si>
  <si>
    <r>
      <rPr>
        <sz val="10"/>
        <color theme="1"/>
        <rFont val="宋体"/>
        <charset val="134"/>
      </rPr>
      <t>逻辑层</t>
    </r>
    <r>
      <rPr>
        <sz val="10"/>
        <color theme="1"/>
        <rFont val="Consolas"/>
        <charset val="134"/>
      </rPr>
      <t>.</t>
    </r>
    <r>
      <rPr>
        <sz val="10"/>
        <color theme="1"/>
        <rFont val="宋体"/>
        <charset val="134"/>
      </rPr>
      <t>多段启动使能</t>
    </r>
  </si>
  <si>
    <t>bLogicPosLimFwd</t>
  </si>
  <si>
    <r>
      <rPr>
        <sz val="10"/>
        <color theme="1"/>
        <rFont val="宋体"/>
        <charset val="134"/>
      </rPr>
      <t>逻辑层</t>
    </r>
    <r>
      <rPr>
        <sz val="10"/>
        <color theme="1"/>
        <rFont val="Consolas"/>
        <charset val="134"/>
      </rPr>
      <t>.</t>
    </r>
    <r>
      <rPr>
        <sz val="10"/>
        <color theme="1"/>
        <rFont val="宋体"/>
        <charset val="134"/>
      </rPr>
      <t>正向限位使能</t>
    </r>
  </si>
  <si>
    <t>bLogicPosLimRev</t>
  </si>
  <si>
    <r>
      <rPr>
        <sz val="10"/>
        <color theme="1"/>
        <rFont val="宋体"/>
        <charset val="134"/>
      </rPr>
      <t>逻辑层</t>
    </r>
    <r>
      <rPr>
        <sz val="10"/>
        <color theme="1"/>
        <rFont val="Consolas"/>
        <charset val="134"/>
      </rPr>
      <t>.</t>
    </r>
    <r>
      <rPr>
        <sz val="10"/>
        <color theme="1"/>
        <rFont val="宋体"/>
        <charset val="134"/>
      </rPr>
      <t>反向限位使能</t>
    </r>
  </si>
  <si>
    <t>bLogicAlmRst</t>
  </si>
  <si>
    <r>
      <rPr>
        <sz val="10"/>
        <color theme="1"/>
        <rFont val="宋体"/>
        <charset val="134"/>
      </rPr>
      <t>逻辑层</t>
    </r>
    <r>
      <rPr>
        <sz val="10"/>
        <color theme="1"/>
        <rFont val="Consolas"/>
        <charset val="134"/>
      </rPr>
      <t>.</t>
    </r>
    <r>
      <rPr>
        <sz val="10"/>
        <color theme="1"/>
        <rFont val="宋体"/>
        <charset val="134"/>
      </rPr>
      <t>报警复位</t>
    </r>
  </si>
  <si>
    <t>bLogicEncTurnClr</t>
  </si>
  <si>
    <r>
      <rPr>
        <sz val="10"/>
        <color theme="1"/>
        <rFont val="宋体"/>
        <charset val="134"/>
      </rPr>
      <t>逻辑层</t>
    </r>
    <r>
      <rPr>
        <sz val="10"/>
        <color theme="1"/>
        <rFont val="Consolas"/>
        <charset val="134"/>
      </rPr>
      <t>.</t>
    </r>
    <r>
      <rPr>
        <sz val="10"/>
        <color theme="1"/>
        <rFont val="宋体"/>
        <charset val="134"/>
      </rPr>
      <t>多圈复位</t>
    </r>
  </si>
  <si>
    <t>bLogicHomeSig</t>
  </si>
  <si>
    <r>
      <rPr>
        <sz val="10"/>
        <color theme="1"/>
        <rFont val="宋体"/>
        <charset val="134"/>
      </rPr>
      <t>逻辑层</t>
    </r>
    <r>
      <rPr>
        <sz val="10"/>
        <color theme="1"/>
        <rFont val="Consolas"/>
        <charset val="134"/>
      </rPr>
      <t>.</t>
    </r>
    <r>
      <rPr>
        <sz val="10"/>
        <color theme="1"/>
        <rFont val="宋体"/>
        <charset val="134"/>
      </rPr>
      <t>原点信号</t>
    </r>
  </si>
  <si>
    <t>bLogicRotDirSel</t>
  </si>
  <si>
    <r>
      <rPr>
        <sz val="10"/>
        <color theme="1"/>
        <rFont val="宋体"/>
        <charset val="134"/>
      </rPr>
      <t>逻辑层</t>
    </r>
    <r>
      <rPr>
        <sz val="10"/>
        <color theme="1"/>
        <rFont val="Consolas"/>
        <charset val="134"/>
      </rPr>
      <t>.</t>
    </r>
    <r>
      <rPr>
        <sz val="10"/>
        <color theme="1"/>
        <rFont val="宋体"/>
        <charset val="134"/>
      </rPr>
      <t>旋转方向</t>
    </r>
  </si>
  <si>
    <t>s64LogicPosRef</t>
  </si>
  <si>
    <r>
      <rPr>
        <sz val="10"/>
        <color theme="1"/>
        <rFont val="宋体"/>
        <charset val="134"/>
      </rPr>
      <t>逻辑层</t>
    </r>
    <r>
      <rPr>
        <sz val="10"/>
        <color theme="1"/>
        <rFont val="Consolas"/>
        <charset val="134"/>
      </rPr>
      <t>.</t>
    </r>
    <r>
      <rPr>
        <sz val="10"/>
        <color theme="1"/>
        <rFont val="宋体"/>
        <charset val="134"/>
      </rPr>
      <t>位置指令</t>
    </r>
  </si>
  <si>
    <t>s64LogicPosRefGear</t>
  </si>
  <si>
    <r>
      <rPr>
        <sz val="10"/>
        <color theme="1"/>
        <rFont val="宋体"/>
        <charset val="134"/>
      </rPr>
      <t>逻辑层</t>
    </r>
    <r>
      <rPr>
        <sz val="10"/>
        <color theme="1"/>
        <rFont val="Consolas"/>
        <charset val="134"/>
      </rPr>
      <t>.</t>
    </r>
    <r>
      <rPr>
        <sz val="10"/>
        <color theme="1"/>
        <rFont val="宋体"/>
        <charset val="134"/>
      </rPr>
      <t>位置指令</t>
    </r>
    <r>
      <rPr>
        <sz val="10"/>
        <color theme="1"/>
        <rFont val="Consolas"/>
        <charset val="134"/>
      </rPr>
      <t>(</t>
    </r>
    <r>
      <rPr>
        <sz val="10"/>
        <color theme="1"/>
        <rFont val="宋体"/>
        <charset val="134"/>
      </rPr>
      <t>齿轮比缩放后</t>
    </r>
    <r>
      <rPr>
        <sz val="10"/>
        <color theme="1"/>
        <rFont val="Consolas"/>
        <charset val="134"/>
      </rPr>
      <t>)</t>
    </r>
  </si>
  <si>
    <t>s64LogicPosDigLimFwdGear</t>
  </si>
  <si>
    <r>
      <rPr>
        <sz val="10"/>
        <color theme="1"/>
        <rFont val="宋体"/>
        <charset val="134"/>
      </rPr>
      <t>逻辑层</t>
    </r>
    <r>
      <rPr>
        <sz val="10"/>
        <color theme="1"/>
        <rFont val="Consolas"/>
        <charset val="134"/>
      </rPr>
      <t>.</t>
    </r>
    <r>
      <rPr>
        <sz val="10"/>
        <color theme="1"/>
        <rFont val="宋体"/>
        <charset val="134"/>
      </rPr>
      <t>正向数字限位</t>
    </r>
    <r>
      <rPr>
        <sz val="10"/>
        <color theme="1"/>
        <rFont val="Consolas"/>
        <charset val="134"/>
      </rPr>
      <t>(</t>
    </r>
    <r>
      <rPr>
        <sz val="10"/>
        <color theme="1"/>
        <rFont val="宋体"/>
        <charset val="134"/>
      </rPr>
      <t>齿轮比缩放后</t>
    </r>
    <r>
      <rPr>
        <sz val="10"/>
        <color theme="1"/>
        <rFont val="Consolas"/>
        <charset val="134"/>
      </rPr>
      <t>)</t>
    </r>
  </si>
  <si>
    <t>s64LogicPosDigLimRevGear</t>
  </si>
  <si>
    <r>
      <rPr>
        <sz val="10"/>
        <color theme="1"/>
        <rFont val="宋体"/>
        <charset val="134"/>
      </rPr>
      <t>逻辑层</t>
    </r>
    <r>
      <rPr>
        <sz val="10"/>
        <color theme="1"/>
        <rFont val="Consolas"/>
        <charset val="134"/>
      </rPr>
      <t>.</t>
    </r>
    <r>
      <rPr>
        <sz val="10"/>
        <color theme="1"/>
        <rFont val="宋体"/>
        <charset val="134"/>
      </rPr>
      <t>反向数字限位</t>
    </r>
    <r>
      <rPr>
        <sz val="10"/>
        <color theme="1"/>
        <rFont val="Consolas"/>
        <charset val="134"/>
      </rPr>
      <t>(</t>
    </r>
    <r>
      <rPr>
        <sz val="10"/>
        <color theme="1"/>
        <rFont val="宋体"/>
        <charset val="134"/>
      </rPr>
      <t>齿轮比缩放后</t>
    </r>
    <r>
      <rPr>
        <sz val="10"/>
        <color theme="1"/>
        <rFont val="Consolas"/>
        <charset val="134"/>
      </rPr>
      <t>)</t>
    </r>
  </si>
  <si>
    <t>eLogicPosPlanMode</t>
  </si>
  <si>
    <r>
      <rPr>
        <sz val="10"/>
        <color theme="1"/>
        <rFont val="宋体"/>
        <charset val="134"/>
      </rPr>
      <t>逻辑层</t>
    </r>
    <r>
      <rPr>
        <sz val="10"/>
        <color theme="1"/>
        <rFont val="Consolas"/>
        <charset val="134"/>
      </rPr>
      <t>.</t>
    </r>
    <r>
      <rPr>
        <sz val="10"/>
        <color theme="1"/>
        <rFont val="宋体"/>
        <charset val="134"/>
      </rPr>
      <t>位置规划模式</t>
    </r>
  </si>
  <si>
    <t>s32LogicSpdRef</t>
  </si>
  <si>
    <r>
      <rPr>
        <sz val="10"/>
        <color theme="1"/>
        <rFont val="宋体"/>
        <charset val="134"/>
      </rPr>
      <t>逻辑层</t>
    </r>
    <r>
      <rPr>
        <sz val="10"/>
        <color theme="1"/>
        <rFont val="Consolas"/>
        <charset val="134"/>
      </rPr>
      <t>.</t>
    </r>
    <r>
      <rPr>
        <sz val="10"/>
        <color theme="1"/>
        <rFont val="宋体"/>
        <charset val="134"/>
      </rPr>
      <t>速度指令</t>
    </r>
  </si>
  <si>
    <t>u16LogicSpdAccTime</t>
  </si>
  <si>
    <r>
      <rPr>
        <sz val="10"/>
        <color theme="1"/>
        <rFont val="宋体"/>
        <charset val="134"/>
      </rPr>
      <t>逻辑层</t>
    </r>
    <r>
      <rPr>
        <sz val="10"/>
        <color theme="1"/>
        <rFont val="Consolas"/>
        <charset val="134"/>
      </rPr>
      <t>.</t>
    </r>
    <r>
      <rPr>
        <sz val="10"/>
        <color theme="1"/>
        <rFont val="宋体"/>
        <charset val="134"/>
      </rPr>
      <t>加速度时间</t>
    </r>
  </si>
  <si>
    <t>u16LogicSpdDecTime</t>
  </si>
  <si>
    <r>
      <rPr>
        <sz val="10"/>
        <color theme="1"/>
        <rFont val="宋体"/>
        <charset val="134"/>
      </rPr>
      <t>逻辑层</t>
    </r>
    <r>
      <rPr>
        <sz val="10"/>
        <color theme="1"/>
        <rFont val="Consolas"/>
        <charset val="134"/>
      </rPr>
      <t>.</t>
    </r>
    <r>
      <rPr>
        <sz val="10"/>
        <color theme="1"/>
        <rFont val="宋体"/>
        <charset val="134"/>
      </rPr>
      <t>减速度时间</t>
    </r>
  </si>
  <si>
    <t>eLogicSpdPlanMode</t>
  </si>
  <si>
    <r>
      <rPr>
        <sz val="10"/>
        <color theme="1"/>
        <rFont val="宋体"/>
        <charset val="134"/>
      </rPr>
      <t>逻辑层</t>
    </r>
    <r>
      <rPr>
        <sz val="10"/>
        <color theme="1"/>
        <rFont val="Consolas"/>
        <charset val="134"/>
      </rPr>
      <t>.</t>
    </r>
    <r>
      <rPr>
        <sz val="10"/>
        <color theme="1"/>
        <rFont val="宋体"/>
        <charset val="134"/>
      </rPr>
      <t>速度规划模式</t>
    </r>
  </si>
  <si>
    <t>s32LogicSpdLimFwd</t>
  </si>
  <si>
    <r>
      <rPr>
        <sz val="10"/>
        <color theme="1"/>
        <rFont val="宋体"/>
        <charset val="134"/>
      </rPr>
      <t>逻辑层</t>
    </r>
    <r>
      <rPr>
        <sz val="10"/>
        <color theme="1"/>
        <rFont val="Consolas"/>
        <charset val="134"/>
      </rPr>
      <t>.</t>
    </r>
    <r>
      <rPr>
        <sz val="10"/>
        <color theme="1"/>
        <rFont val="宋体"/>
        <charset val="134"/>
      </rPr>
      <t>正向速度限制</t>
    </r>
  </si>
  <si>
    <t>s32LogicSpdLimRev</t>
  </si>
  <si>
    <r>
      <rPr>
        <sz val="10"/>
        <color theme="1"/>
        <rFont val="宋体"/>
        <charset val="134"/>
      </rPr>
      <t>逻辑层</t>
    </r>
    <r>
      <rPr>
        <sz val="10"/>
        <color theme="1"/>
        <rFont val="Consolas"/>
        <charset val="134"/>
      </rPr>
      <t>.</t>
    </r>
    <r>
      <rPr>
        <sz val="10"/>
        <color theme="1"/>
        <rFont val="宋体"/>
        <charset val="134"/>
      </rPr>
      <t>反向速度限制</t>
    </r>
  </si>
  <si>
    <t>s16LogicFluxRef</t>
  </si>
  <si>
    <r>
      <rPr>
        <sz val="10"/>
        <color theme="1"/>
        <rFont val="宋体"/>
        <charset val="134"/>
      </rPr>
      <t>逻辑层</t>
    </r>
    <r>
      <rPr>
        <sz val="10"/>
        <color theme="1"/>
        <rFont val="Consolas"/>
        <charset val="134"/>
      </rPr>
      <t>.</t>
    </r>
    <r>
      <rPr>
        <sz val="10"/>
        <color theme="1"/>
        <rFont val="宋体"/>
        <charset val="134"/>
      </rPr>
      <t>磁通指令</t>
    </r>
  </si>
  <si>
    <t>s16LogicTrqRef</t>
  </si>
  <si>
    <r>
      <rPr>
        <sz val="10"/>
        <color theme="1"/>
        <rFont val="宋体"/>
        <charset val="134"/>
      </rPr>
      <t>逻辑层</t>
    </r>
    <r>
      <rPr>
        <sz val="10"/>
        <color theme="1"/>
        <rFont val="Consolas"/>
        <charset val="134"/>
      </rPr>
      <t>.</t>
    </r>
    <r>
      <rPr>
        <sz val="10"/>
        <color theme="1"/>
        <rFont val="宋体"/>
        <charset val="134"/>
      </rPr>
      <t>转矩指令</t>
    </r>
  </si>
  <si>
    <t>s16LogicTrqLimFwd</t>
  </si>
  <si>
    <r>
      <rPr>
        <sz val="10"/>
        <color theme="1"/>
        <rFont val="宋体"/>
        <charset val="134"/>
      </rPr>
      <t>逻辑层</t>
    </r>
    <r>
      <rPr>
        <sz val="10"/>
        <color theme="1"/>
        <rFont val="Consolas"/>
        <charset val="134"/>
      </rPr>
      <t>.</t>
    </r>
    <r>
      <rPr>
        <sz val="10"/>
        <color theme="1"/>
        <rFont val="宋体"/>
        <charset val="134"/>
      </rPr>
      <t>正向转矩限制</t>
    </r>
  </si>
  <si>
    <t>s16LogicTrqLimRev</t>
  </si>
  <si>
    <r>
      <rPr>
        <sz val="10"/>
        <color theme="1"/>
        <rFont val="宋体"/>
        <charset val="134"/>
      </rPr>
      <t>逻辑层</t>
    </r>
    <r>
      <rPr>
        <sz val="10"/>
        <color theme="1"/>
        <rFont val="Consolas"/>
        <charset val="134"/>
      </rPr>
      <t>.</t>
    </r>
    <r>
      <rPr>
        <sz val="10"/>
        <color theme="1"/>
        <rFont val="宋体"/>
        <charset val="134"/>
      </rPr>
      <t>反向转矩限制</t>
    </r>
  </si>
  <si>
    <t>s64PlanPosRef</t>
  </si>
  <si>
    <r>
      <rPr>
        <sz val="10"/>
        <color theme="1"/>
        <rFont val="宋体"/>
        <charset val="134"/>
      </rPr>
      <t>规划层</t>
    </r>
    <r>
      <rPr>
        <sz val="10"/>
        <color theme="1"/>
        <rFont val="Consolas"/>
        <charset val="134"/>
      </rPr>
      <t>.</t>
    </r>
    <r>
      <rPr>
        <sz val="10"/>
        <color theme="1"/>
        <rFont val="宋体"/>
        <charset val="134"/>
      </rPr>
      <t>位置指令</t>
    </r>
  </si>
  <si>
    <t>s32PlanSpdRef</t>
  </si>
  <si>
    <r>
      <rPr>
        <sz val="10"/>
        <color theme="1"/>
        <rFont val="宋体"/>
        <charset val="134"/>
      </rPr>
      <t>规划层</t>
    </r>
    <r>
      <rPr>
        <sz val="10"/>
        <color theme="1"/>
        <rFont val="Consolas"/>
        <charset val="134"/>
      </rPr>
      <t>.</t>
    </r>
    <r>
      <rPr>
        <sz val="10"/>
        <color theme="1"/>
        <rFont val="宋体"/>
        <charset val="134"/>
      </rPr>
      <t>速度指令</t>
    </r>
  </si>
  <si>
    <t>s16PlanIqRef</t>
  </si>
  <si>
    <r>
      <rPr>
        <sz val="10"/>
        <color theme="1"/>
        <rFont val="宋体"/>
        <charset val="134"/>
      </rPr>
      <t>规划层</t>
    </r>
    <r>
      <rPr>
        <sz val="10"/>
        <color theme="1"/>
        <rFont val="Consolas"/>
        <charset val="134"/>
      </rPr>
      <t>.</t>
    </r>
    <r>
      <rPr>
        <sz val="10"/>
        <color theme="1"/>
        <rFont val="宋体"/>
        <charset val="134"/>
      </rPr>
      <t>转矩指令</t>
    </r>
  </si>
  <si>
    <t>s16PlanIdRef</t>
  </si>
  <si>
    <r>
      <rPr>
        <sz val="10"/>
        <color theme="1"/>
        <rFont val="宋体"/>
        <charset val="134"/>
      </rPr>
      <t>规划层</t>
    </r>
    <r>
      <rPr>
        <sz val="10"/>
        <color theme="1"/>
        <rFont val="Consolas"/>
        <charset val="134"/>
      </rPr>
      <t>.</t>
    </r>
    <r>
      <rPr>
        <sz val="10"/>
        <color theme="1"/>
        <rFont val="宋体"/>
        <charset val="134"/>
      </rPr>
      <t>磁通指令</t>
    </r>
  </si>
  <si>
    <t>s32PosPlanSpdRef</t>
  </si>
  <si>
    <r>
      <rPr>
        <sz val="10"/>
        <color theme="1"/>
        <rFont val="宋体"/>
        <charset val="134"/>
      </rPr>
      <t>规划层</t>
    </r>
    <r>
      <rPr>
        <sz val="10"/>
        <color theme="1"/>
        <rFont val="Consolas"/>
        <charset val="134"/>
      </rPr>
      <t>.</t>
    </r>
    <r>
      <rPr>
        <sz val="10"/>
        <color theme="1"/>
        <rFont val="宋体"/>
        <charset val="134"/>
      </rPr>
      <t>位置规划速度指令</t>
    </r>
  </si>
  <si>
    <t>s32DrvPosErr</t>
  </si>
  <si>
    <r>
      <rPr>
        <sz val="10"/>
        <color theme="1"/>
        <rFont val="宋体"/>
        <charset val="134"/>
      </rPr>
      <t>驱动层</t>
    </r>
    <r>
      <rPr>
        <sz val="10"/>
        <color theme="1"/>
        <rFont val="Consolas"/>
        <charset val="134"/>
      </rPr>
      <t>.</t>
    </r>
    <r>
      <rPr>
        <sz val="10"/>
        <color theme="1"/>
        <rFont val="宋体"/>
        <charset val="134"/>
      </rPr>
      <t>位置误差</t>
    </r>
  </si>
  <si>
    <t>s32DrvPosPropGain</t>
  </si>
  <si>
    <r>
      <rPr>
        <sz val="10"/>
        <color theme="1"/>
        <rFont val="宋体"/>
        <charset val="134"/>
      </rPr>
      <t>驱动层</t>
    </r>
    <r>
      <rPr>
        <sz val="10"/>
        <color theme="1"/>
        <rFont val="Consolas"/>
        <charset val="134"/>
      </rPr>
      <t>.</t>
    </r>
    <r>
      <rPr>
        <sz val="10"/>
        <color theme="1"/>
        <rFont val="宋体"/>
        <charset val="134"/>
      </rPr>
      <t>位置环</t>
    </r>
    <r>
      <rPr>
        <sz val="10"/>
        <color theme="1"/>
        <rFont val="Consolas"/>
        <charset val="134"/>
      </rPr>
      <t>PI</t>
    </r>
    <r>
      <rPr>
        <sz val="10"/>
        <color theme="1"/>
        <rFont val="宋体"/>
        <charset val="134"/>
      </rPr>
      <t>比例增益</t>
    </r>
  </si>
  <si>
    <t>s32DrvPosInteGain</t>
  </si>
  <si>
    <r>
      <rPr>
        <sz val="10"/>
        <color theme="1"/>
        <rFont val="宋体"/>
        <charset val="134"/>
      </rPr>
      <t>驱动层</t>
    </r>
    <r>
      <rPr>
        <sz val="10"/>
        <color theme="1"/>
        <rFont val="Consolas"/>
        <charset val="134"/>
      </rPr>
      <t>.</t>
    </r>
    <r>
      <rPr>
        <sz val="10"/>
        <color theme="1"/>
        <rFont val="宋体"/>
        <charset val="134"/>
      </rPr>
      <t>位置环</t>
    </r>
    <r>
      <rPr>
        <sz val="10"/>
        <color theme="1"/>
        <rFont val="Consolas"/>
        <charset val="134"/>
      </rPr>
      <t>PI</t>
    </r>
    <r>
      <rPr>
        <sz val="10"/>
        <color theme="1"/>
        <rFont val="宋体"/>
        <charset val="134"/>
      </rPr>
      <t>积分增益</t>
    </r>
  </si>
  <si>
    <t>s32DrvSpdErr</t>
  </si>
  <si>
    <t>0.001rpm</t>
  </si>
  <si>
    <r>
      <rPr>
        <sz val="10"/>
        <color theme="1"/>
        <rFont val="宋体"/>
        <charset val="134"/>
      </rPr>
      <t>驱动层</t>
    </r>
    <r>
      <rPr>
        <sz val="10"/>
        <color theme="1"/>
        <rFont val="Consolas"/>
        <charset val="134"/>
      </rPr>
      <t>.</t>
    </r>
    <r>
      <rPr>
        <sz val="10"/>
        <color theme="1"/>
        <rFont val="宋体"/>
        <charset val="134"/>
      </rPr>
      <t>速度偏差</t>
    </r>
  </si>
  <si>
    <t>s32DrvSpdPropGain</t>
  </si>
  <si>
    <r>
      <rPr>
        <sz val="10"/>
        <color theme="1"/>
        <rFont val="宋体"/>
        <charset val="134"/>
      </rPr>
      <t>驱动层</t>
    </r>
    <r>
      <rPr>
        <sz val="10"/>
        <color theme="1"/>
        <rFont val="Consolas"/>
        <charset val="134"/>
      </rPr>
      <t>.</t>
    </r>
    <r>
      <rPr>
        <sz val="10"/>
        <color theme="1"/>
        <rFont val="宋体"/>
        <charset val="134"/>
      </rPr>
      <t>速度环</t>
    </r>
    <r>
      <rPr>
        <sz val="10"/>
        <color theme="1"/>
        <rFont val="Consolas"/>
        <charset val="134"/>
      </rPr>
      <t>PI</t>
    </r>
    <r>
      <rPr>
        <sz val="10"/>
        <color theme="1"/>
        <rFont val="宋体"/>
        <charset val="134"/>
      </rPr>
      <t>比例增益</t>
    </r>
  </si>
  <si>
    <t>s32DrvSpdInteGain</t>
  </si>
  <si>
    <r>
      <rPr>
        <sz val="10"/>
        <color theme="1"/>
        <rFont val="宋体"/>
        <charset val="134"/>
      </rPr>
      <t>驱动层</t>
    </r>
    <r>
      <rPr>
        <sz val="10"/>
        <color theme="1"/>
        <rFont val="Consolas"/>
        <charset val="134"/>
      </rPr>
      <t>.</t>
    </r>
    <r>
      <rPr>
        <sz val="10"/>
        <color theme="1"/>
        <rFont val="宋体"/>
        <charset val="134"/>
      </rPr>
      <t>速度环</t>
    </r>
    <r>
      <rPr>
        <sz val="10"/>
        <color theme="1"/>
        <rFont val="Consolas"/>
        <charset val="134"/>
      </rPr>
      <t>PI</t>
    </r>
    <r>
      <rPr>
        <sz val="10"/>
        <color theme="1"/>
        <rFont val="宋体"/>
        <charset val="134"/>
      </rPr>
      <t>积分增益</t>
    </r>
  </si>
  <si>
    <t>s32SpdLoopProp</t>
  </si>
  <si>
    <r>
      <rPr>
        <sz val="10"/>
        <color theme="1"/>
        <rFont val="宋体"/>
        <charset val="134"/>
      </rPr>
      <t>驱动层</t>
    </r>
    <r>
      <rPr>
        <sz val="10"/>
        <color theme="1"/>
        <rFont val="Consolas"/>
        <charset val="134"/>
      </rPr>
      <t>.</t>
    </r>
    <r>
      <rPr>
        <sz val="10"/>
        <color theme="1"/>
        <rFont val="宋体"/>
        <charset val="134"/>
      </rPr>
      <t>速度环</t>
    </r>
    <r>
      <rPr>
        <sz val="10"/>
        <color theme="1"/>
        <rFont val="Consolas"/>
        <charset val="134"/>
      </rPr>
      <t>PI</t>
    </r>
    <r>
      <rPr>
        <sz val="10"/>
        <color theme="1"/>
        <rFont val="宋体"/>
        <charset val="134"/>
      </rPr>
      <t>比例项</t>
    </r>
  </si>
  <si>
    <t>s32SpdLoopInte</t>
  </si>
  <si>
    <r>
      <rPr>
        <sz val="10"/>
        <color theme="1"/>
        <rFont val="宋体"/>
        <charset val="134"/>
      </rPr>
      <t>驱动层</t>
    </r>
    <r>
      <rPr>
        <sz val="10"/>
        <color theme="1"/>
        <rFont val="Consolas"/>
        <charset val="134"/>
      </rPr>
      <t>.</t>
    </r>
    <r>
      <rPr>
        <sz val="10"/>
        <color theme="1"/>
        <rFont val="宋体"/>
        <charset val="134"/>
      </rPr>
      <t>速度环</t>
    </r>
    <r>
      <rPr>
        <sz val="10"/>
        <color theme="1"/>
        <rFont val="Consolas"/>
        <charset val="134"/>
      </rPr>
      <t>PI</t>
    </r>
    <r>
      <rPr>
        <sz val="10"/>
        <color theme="1"/>
        <rFont val="宋体"/>
        <charset val="134"/>
      </rPr>
      <t>积分项</t>
    </r>
  </si>
  <si>
    <t>s32SpdLoopOut</t>
  </si>
  <si>
    <r>
      <rPr>
        <sz val="10"/>
        <color theme="1"/>
        <rFont val="宋体"/>
        <charset val="134"/>
      </rPr>
      <t>驱动层</t>
    </r>
    <r>
      <rPr>
        <sz val="10"/>
        <color theme="1"/>
        <rFont val="Consolas"/>
        <charset val="134"/>
      </rPr>
      <t>.</t>
    </r>
    <r>
      <rPr>
        <sz val="10"/>
        <color theme="1"/>
        <rFont val="宋体"/>
        <charset val="134"/>
      </rPr>
      <t>速度环</t>
    </r>
    <r>
      <rPr>
        <sz val="10"/>
        <color theme="1"/>
        <rFont val="Consolas"/>
        <charset val="134"/>
      </rPr>
      <t>PI</t>
    </r>
    <r>
      <rPr>
        <sz val="10"/>
        <color theme="1"/>
        <rFont val="宋体"/>
        <charset val="134"/>
      </rPr>
      <t>输出</t>
    </r>
  </si>
  <si>
    <t>s16DrvIqErr</t>
  </si>
  <si>
    <r>
      <rPr>
        <sz val="10"/>
        <color theme="1"/>
        <rFont val="宋体"/>
        <charset val="134"/>
      </rPr>
      <t>驱动层</t>
    </r>
    <r>
      <rPr>
        <sz val="10"/>
        <color theme="1"/>
        <rFont val="Consolas"/>
        <charset val="134"/>
      </rPr>
      <t>.</t>
    </r>
    <r>
      <rPr>
        <sz val="10"/>
        <color theme="1"/>
        <rFont val="宋体"/>
        <charset val="134"/>
      </rPr>
      <t>转矩误差数字量</t>
    </r>
  </si>
  <si>
    <t>s16DrvIqPropGain</t>
  </si>
  <si>
    <r>
      <rPr>
        <sz val="10"/>
        <color theme="1"/>
        <rFont val="宋体"/>
        <charset val="134"/>
      </rPr>
      <t>驱动层</t>
    </r>
    <r>
      <rPr>
        <sz val="10"/>
        <color theme="1"/>
        <rFont val="Consolas"/>
        <charset val="134"/>
      </rPr>
      <t>.</t>
    </r>
    <r>
      <rPr>
        <sz val="10"/>
        <color theme="1"/>
        <rFont val="宋体"/>
        <charset val="134"/>
      </rPr>
      <t>电流环</t>
    </r>
    <r>
      <rPr>
        <sz val="10"/>
        <color theme="1"/>
        <rFont val="Consolas"/>
        <charset val="134"/>
      </rPr>
      <t>Q</t>
    </r>
    <r>
      <rPr>
        <sz val="10"/>
        <color theme="1"/>
        <rFont val="宋体"/>
        <charset val="134"/>
      </rPr>
      <t>轴</t>
    </r>
    <r>
      <rPr>
        <sz val="10"/>
        <color theme="1"/>
        <rFont val="Consolas"/>
        <charset val="134"/>
      </rPr>
      <t>PI</t>
    </r>
    <r>
      <rPr>
        <sz val="10"/>
        <color theme="1"/>
        <rFont val="宋体"/>
        <charset val="134"/>
      </rPr>
      <t>比例增益</t>
    </r>
  </si>
  <si>
    <t>s16DrvIqInteGain</t>
  </si>
  <si>
    <r>
      <rPr>
        <sz val="10"/>
        <color theme="1"/>
        <rFont val="宋体"/>
        <charset val="134"/>
      </rPr>
      <t>驱动层</t>
    </r>
    <r>
      <rPr>
        <sz val="10"/>
        <color theme="1"/>
        <rFont val="Consolas"/>
        <charset val="134"/>
      </rPr>
      <t>.</t>
    </r>
    <r>
      <rPr>
        <sz val="10"/>
        <color theme="1"/>
        <rFont val="宋体"/>
        <charset val="134"/>
      </rPr>
      <t>电流环</t>
    </r>
    <r>
      <rPr>
        <sz val="10"/>
        <color theme="1"/>
        <rFont val="Consolas"/>
        <charset val="134"/>
      </rPr>
      <t>Q</t>
    </r>
    <r>
      <rPr>
        <sz val="10"/>
        <color theme="1"/>
        <rFont val="宋体"/>
        <charset val="134"/>
      </rPr>
      <t>轴</t>
    </r>
    <r>
      <rPr>
        <sz val="10"/>
        <color theme="1"/>
        <rFont val="Consolas"/>
        <charset val="134"/>
      </rPr>
      <t>PI</t>
    </r>
    <r>
      <rPr>
        <sz val="10"/>
        <color theme="1"/>
        <rFont val="宋体"/>
        <charset val="134"/>
      </rPr>
      <t>积分增益</t>
    </r>
  </si>
  <si>
    <t>s32CurLoopIqProp</t>
  </si>
  <si>
    <r>
      <rPr>
        <sz val="10"/>
        <color theme="1"/>
        <rFont val="宋体"/>
        <charset val="134"/>
      </rPr>
      <t>驱动层</t>
    </r>
    <r>
      <rPr>
        <sz val="10"/>
        <color theme="1"/>
        <rFont val="Consolas"/>
        <charset val="134"/>
      </rPr>
      <t>.</t>
    </r>
    <r>
      <rPr>
        <sz val="10"/>
        <color theme="1"/>
        <rFont val="宋体"/>
        <charset val="134"/>
      </rPr>
      <t>电流环</t>
    </r>
    <r>
      <rPr>
        <sz val="10"/>
        <color theme="1"/>
        <rFont val="Consolas"/>
        <charset val="134"/>
      </rPr>
      <t>Q</t>
    </r>
    <r>
      <rPr>
        <sz val="10"/>
        <color theme="1"/>
        <rFont val="宋体"/>
        <charset val="134"/>
      </rPr>
      <t>轴</t>
    </r>
    <r>
      <rPr>
        <sz val="10"/>
        <color theme="1"/>
        <rFont val="Consolas"/>
        <charset val="134"/>
      </rPr>
      <t>PI</t>
    </r>
    <r>
      <rPr>
        <sz val="10"/>
        <color theme="1"/>
        <rFont val="宋体"/>
        <charset val="134"/>
      </rPr>
      <t>比例项</t>
    </r>
  </si>
  <si>
    <t>s32CurLoopIqInte</t>
  </si>
  <si>
    <r>
      <rPr>
        <sz val="10"/>
        <color theme="1"/>
        <rFont val="宋体"/>
        <charset val="134"/>
      </rPr>
      <t>驱动层</t>
    </r>
    <r>
      <rPr>
        <sz val="10"/>
        <color theme="1"/>
        <rFont val="Consolas"/>
        <charset val="134"/>
      </rPr>
      <t>.</t>
    </r>
    <r>
      <rPr>
        <sz val="10"/>
        <color theme="1"/>
        <rFont val="宋体"/>
        <charset val="134"/>
      </rPr>
      <t>电流环</t>
    </r>
    <r>
      <rPr>
        <sz val="10"/>
        <color theme="1"/>
        <rFont val="Consolas"/>
        <charset val="134"/>
      </rPr>
      <t>Q</t>
    </r>
    <r>
      <rPr>
        <sz val="10"/>
        <color theme="1"/>
        <rFont val="宋体"/>
        <charset val="134"/>
      </rPr>
      <t>轴</t>
    </r>
    <r>
      <rPr>
        <sz val="10"/>
        <color theme="1"/>
        <rFont val="Consolas"/>
        <charset val="134"/>
      </rPr>
      <t>PI</t>
    </r>
    <r>
      <rPr>
        <sz val="10"/>
        <color theme="1"/>
        <rFont val="宋体"/>
        <charset val="134"/>
      </rPr>
      <t>积分项</t>
    </r>
  </si>
  <si>
    <t>s16CurLoopIqOut</t>
  </si>
  <si>
    <r>
      <rPr>
        <sz val="10"/>
        <color theme="1"/>
        <rFont val="宋体"/>
        <charset val="134"/>
      </rPr>
      <t>驱动层</t>
    </r>
    <r>
      <rPr>
        <sz val="10"/>
        <color theme="1"/>
        <rFont val="Consolas"/>
        <charset val="134"/>
      </rPr>
      <t>.</t>
    </r>
    <r>
      <rPr>
        <sz val="10"/>
        <color theme="1"/>
        <rFont val="宋体"/>
        <charset val="134"/>
      </rPr>
      <t>电流环</t>
    </r>
    <r>
      <rPr>
        <sz val="10"/>
        <color theme="1"/>
        <rFont val="Consolas"/>
        <charset val="134"/>
      </rPr>
      <t>Q</t>
    </r>
    <r>
      <rPr>
        <sz val="10"/>
        <color theme="1"/>
        <rFont val="宋体"/>
        <charset val="134"/>
      </rPr>
      <t>轴</t>
    </r>
    <r>
      <rPr>
        <sz val="10"/>
        <color theme="1"/>
        <rFont val="Consolas"/>
        <charset val="134"/>
      </rPr>
      <t>PI</t>
    </r>
    <r>
      <rPr>
        <sz val="10"/>
        <color theme="1"/>
        <rFont val="宋体"/>
        <charset val="134"/>
      </rPr>
      <t>输出</t>
    </r>
  </si>
  <si>
    <t>s16DrvIdErr</t>
  </si>
  <si>
    <r>
      <rPr>
        <sz val="10"/>
        <color theme="1"/>
        <rFont val="宋体"/>
        <charset val="134"/>
      </rPr>
      <t>驱动层</t>
    </r>
    <r>
      <rPr>
        <sz val="10"/>
        <color theme="1"/>
        <rFont val="Consolas"/>
        <charset val="134"/>
      </rPr>
      <t>.</t>
    </r>
    <r>
      <rPr>
        <sz val="10"/>
        <color theme="1"/>
        <rFont val="宋体"/>
        <charset val="134"/>
      </rPr>
      <t>磁通误差数字量</t>
    </r>
  </si>
  <si>
    <t>s16DrvIdPropGain</t>
  </si>
  <si>
    <r>
      <rPr>
        <sz val="10"/>
        <color theme="1"/>
        <rFont val="宋体"/>
        <charset val="134"/>
      </rPr>
      <t>驱动层</t>
    </r>
    <r>
      <rPr>
        <sz val="10"/>
        <color theme="1"/>
        <rFont val="Consolas"/>
        <charset val="134"/>
      </rPr>
      <t>.</t>
    </r>
    <r>
      <rPr>
        <sz val="10"/>
        <color theme="1"/>
        <rFont val="宋体"/>
        <charset val="134"/>
      </rPr>
      <t>电流环</t>
    </r>
    <r>
      <rPr>
        <sz val="10"/>
        <color theme="1"/>
        <rFont val="Consolas"/>
        <charset val="134"/>
      </rPr>
      <t>D</t>
    </r>
    <r>
      <rPr>
        <sz val="10"/>
        <color theme="1"/>
        <rFont val="宋体"/>
        <charset val="134"/>
      </rPr>
      <t>轴</t>
    </r>
    <r>
      <rPr>
        <sz val="10"/>
        <color theme="1"/>
        <rFont val="Consolas"/>
        <charset val="134"/>
      </rPr>
      <t>PI</t>
    </r>
    <r>
      <rPr>
        <sz val="10"/>
        <color theme="1"/>
        <rFont val="宋体"/>
        <charset val="134"/>
      </rPr>
      <t>比例增益</t>
    </r>
  </si>
  <si>
    <t>s16DrvIdInteGain</t>
  </si>
  <si>
    <r>
      <rPr>
        <sz val="10"/>
        <color theme="1"/>
        <rFont val="宋体"/>
        <charset val="134"/>
      </rPr>
      <t>驱动层</t>
    </r>
    <r>
      <rPr>
        <sz val="10"/>
        <color theme="1"/>
        <rFont val="Consolas"/>
        <charset val="134"/>
      </rPr>
      <t>.</t>
    </r>
    <r>
      <rPr>
        <sz val="10"/>
        <color theme="1"/>
        <rFont val="宋体"/>
        <charset val="134"/>
      </rPr>
      <t>电流环</t>
    </r>
    <r>
      <rPr>
        <sz val="10"/>
        <color theme="1"/>
        <rFont val="Consolas"/>
        <charset val="134"/>
      </rPr>
      <t>D</t>
    </r>
    <r>
      <rPr>
        <sz val="10"/>
        <color theme="1"/>
        <rFont val="宋体"/>
        <charset val="134"/>
      </rPr>
      <t>轴</t>
    </r>
    <r>
      <rPr>
        <sz val="10"/>
        <color theme="1"/>
        <rFont val="Consolas"/>
        <charset val="134"/>
      </rPr>
      <t>PI</t>
    </r>
    <r>
      <rPr>
        <sz val="10"/>
        <color theme="1"/>
        <rFont val="宋体"/>
        <charset val="134"/>
      </rPr>
      <t>积分增益</t>
    </r>
  </si>
  <si>
    <t>s32CurLoopIdProp</t>
  </si>
  <si>
    <r>
      <rPr>
        <sz val="10"/>
        <color theme="1"/>
        <rFont val="宋体"/>
        <charset val="134"/>
      </rPr>
      <t>驱动层</t>
    </r>
    <r>
      <rPr>
        <sz val="10"/>
        <color theme="1"/>
        <rFont val="Consolas"/>
        <charset val="134"/>
      </rPr>
      <t>.</t>
    </r>
    <r>
      <rPr>
        <sz val="10"/>
        <color theme="1"/>
        <rFont val="宋体"/>
        <charset val="134"/>
      </rPr>
      <t>电流环</t>
    </r>
    <r>
      <rPr>
        <sz val="10"/>
        <color theme="1"/>
        <rFont val="Consolas"/>
        <charset val="134"/>
      </rPr>
      <t>D</t>
    </r>
    <r>
      <rPr>
        <sz val="10"/>
        <color theme="1"/>
        <rFont val="宋体"/>
        <charset val="134"/>
      </rPr>
      <t>轴</t>
    </r>
    <r>
      <rPr>
        <sz val="10"/>
        <color theme="1"/>
        <rFont val="Consolas"/>
        <charset val="134"/>
      </rPr>
      <t>PI</t>
    </r>
    <r>
      <rPr>
        <sz val="10"/>
        <color theme="1"/>
        <rFont val="宋体"/>
        <charset val="134"/>
      </rPr>
      <t>比例项</t>
    </r>
  </si>
  <si>
    <t>s32CurLoopIdInte</t>
  </si>
  <si>
    <r>
      <rPr>
        <sz val="10"/>
        <color theme="1"/>
        <rFont val="宋体"/>
        <charset val="134"/>
      </rPr>
      <t>驱动层</t>
    </r>
    <r>
      <rPr>
        <sz val="10"/>
        <color theme="1"/>
        <rFont val="Consolas"/>
        <charset val="134"/>
      </rPr>
      <t>.</t>
    </r>
    <r>
      <rPr>
        <sz val="10"/>
        <color theme="1"/>
        <rFont val="宋体"/>
        <charset val="134"/>
      </rPr>
      <t>电流环</t>
    </r>
    <r>
      <rPr>
        <sz val="10"/>
        <color theme="1"/>
        <rFont val="Consolas"/>
        <charset val="134"/>
      </rPr>
      <t>D</t>
    </r>
    <r>
      <rPr>
        <sz val="10"/>
        <color theme="1"/>
        <rFont val="宋体"/>
        <charset val="134"/>
      </rPr>
      <t>轴</t>
    </r>
    <r>
      <rPr>
        <sz val="10"/>
        <color theme="1"/>
        <rFont val="Consolas"/>
        <charset val="134"/>
      </rPr>
      <t>PI</t>
    </r>
    <r>
      <rPr>
        <sz val="10"/>
        <color theme="1"/>
        <rFont val="宋体"/>
        <charset val="134"/>
      </rPr>
      <t>积分项</t>
    </r>
  </si>
  <si>
    <t>s16CurLoopIdOut</t>
  </si>
  <si>
    <r>
      <rPr>
        <sz val="10"/>
        <color theme="1"/>
        <rFont val="宋体"/>
        <charset val="134"/>
      </rPr>
      <t>驱动层</t>
    </r>
    <r>
      <rPr>
        <sz val="10"/>
        <color theme="1"/>
        <rFont val="Consolas"/>
        <charset val="134"/>
      </rPr>
      <t>.</t>
    </r>
    <r>
      <rPr>
        <sz val="10"/>
        <color theme="1"/>
        <rFont val="宋体"/>
        <charset val="134"/>
      </rPr>
      <t>电流环</t>
    </r>
    <r>
      <rPr>
        <sz val="10"/>
        <color theme="1"/>
        <rFont val="Consolas"/>
        <charset val="134"/>
      </rPr>
      <t>D</t>
    </r>
    <r>
      <rPr>
        <sz val="10"/>
        <color theme="1"/>
        <rFont val="宋体"/>
        <charset val="134"/>
      </rPr>
      <t>轴</t>
    </r>
    <r>
      <rPr>
        <sz val="10"/>
        <color theme="1"/>
        <rFont val="Consolas"/>
        <charset val="134"/>
      </rPr>
      <t>PI</t>
    </r>
    <r>
      <rPr>
        <sz val="10"/>
        <color theme="1"/>
        <rFont val="宋体"/>
        <charset val="134"/>
      </rPr>
      <t>输出</t>
    </r>
  </si>
  <si>
    <t>s16IaZeroPu</t>
  </si>
  <si>
    <r>
      <rPr>
        <sz val="10"/>
        <color theme="1"/>
        <rFont val="宋体"/>
        <charset val="134"/>
      </rPr>
      <t>驱动层</t>
    </r>
    <r>
      <rPr>
        <sz val="10"/>
        <color theme="1"/>
        <rFont val="Consolas"/>
        <charset val="134"/>
      </rPr>
      <t>.U</t>
    </r>
    <r>
      <rPr>
        <sz val="10"/>
        <color theme="1"/>
        <rFont val="宋体"/>
        <charset val="134"/>
      </rPr>
      <t>相电流零漂标幺值</t>
    </r>
  </si>
  <si>
    <t>s16IbZeroPu</t>
  </si>
  <si>
    <r>
      <rPr>
        <sz val="10"/>
        <color theme="1"/>
        <rFont val="宋体"/>
        <charset val="134"/>
      </rPr>
      <t>驱动层</t>
    </r>
    <r>
      <rPr>
        <sz val="10"/>
        <color theme="1"/>
        <rFont val="Consolas"/>
        <charset val="134"/>
      </rPr>
      <t>.V</t>
    </r>
    <r>
      <rPr>
        <sz val="10"/>
        <color theme="1"/>
        <rFont val="宋体"/>
        <charset val="134"/>
      </rPr>
      <t>相电流零漂标幺值</t>
    </r>
  </si>
  <si>
    <t>s16IcZeroPu</t>
  </si>
  <si>
    <r>
      <rPr>
        <sz val="10"/>
        <color theme="1"/>
        <rFont val="宋体"/>
        <charset val="134"/>
      </rPr>
      <t>驱动层</t>
    </r>
    <r>
      <rPr>
        <sz val="10"/>
        <color theme="1"/>
        <rFont val="Consolas"/>
        <charset val="134"/>
      </rPr>
      <t>.W</t>
    </r>
    <r>
      <rPr>
        <sz val="10"/>
        <color theme="1"/>
        <rFont val="宋体"/>
        <charset val="134"/>
      </rPr>
      <t>相电流零漂标幺值</t>
    </r>
  </si>
  <si>
    <t>s16IaFbPu</t>
  </si>
  <si>
    <r>
      <rPr>
        <sz val="10"/>
        <color theme="1"/>
        <rFont val="宋体"/>
        <charset val="134"/>
      </rPr>
      <t>驱动层</t>
    </r>
    <r>
      <rPr>
        <sz val="10"/>
        <color theme="1"/>
        <rFont val="Consolas"/>
        <charset val="134"/>
      </rPr>
      <t>.U</t>
    </r>
    <r>
      <rPr>
        <sz val="10"/>
        <color theme="1"/>
        <rFont val="宋体"/>
        <charset val="134"/>
      </rPr>
      <t>相电流反馈标幺值</t>
    </r>
  </si>
  <si>
    <t>s16IbFbPu</t>
  </si>
  <si>
    <r>
      <rPr>
        <sz val="10"/>
        <color theme="1"/>
        <rFont val="宋体"/>
        <charset val="134"/>
      </rPr>
      <t>驱动层</t>
    </r>
    <r>
      <rPr>
        <sz val="10"/>
        <color theme="1"/>
        <rFont val="Consolas"/>
        <charset val="134"/>
      </rPr>
      <t>.V</t>
    </r>
    <r>
      <rPr>
        <sz val="10"/>
        <color theme="1"/>
        <rFont val="宋体"/>
        <charset val="134"/>
      </rPr>
      <t>相电流反馈标幺值</t>
    </r>
  </si>
  <si>
    <t>s16IcFbPu</t>
  </si>
  <si>
    <r>
      <rPr>
        <sz val="10"/>
        <color theme="1"/>
        <rFont val="宋体"/>
        <charset val="134"/>
      </rPr>
      <t>驱动层</t>
    </r>
    <r>
      <rPr>
        <sz val="10"/>
        <color theme="1"/>
        <rFont val="Consolas"/>
        <charset val="134"/>
      </rPr>
      <t>.W</t>
    </r>
    <r>
      <rPr>
        <sz val="10"/>
        <color theme="1"/>
        <rFont val="宋体"/>
        <charset val="134"/>
      </rPr>
      <t>相电流反馈标幺值</t>
    </r>
  </si>
  <si>
    <t>s16IalphaFb</t>
  </si>
  <si>
    <r>
      <rPr>
        <sz val="10"/>
        <color theme="1"/>
        <rFont val="宋体"/>
        <charset val="134"/>
      </rPr>
      <t>驱动层</t>
    </r>
    <r>
      <rPr>
        <sz val="10"/>
        <color theme="1"/>
        <rFont val="Consolas"/>
        <charset val="134"/>
      </rPr>
      <t>.Alpha</t>
    </r>
    <r>
      <rPr>
        <sz val="10"/>
        <color theme="1"/>
        <rFont val="宋体"/>
        <charset val="134"/>
      </rPr>
      <t>轴反馈</t>
    </r>
  </si>
  <si>
    <t>s16IbetaFb</t>
  </si>
  <si>
    <r>
      <rPr>
        <sz val="10"/>
        <color theme="1"/>
        <rFont val="宋体"/>
        <charset val="134"/>
      </rPr>
      <t>驱动层</t>
    </r>
    <r>
      <rPr>
        <sz val="10"/>
        <color theme="1"/>
        <rFont val="Consolas"/>
        <charset val="134"/>
      </rPr>
      <t>.Beta</t>
    </r>
    <r>
      <rPr>
        <sz val="10"/>
        <color theme="1"/>
        <rFont val="宋体"/>
        <charset val="134"/>
      </rPr>
      <t>轴反馈</t>
    </r>
  </si>
  <si>
    <t>s16IqFb</t>
  </si>
  <si>
    <r>
      <rPr>
        <sz val="10"/>
        <color theme="1"/>
        <rFont val="宋体"/>
        <charset val="134"/>
      </rPr>
      <t>驱动层</t>
    </r>
    <r>
      <rPr>
        <sz val="10"/>
        <color theme="1"/>
        <rFont val="Consolas"/>
        <charset val="134"/>
      </rPr>
      <t>.Q</t>
    </r>
    <r>
      <rPr>
        <sz val="10"/>
        <color theme="1"/>
        <rFont val="宋体"/>
        <charset val="134"/>
      </rPr>
      <t>轴反馈</t>
    </r>
    <r>
      <rPr>
        <sz val="10"/>
        <color theme="1"/>
        <rFont val="Consolas"/>
        <charset val="134"/>
      </rPr>
      <t>(</t>
    </r>
    <r>
      <rPr>
        <sz val="10"/>
        <color theme="1"/>
        <rFont val="宋体"/>
        <charset val="134"/>
      </rPr>
      <t>滤波前</t>
    </r>
    <r>
      <rPr>
        <sz val="10"/>
        <color theme="1"/>
        <rFont val="Consolas"/>
        <charset val="134"/>
      </rPr>
      <t>)</t>
    </r>
  </si>
  <si>
    <t>s16IdFb</t>
  </si>
  <si>
    <r>
      <rPr>
        <sz val="10"/>
        <color theme="1"/>
        <rFont val="宋体"/>
        <charset val="134"/>
      </rPr>
      <t>驱动层</t>
    </r>
    <r>
      <rPr>
        <sz val="10"/>
        <color theme="1"/>
        <rFont val="Consolas"/>
        <charset val="134"/>
      </rPr>
      <t>.D</t>
    </r>
    <r>
      <rPr>
        <sz val="10"/>
        <color theme="1"/>
        <rFont val="宋体"/>
        <charset val="134"/>
      </rPr>
      <t>轴反馈</t>
    </r>
    <r>
      <rPr>
        <sz val="10"/>
        <color theme="1"/>
        <rFont val="Consolas"/>
        <charset val="134"/>
      </rPr>
      <t>(</t>
    </r>
    <r>
      <rPr>
        <sz val="10"/>
        <color theme="1"/>
        <rFont val="宋体"/>
        <charset val="134"/>
      </rPr>
      <t>滤波前</t>
    </r>
    <r>
      <rPr>
        <sz val="10"/>
        <color theme="1"/>
        <rFont val="Consolas"/>
        <charset val="134"/>
      </rPr>
      <t>)</t>
    </r>
  </si>
  <si>
    <t>u16ElecAngFb</t>
  </si>
  <si>
    <r>
      <rPr>
        <sz val="10"/>
        <color theme="1"/>
        <rFont val="宋体"/>
        <charset val="134"/>
      </rPr>
      <t>驱动层</t>
    </r>
    <r>
      <rPr>
        <sz val="10"/>
        <color theme="1"/>
        <rFont val="Consolas"/>
        <charset val="134"/>
      </rPr>
      <t>.</t>
    </r>
    <r>
      <rPr>
        <sz val="10"/>
        <color theme="1"/>
        <rFont val="宋体"/>
        <charset val="134"/>
      </rPr>
      <t>电角度反馈</t>
    </r>
  </si>
  <si>
    <t>u16ElecAngRef</t>
  </si>
  <si>
    <r>
      <rPr>
        <sz val="10"/>
        <color theme="1"/>
        <rFont val="宋体"/>
        <charset val="134"/>
      </rPr>
      <t>驱动层</t>
    </r>
    <r>
      <rPr>
        <sz val="10"/>
        <color theme="1"/>
        <rFont val="Consolas"/>
        <charset val="134"/>
      </rPr>
      <t>.</t>
    </r>
    <r>
      <rPr>
        <sz val="10"/>
        <color theme="1"/>
        <rFont val="宋体"/>
        <charset val="134"/>
      </rPr>
      <t>电角度指令</t>
    </r>
  </si>
  <si>
    <t>s16IdRef</t>
  </si>
  <si>
    <r>
      <rPr>
        <sz val="10"/>
        <color theme="1"/>
        <rFont val="宋体"/>
        <charset val="134"/>
      </rPr>
      <t>驱动层</t>
    </r>
    <r>
      <rPr>
        <sz val="10"/>
        <color theme="1"/>
        <rFont val="Consolas"/>
        <charset val="134"/>
      </rPr>
      <t>.D</t>
    </r>
    <r>
      <rPr>
        <sz val="10"/>
        <color theme="1"/>
        <rFont val="宋体"/>
        <charset val="134"/>
      </rPr>
      <t>轴电压输出</t>
    </r>
    <r>
      <rPr>
        <sz val="10"/>
        <color theme="1"/>
        <rFont val="Consolas"/>
        <charset val="134"/>
      </rPr>
      <t>(</t>
    </r>
    <r>
      <rPr>
        <sz val="10"/>
        <color theme="1"/>
        <rFont val="宋体"/>
        <charset val="134"/>
      </rPr>
      <t>限幅后</t>
    </r>
    <r>
      <rPr>
        <sz val="10"/>
        <color theme="1"/>
        <rFont val="Consolas"/>
        <charset val="134"/>
      </rPr>
      <t>)</t>
    </r>
  </si>
  <si>
    <t>s16IqRef</t>
  </si>
  <si>
    <r>
      <rPr>
        <sz val="10"/>
        <color theme="1"/>
        <rFont val="宋体"/>
        <charset val="134"/>
      </rPr>
      <t>驱动层</t>
    </r>
    <r>
      <rPr>
        <sz val="10"/>
        <color theme="1"/>
        <rFont val="Consolas"/>
        <charset val="134"/>
      </rPr>
      <t>.Q</t>
    </r>
    <r>
      <rPr>
        <sz val="10"/>
        <color theme="1"/>
        <rFont val="宋体"/>
        <charset val="134"/>
      </rPr>
      <t>轴电压输出</t>
    </r>
    <r>
      <rPr>
        <sz val="10"/>
        <color theme="1"/>
        <rFont val="Consolas"/>
        <charset val="134"/>
      </rPr>
      <t>(</t>
    </r>
    <r>
      <rPr>
        <sz val="10"/>
        <color theme="1"/>
        <rFont val="宋体"/>
        <charset val="134"/>
      </rPr>
      <t>限幅后</t>
    </r>
    <r>
      <rPr>
        <sz val="10"/>
        <color theme="1"/>
        <rFont val="Consolas"/>
        <charset val="134"/>
      </rPr>
      <t>)</t>
    </r>
  </si>
  <si>
    <t>s16IalphaRef</t>
  </si>
  <si>
    <r>
      <rPr>
        <sz val="10"/>
        <color theme="1"/>
        <rFont val="宋体"/>
        <charset val="134"/>
      </rPr>
      <t>驱动层</t>
    </r>
    <r>
      <rPr>
        <sz val="10"/>
        <color theme="1"/>
        <rFont val="Consolas"/>
        <charset val="134"/>
      </rPr>
      <t>.Alpha</t>
    </r>
    <r>
      <rPr>
        <sz val="10"/>
        <color theme="1"/>
        <rFont val="宋体"/>
        <charset val="134"/>
      </rPr>
      <t>轴电压输出</t>
    </r>
  </si>
  <si>
    <t>s16IbetaRef</t>
  </si>
  <si>
    <r>
      <rPr>
        <sz val="10"/>
        <color theme="1"/>
        <rFont val="宋体"/>
        <charset val="134"/>
      </rPr>
      <t>驱动层</t>
    </r>
    <r>
      <rPr>
        <sz val="10"/>
        <color theme="1"/>
        <rFont val="Consolas"/>
        <charset val="134"/>
      </rPr>
      <t>.Beta</t>
    </r>
    <r>
      <rPr>
        <sz val="10"/>
        <color theme="1"/>
        <rFont val="宋体"/>
        <charset val="134"/>
      </rPr>
      <t>轴电压输出</t>
    </r>
  </si>
  <si>
    <t>eSvpwmSector</t>
  </si>
  <si>
    <r>
      <rPr>
        <sz val="10"/>
        <color theme="1"/>
        <rFont val="宋体"/>
        <charset val="134"/>
      </rPr>
      <t>驱动层</t>
    </r>
    <r>
      <rPr>
        <sz val="10"/>
        <color theme="1"/>
        <rFont val="Consolas"/>
        <charset val="134"/>
      </rPr>
      <t>.SVPWM</t>
    </r>
    <r>
      <rPr>
        <sz val="10"/>
        <color theme="1"/>
        <rFont val="宋体"/>
        <charset val="134"/>
      </rPr>
      <t>矢量扇区</t>
    </r>
  </si>
  <si>
    <t>u16PwmaComp</t>
  </si>
  <si>
    <r>
      <rPr>
        <sz val="10"/>
        <color theme="1"/>
        <rFont val="宋体"/>
        <charset val="134"/>
      </rPr>
      <t>驱动层</t>
    </r>
    <r>
      <rPr>
        <sz val="10"/>
        <color theme="1"/>
        <rFont val="Consolas"/>
        <charset val="134"/>
      </rPr>
      <t>.A</t>
    </r>
    <r>
      <rPr>
        <sz val="10"/>
        <color theme="1"/>
        <rFont val="宋体"/>
        <charset val="134"/>
      </rPr>
      <t>相</t>
    </r>
    <r>
      <rPr>
        <sz val="10"/>
        <color theme="1"/>
        <rFont val="Consolas"/>
        <charset val="134"/>
      </rPr>
      <t>PWM</t>
    </r>
    <r>
      <rPr>
        <sz val="10"/>
        <color theme="1"/>
        <rFont val="宋体"/>
        <charset val="134"/>
      </rPr>
      <t>比较值</t>
    </r>
  </si>
  <si>
    <t>u16PwmbComp</t>
  </si>
  <si>
    <r>
      <rPr>
        <sz val="10"/>
        <color theme="1"/>
        <rFont val="宋体"/>
        <charset val="134"/>
      </rPr>
      <t>驱动层</t>
    </r>
    <r>
      <rPr>
        <sz val="10"/>
        <color theme="1"/>
        <rFont val="Consolas"/>
        <charset val="134"/>
      </rPr>
      <t>.B</t>
    </r>
    <r>
      <rPr>
        <sz val="10"/>
        <color theme="1"/>
        <rFont val="宋体"/>
        <charset val="134"/>
      </rPr>
      <t>相</t>
    </r>
    <r>
      <rPr>
        <sz val="10"/>
        <color theme="1"/>
        <rFont val="Consolas"/>
        <charset val="134"/>
      </rPr>
      <t>PWM</t>
    </r>
    <r>
      <rPr>
        <sz val="10"/>
        <color theme="1"/>
        <rFont val="宋体"/>
        <charset val="134"/>
      </rPr>
      <t>比较值</t>
    </r>
  </si>
  <si>
    <t>u16PwmcComp</t>
  </si>
  <si>
    <r>
      <rPr>
        <sz val="10"/>
        <color theme="1"/>
        <rFont val="宋体"/>
        <charset val="134"/>
      </rPr>
      <t>驱动层</t>
    </r>
    <r>
      <rPr>
        <sz val="10"/>
        <color theme="1"/>
        <rFont val="Consolas"/>
        <charset val="134"/>
      </rPr>
      <t>.C</t>
    </r>
    <r>
      <rPr>
        <sz val="10"/>
        <color theme="1"/>
        <rFont val="宋体"/>
        <charset val="134"/>
      </rPr>
      <t>相</t>
    </r>
    <r>
      <rPr>
        <sz val="10"/>
        <color theme="1"/>
        <rFont val="Consolas"/>
        <charset val="134"/>
      </rPr>
      <t>PWM</t>
    </r>
    <r>
      <rPr>
        <sz val="10"/>
        <color theme="1"/>
        <rFont val="宋体"/>
        <charset val="134"/>
      </rPr>
      <t>比较值</t>
    </r>
  </si>
  <si>
    <t>s32DrvSpdRef</t>
  </si>
  <si>
    <r>
      <rPr>
        <sz val="10"/>
        <color theme="1"/>
        <rFont val="宋体"/>
        <charset val="134"/>
      </rPr>
      <t>驱动层</t>
    </r>
    <r>
      <rPr>
        <sz val="10"/>
        <color theme="1"/>
        <rFont val="Consolas"/>
        <charset val="134"/>
      </rPr>
      <t>.</t>
    </r>
    <r>
      <rPr>
        <sz val="10"/>
        <color theme="1"/>
        <rFont val="宋体"/>
        <charset val="134"/>
      </rPr>
      <t>速度指令</t>
    </r>
    <r>
      <rPr>
        <sz val="10"/>
        <color theme="1"/>
        <rFont val="Consolas"/>
        <charset val="134"/>
      </rPr>
      <t>(</t>
    </r>
    <r>
      <rPr>
        <sz val="10"/>
        <color theme="1"/>
        <rFont val="宋体"/>
        <charset val="134"/>
      </rPr>
      <t>限幅后</t>
    </r>
    <r>
      <rPr>
        <sz val="10"/>
        <color theme="1"/>
        <rFont val="Consolas"/>
        <charset val="134"/>
      </rPr>
      <t>)</t>
    </r>
  </si>
  <si>
    <t>s32DrvSpdFb</t>
  </si>
  <si>
    <r>
      <rPr>
        <sz val="10"/>
        <color theme="1"/>
        <rFont val="宋体"/>
        <charset val="134"/>
      </rPr>
      <t>驱动层</t>
    </r>
    <r>
      <rPr>
        <sz val="10"/>
        <color theme="1"/>
        <rFont val="Consolas"/>
        <charset val="134"/>
      </rPr>
      <t>.</t>
    </r>
    <r>
      <rPr>
        <sz val="10"/>
        <color theme="1"/>
        <rFont val="宋体"/>
        <charset val="134"/>
      </rPr>
      <t>速度反馈</t>
    </r>
    <r>
      <rPr>
        <sz val="10"/>
        <color theme="1"/>
        <rFont val="Consolas"/>
        <charset val="134"/>
      </rPr>
      <t>(</t>
    </r>
    <r>
      <rPr>
        <sz val="10"/>
        <color theme="1"/>
        <rFont val="宋体"/>
        <charset val="134"/>
      </rPr>
      <t>滤波后</t>
    </r>
    <r>
      <rPr>
        <sz val="10"/>
        <color theme="1"/>
        <rFont val="Consolas"/>
        <charset val="134"/>
      </rPr>
      <t>)</t>
    </r>
  </si>
  <si>
    <t>s64DrvPosRef</t>
  </si>
  <si>
    <r>
      <rPr>
        <sz val="10"/>
        <color theme="1"/>
        <rFont val="宋体"/>
        <charset val="134"/>
      </rPr>
      <t>驱动层</t>
    </r>
    <r>
      <rPr>
        <sz val="10"/>
        <color theme="1"/>
        <rFont val="Consolas"/>
        <charset val="134"/>
      </rPr>
      <t>.</t>
    </r>
    <r>
      <rPr>
        <sz val="10"/>
        <color theme="1"/>
        <rFont val="宋体"/>
        <charset val="134"/>
      </rPr>
      <t>位置指令</t>
    </r>
  </si>
  <si>
    <t>s64DrvPosFb</t>
  </si>
  <si>
    <r>
      <rPr>
        <sz val="10"/>
        <color theme="1"/>
        <rFont val="宋体"/>
        <charset val="134"/>
      </rPr>
      <t>驱动层</t>
    </r>
    <r>
      <rPr>
        <sz val="10"/>
        <color theme="1"/>
        <rFont val="Consolas"/>
        <charset val="134"/>
      </rPr>
      <t>.</t>
    </r>
    <r>
      <rPr>
        <sz val="10"/>
        <color theme="1"/>
        <rFont val="宋体"/>
        <charset val="134"/>
      </rPr>
      <t>位置反馈</t>
    </r>
  </si>
  <si>
    <t>s16DrvIqFb</t>
  </si>
  <si>
    <r>
      <rPr>
        <sz val="10"/>
        <color theme="1"/>
        <rFont val="宋体"/>
        <charset val="134"/>
      </rPr>
      <t>驱动层</t>
    </r>
    <r>
      <rPr>
        <sz val="10"/>
        <color theme="1"/>
        <rFont val="Consolas"/>
        <charset val="134"/>
      </rPr>
      <t>.Q</t>
    </r>
    <r>
      <rPr>
        <sz val="10"/>
        <color theme="1"/>
        <rFont val="宋体"/>
        <charset val="134"/>
      </rPr>
      <t>轴反馈</t>
    </r>
    <r>
      <rPr>
        <sz val="10"/>
        <color theme="1"/>
        <rFont val="Consolas"/>
        <charset val="134"/>
      </rPr>
      <t>(</t>
    </r>
    <r>
      <rPr>
        <sz val="10"/>
        <color theme="1"/>
        <rFont val="宋体"/>
        <charset val="134"/>
      </rPr>
      <t>滤波后</t>
    </r>
    <r>
      <rPr>
        <sz val="10"/>
        <color theme="1"/>
        <rFont val="Consolas"/>
        <charset val="134"/>
      </rPr>
      <t>)</t>
    </r>
  </si>
  <si>
    <t>s16DrvIdFb</t>
  </si>
  <si>
    <r>
      <rPr>
        <sz val="10"/>
        <color theme="1"/>
        <rFont val="宋体"/>
        <charset val="134"/>
      </rPr>
      <t>驱动层</t>
    </r>
    <r>
      <rPr>
        <sz val="10"/>
        <color theme="1"/>
        <rFont val="Consolas"/>
        <charset val="134"/>
      </rPr>
      <t>.D</t>
    </r>
    <r>
      <rPr>
        <sz val="10"/>
        <color theme="1"/>
        <rFont val="宋体"/>
        <charset val="134"/>
      </rPr>
      <t>轴反馈</t>
    </r>
    <r>
      <rPr>
        <sz val="10"/>
        <color theme="1"/>
        <rFont val="Consolas"/>
        <charset val="134"/>
      </rPr>
      <t>(</t>
    </r>
    <r>
      <rPr>
        <sz val="10"/>
        <color theme="1"/>
        <rFont val="宋体"/>
        <charset val="134"/>
      </rPr>
      <t>滤波后</t>
    </r>
    <r>
      <rPr>
        <sz val="10"/>
        <color theme="1"/>
        <rFont val="Consolas"/>
        <charset val="134"/>
      </rPr>
      <t>)</t>
    </r>
  </si>
  <si>
    <t>eStopMode</t>
  </si>
  <si>
    <r>
      <rPr>
        <sz val="10"/>
        <color theme="1"/>
        <rFont val="宋体"/>
        <charset val="134"/>
      </rPr>
      <t>用户层</t>
    </r>
    <r>
      <rPr>
        <sz val="10"/>
        <color theme="1"/>
        <rFont val="Consolas"/>
        <charset val="134"/>
      </rPr>
      <t>.</t>
    </r>
    <r>
      <rPr>
        <sz val="10"/>
        <color theme="1"/>
        <rFont val="宋体"/>
        <charset val="134"/>
      </rPr>
      <t>停机模式</t>
    </r>
  </si>
  <si>
    <t>eStopPlanMode</t>
  </si>
  <si>
    <r>
      <rPr>
        <sz val="10"/>
        <color theme="1"/>
        <rFont val="宋体"/>
        <charset val="134"/>
      </rPr>
      <t>用户层</t>
    </r>
    <r>
      <rPr>
        <sz val="10"/>
        <color theme="1"/>
        <rFont val="Consolas"/>
        <charset val="134"/>
      </rPr>
      <t>.</t>
    </r>
    <r>
      <rPr>
        <sz val="10"/>
        <color theme="1"/>
        <rFont val="宋体"/>
        <charset val="134"/>
      </rPr>
      <t>停机规划模式</t>
    </r>
  </si>
  <si>
    <t>s32StopPosRef</t>
  </si>
  <si>
    <t>PosCtrl</t>
  </si>
  <si>
    <r>
      <rPr>
        <sz val="10"/>
        <color theme="1"/>
        <rFont val="宋体"/>
        <charset val="134"/>
      </rPr>
      <t>位置控制</t>
    </r>
  </si>
  <si>
    <t>ePosRefSrc</t>
  </si>
  <si>
    <r>
      <rPr>
        <sz val="10"/>
        <color theme="1"/>
        <rFont val="宋体"/>
        <charset val="134"/>
      </rPr>
      <t>用户层</t>
    </r>
    <r>
      <rPr>
        <sz val="10"/>
        <color theme="1"/>
        <rFont val="Consolas"/>
        <charset val="134"/>
      </rPr>
      <t>.</t>
    </r>
    <r>
      <rPr>
        <sz val="10"/>
        <color theme="1"/>
        <rFont val="宋体"/>
        <charset val="134"/>
      </rPr>
      <t>位置指令来源</t>
    </r>
  </si>
  <si>
    <r>
      <rPr>
        <sz val="10"/>
        <color theme="1"/>
        <rFont val="Consolas"/>
        <charset val="134"/>
      </rPr>
      <t>0-</t>
    </r>
    <r>
      <rPr>
        <sz val="10"/>
        <color theme="1"/>
        <rFont val="宋体"/>
        <charset val="134"/>
      </rPr>
      <t>数字位置指令</t>
    </r>
    <r>
      <rPr>
        <sz val="10"/>
        <color theme="1"/>
        <rFont val="Consolas"/>
        <charset val="134"/>
      </rPr>
      <t xml:space="preserve">
1-</t>
    </r>
    <r>
      <rPr>
        <sz val="10"/>
        <color theme="1"/>
        <rFont val="宋体"/>
        <charset val="134"/>
      </rPr>
      <t>多段数字位置指令</t>
    </r>
    <r>
      <rPr>
        <sz val="10"/>
        <color theme="1"/>
        <rFont val="Consolas"/>
        <charset val="134"/>
      </rPr>
      <t xml:space="preserve">
2-</t>
    </r>
    <r>
      <rPr>
        <sz val="10"/>
        <color theme="1"/>
        <rFont val="宋体"/>
        <charset val="134"/>
      </rPr>
      <t>外部脉冲</t>
    </r>
  </si>
  <si>
    <t>s64PosDigRef</t>
  </si>
  <si>
    <r>
      <rPr>
        <sz val="10"/>
        <color theme="1"/>
        <rFont val="宋体"/>
        <charset val="134"/>
      </rPr>
      <t>用户层</t>
    </r>
    <r>
      <rPr>
        <sz val="10"/>
        <color theme="1"/>
        <rFont val="Consolas"/>
        <charset val="134"/>
      </rPr>
      <t>.</t>
    </r>
    <r>
      <rPr>
        <sz val="10"/>
        <color theme="1"/>
        <rFont val="宋体"/>
        <charset val="134"/>
      </rPr>
      <t>数字位置指令</t>
    </r>
  </si>
  <si>
    <t>u16PosPlanSpdMax</t>
  </si>
  <si>
    <t>500</t>
  </si>
  <si>
    <r>
      <rPr>
        <sz val="10"/>
        <color theme="1"/>
        <rFont val="宋体"/>
        <charset val="134"/>
      </rPr>
      <t>用户层</t>
    </r>
    <r>
      <rPr>
        <sz val="10"/>
        <color theme="1"/>
        <rFont val="Consolas"/>
        <charset val="134"/>
      </rPr>
      <t>.</t>
    </r>
    <r>
      <rPr>
        <sz val="10"/>
        <color theme="1"/>
        <rFont val="宋体"/>
        <charset val="134"/>
      </rPr>
      <t>位置规划速度上限</t>
    </r>
  </si>
  <si>
    <t>ePosDigRefType</t>
  </si>
  <si>
    <t>ePosRefSet</t>
  </si>
  <si>
    <t>u16PosMulRefSel</t>
  </si>
  <si>
    <t>15</t>
  </si>
  <si>
    <t>ePosPlanMode</t>
  </si>
  <si>
    <r>
      <rPr>
        <sz val="10"/>
        <color theme="1"/>
        <rFont val="宋体"/>
        <charset val="134"/>
      </rPr>
      <t>用户层</t>
    </r>
    <r>
      <rPr>
        <sz val="10"/>
        <color theme="1"/>
        <rFont val="Consolas"/>
        <charset val="134"/>
      </rPr>
      <t>.</t>
    </r>
    <r>
      <rPr>
        <sz val="10"/>
        <color theme="1"/>
        <rFont val="宋体"/>
        <charset val="134"/>
      </rPr>
      <t>位置规划模式</t>
    </r>
  </si>
  <si>
    <t>ePosLimSrc</t>
  </si>
  <si>
    <r>
      <rPr>
        <sz val="10"/>
        <color theme="1"/>
        <rFont val="Consolas"/>
        <charset val="134"/>
      </rPr>
      <t>0-</t>
    </r>
    <r>
      <rPr>
        <sz val="10"/>
        <color theme="1"/>
        <rFont val="宋体"/>
        <charset val="134"/>
      </rPr>
      <t>无限位；</t>
    </r>
    <r>
      <rPr>
        <sz val="10"/>
        <color theme="1"/>
        <rFont val="Consolas"/>
        <charset val="134"/>
      </rPr>
      <t xml:space="preserve">
1-</t>
    </r>
    <r>
      <rPr>
        <sz val="10"/>
        <color theme="1"/>
        <rFont val="宋体"/>
        <charset val="134"/>
      </rPr>
      <t>数字正向和反向位置限制；</t>
    </r>
    <r>
      <rPr>
        <sz val="10"/>
        <color theme="1"/>
        <rFont val="Consolas"/>
        <charset val="134"/>
      </rPr>
      <t xml:space="preserve">
2-DI</t>
    </r>
    <r>
      <rPr>
        <sz val="10"/>
        <color theme="1"/>
        <rFont val="宋体"/>
        <charset val="134"/>
      </rPr>
      <t>或通信位置限制信号；</t>
    </r>
  </si>
  <si>
    <t>s64PosLimFwd</t>
  </si>
  <si>
    <t>s64PosLimRev</t>
  </si>
  <si>
    <t>ePosLimSts</t>
  </si>
  <si>
    <r>
      <rPr>
        <sz val="10"/>
        <color theme="1"/>
        <rFont val="宋体"/>
        <charset val="134"/>
      </rPr>
      <t>位置限制状态</t>
    </r>
  </si>
  <si>
    <t>u32ElecGearNum</t>
  </si>
  <si>
    <r>
      <rPr>
        <sz val="10"/>
        <color theme="1"/>
        <rFont val="宋体"/>
        <charset val="134"/>
      </rPr>
      <t>用户层</t>
    </r>
    <r>
      <rPr>
        <sz val="10"/>
        <color theme="1"/>
        <rFont val="Consolas"/>
        <charset val="134"/>
      </rPr>
      <t>.</t>
    </r>
    <r>
      <rPr>
        <sz val="10"/>
        <color theme="1"/>
        <rFont val="宋体"/>
        <charset val="134"/>
      </rPr>
      <t>电子齿轮比分子</t>
    </r>
  </si>
  <si>
    <t>u32ElecGearDeno</t>
  </si>
  <si>
    <r>
      <rPr>
        <sz val="10"/>
        <color theme="1"/>
        <rFont val="宋体"/>
        <charset val="134"/>
      </rPr>
      <t>用户层</t>
    </r>
    <r>
      <rPr>
        <sz val="10"/>
        <color theme="1"/>
        <rFont val="Consolas"/>
        <charset val="134"/>
      </rPr>
      <t>.</t>
    </r>
    <r>
      <rPr>
        <sz val="10"/>
        <color theme="1"/>
        <rFont val="宋体"/>
        <charset val="134"/>
      </rPr>
      <t>电子齿轮比分母</t>
    </r>
  </si>
  <si>
    <t>u16EncFreqDivDir</t>
  </si>
  <si>
    <r>
      <rPr>
        <sz val="10"/>
        <color theme="1"/>
        <rFont val="宋体"/>
        <charset val="134"/>
      </rPr>
      <t>用户层</t>
    </r>
    <r>
      <rPr>
        <sz val="10"/>
        <color theme="1"/>
        <rFont val="Consolas"/>
        <charset val="134"/>
      </rPr>
      <t>.</t>
    </r>
    <r>
      <rPr>
        <sz val="10"/>
        <color theme="1"/>
        <rFont val="宋体"/>
        <charset val="134"/>
      </rPr>
      <t>编码器分频输出脉冲方向</t>
    </r>
  </si>
  <si>
    <t>u16EncFreqDivNum</t>
  </si>
  <si>
    <r>
      <rPr>
        <sz val="10"/>
        <color theme="1"/>
        <rFont val="宋体"/>
        <charset val="134"/>
      </rPr>
      <t>用户层</t>
    </r>
    <r>
      <rPr>
        <sz val="10"/>
        <color theme="1"/>
        <rFont val="Consolas"/>
        <charset val="134"/>
      </rPr>
      <t>.</t>
    </r>
    <r>
      <rPr>
        <sz val="10"/>
        <color theme="1"/>
        <rFont val="宋体"/>
        <charset val="134"/>
      </rPr>
      <t>编码器分频输出分子</t>
    </r>
  </si>
  <si>
    <t>u16EncFreqDivDeno</t>
  </si>
  <si>
    <r>
      <rPr>
        <sz val="10"/>
        <color theme="1"/>
        <rFont val="宋体"/>
        <charset val="134"/>
      </rPr>
      <t>用户层</t>
    </r>
    <r>
      <rPr>
        <sz val="10"/>
        <color theme="1"/>
        <rFont val="Consolas"/>
        <charset val="134"/>
      </rPr>
      <t>.</t>
    </r>
    <r>
      <rPr>
        <sz val="10"/>
        <color theme="1"/>
        <rFont val="宋体"/>
        <charset val="134"/>
      </rPr>
      <t>编码器分频输出分母</t>
    </r>
  </si>
  <si>
    <t>s64PosDigRef01</t>
  </si>
  <si>
    <r>
      <rPr>
        <sz val="10"/>
        <color theme="1"/>
        <rFont val="宋体"/>
        <charset val="134"/>
      </rPr>
      <t>用户层</t>
    </r>
    <r>
      <rPr>
        <sz val="10"/>
        <color theme="1"/>
        <rFont val="Consolas"/>
        <charset val="134"/>
      </rPr>
      <t>.</t>
    </r>
    <r>
      <rPr>
        <sz val="10"/>
        <color theme="1"/>
        <rFont val="宋体"/>
        <charset val="134"/>
      </rPr>
      <t>多段数字位置指令</t>
    </r>
    <r>
      <rPr>
        <sz val="10"/>
        <color theme="1"/>
        <rFont val="Consolas"/>
        <charset val="134"/>
      </rPr>
      <t>01</t>
    </r>
  </si>
  <si>
    <t>s64PosDigRef02</t>
  </si>
  <si>
    <r>
      <rPr>
        <sz val="10"/>
        <color theme="1"/>
        <rFont val="宋体"/>
        <charset val="134"/>
      </rPr>
      <t>用户层</t>
    </r>
    <r>
      <rPr>
        <sz val="10"/>
        <color theme="1"/>
        <rFont val="Consolas"/>
        <charset val="134"/>
      </rPr>
      <t>.</t>
    </r>
    <r>
      <rPr>
        <sz val="10"/>
        <color theme="1"/>
        <rFont val="宋体"/>
        <charset val="134"/>
      </rPr>
      <t>多段数字位置指令</t>
    </r>
    <r>
      <rPr>
        <sz val="10"/>
        <color theme="1"/>
        <rFont val="Consolas"/>
        <charset val="134"/>
      </rPr>
      <t>02</t>
    </r>
  </si>
  <si>
    <t>s64PosDigRef03</t>
  </si>
  <si>
    <r>
      <rPr>
        <sz val="10"/>
        <color theme="1"/>
        <rFont val="宋体"/>
        <charset val="134"/>
      </rPr>
      <t>用户层</t>
    </r>
    <r>
      <rPr>
        <sz val="10"/>
        <color theme="1"/>
        <rFont val="Consolas"/>
        <charset val="134"/>
      </rPr>
      <t>.</t>
    </r>
    <r>
      <rPr>
        <sz val="10"/>
        <color theme="1"/>
        <rFont val="宋体"/>
        <charset val="134"/>
      </rPr>
      <t>多段数字位置指令</t>
    </r>
    <r>
      <rPr>
        <sz val="10"/>
        <color theme="1"/>
        <rFont val="Consolas"/>
        <charset val="134"/>
      </rPr>
      <t>03</t>
    </r>
  </si>
  <si>
    <t>s64PosDigRef04</t>
  </si>
  <si>
    <r>
      <rPr>
        <sz val="10"/>
        <color theme="1"/>
        <rFont val="宋体"/>
        <charset val="134"/>
      </rPr>
      <t>用户层</t>
    </r>
    <r>
      <rPr>
        <sz val="10"/>
        <color theme="1"/>
        <rFont val="Consolas"/>
        <charset val="134"/>
      </rPr>
      <t>.</t>
    </r>
    <r>
      <rPr>
        <sz val="10"/>
        <color theme="1"/>
        <rFont val="宋体"/>
        <charset val="134"/>
      </rPr>
      <t>多段数字位置指令</t>
    </r>
    <r>
      <rPr>
        <sz val="10"/>
        <color theme="1"/>
        <rFont val="Consolas"/>
        <charset val="134"/>
      </rPr>
      <t>04</t>
    </r>
  </si>
  <si>
    <t>s64PosDigRef05</t>
  </si>
  <si>
    <r>
      <rPr>
        <sz val="10"/>
        <color theme="1"/>
        <rFont val="宋体"/>
        <charset val="134"/>
      </rPr>
      <t>用户层</t>
    </r>
    <r>
      <rPr>
        <sz val="10"/>
        <color theme="1"/>
        <rFont val="Consolas"/>
        <charset val="134"/>
      </rPr>
      <t>.</t>
    </r>
    <r>
      <rPr>
        <sz val="10"/>
        <color theme="1"/>
        <rFont val="宋体"/>
        <charset val="134"/>
      </rPr>
      <t>多段数字位置指令</t>
    </r>
    <r>
      <rPr>
        <sz val="10"/>
        <color theme="1"/>
        <rFont val="Consolas"/>
        <charset val="134"/>
      </rPr>
      <t>05</t>
    </r>
  </si>
  <si>
    <t>s64PosDigRef06</t>
  </si>
  <si>
    <r>
      <rPr>
        <sz val="10"/>
        <color theme="1"/>
        <rFont val="宋体"/>
        <charset val="134"/>
      </rPr>
      <t>用户层</t>
    </r>
    <r>
      <rPr>
        <sz val="10"/>
        <color theme="1"/>
        <rFont val="Consolas"/>
        <charset val="134"/>
      </rPr>
      <t>.</t>
    </r>
    <r>
      <rPr>
        <sz val="10"/>
        <color theme="1"/>
        <rFont val="宋体"/>
        <charset val="134"/>
      </rPr>
      <t>多段数字位置指令</t>
    </r>
    <r>
      <rPr>
        <sz val="10"/>
        <color theme="1"/>
        <rFont val="Consolas"/>
        <charset val="134"/>
      </rPr>
      <t>06</t>
    </r>
  </si>
  <si>
    <t>s64PosDigRef07</t>
  </si>
  <si>
    <r>
      <rPr>
        <sz val="10"/>
        <color theme="1"/>
        <rFont val="宋体"/>
        <charset val="134"/>
      </rPr>
      <t>用户层</t>
    </r>
    <r>
      <rPr>
        <sz val="10"/>
        <color theme="1"/>
        <rFont val="Consolas"/>
        <charset val="134"/>
      </rPr>
      <t>.</t>
    </r>
    <r>
      <rPr>
        <sz val="10"/>
        <color theme="1"/>
        <rFont val="宋体"/>
        <charset val="134"/>
      </rPr>
      <t>多段数字位置指令</t>
    </r>
    <r>
      <rPr>
        <sz val="10"/>
        <color theme="1"/>
        <rFont val="Consolas"/>
        <charset val="134"/>
      </rPr>
      <t>07</t>
    </r>
  </si>
  <si>
    <t>s64PosDigRef08</t>
  </si>
  <si>
    <r>
      <rPr>
        <sz val="10"/>
        <color theme="1"/>
        <rFont val="宋体"/>
        <charset val="134"/>
      </rPr>
      <t>用户层</t>
    </r>
    <r>
      <rPr>
        <sz val="10"/>
        <color theme="1"/>
        <rFont val="Consolas"/>
        <charset val="134"/>
      </rPr>
      <t>.</t>
    </r>
    <r>
      <rPr>
        <sz val="10"/>
        <color theme="1"/>
        <rFont val="宋体"/>
        <charset val="134"/>
      </rPr>
      <t>多段数字位置指令</t>
    </r>
    <r>
      <rPr>
        <sz val="10"/>
        <color theme="1"/>
        <rFont val="Consolas"/>
        <charset val="134"/>
      </rPr>
      <t>08</t>
    </r>
  </si>
  <si>
    <t>s64PosDigRef09</t>
  </si>
  <si>
    <r>
      <rPr>
        <sz val="10"/>
        <color theme="1"/>
        <rFont val="宋体"/>
        <charset val="134"/>
      </rPr>
      <t>用户层</t>
    </r>
    <r>
      <rPr>
        <sz val="10"/>
        <color theme="1"/>
        <rFont val="Consolas"/>
        <charset val="134"/>
      </rPr>
      <t>.</t>
    </r>
    <r>
      <rPr>
        <sz val="10"/>
        <color theme="1"/>
        <rFont val="宋体"/>
        <charset val="134"/>
      </rPr>
      <t>多段数字位置指令</t>
    </r>
    <r>
      <rPr>
        <sz val="10"/>
        <color theme="1"/>
        <rFont val="Consolas"/>
        <charset val="134"/>
      </rPr>
      <t>09</t>
    </r>
  </si>
  <si>
    <t>s64PosDigRef10</t>
  </si>
  <si>
    <r>
      <rPr>
        <sz val="10"/>
        <color theme="1"/>
        <rFont val="宋体"/>
        <charset val="134"/>
      </rPr>
      <t>用户层</t>
    </r>
    <r>
      <rPr>
        <sz val="10"/>
        <color theme="1"/>
        <rFont val="Consolas"/>
        <charset val="134"/>
      </rPr>
      <t>.</t>
    </r>
    <r>
      <rPr>
        <sz val="10"/>
        <color theme="1"/>
        <rFont val="宋体"/>
        <charset val="134"/>
      </rPr>
      <t>多段数字位置指令</t>
    </r>
    <r>
      <rPr>
        <sz val="10"/>
        <color theme="1"/>
        <rFont val="Consolas"/>
        <charset val="134"/>
      </rPr>
      <t>10</t>
    </r>
  </si>
  <si>
    <t>s64PosDigRef11</t>
  </si>
  <si>
    <r>
      <rPr>
        <sz val="10"/>
        <color theme="1"/>
        <rFont val="宋体"/>
        <charset val="134"/>
      </rPr>
      <t>用户层</t>
    </r>
    <r>
      <rPr>
        <sz val="10"/>
        <color theme="1"/>
        <rFont val="Consolas"/>
        <charset val="134"/>
      </rPr>
      <t>.</t>
    </r>
    <r>
      <rPr>
        <sz val="10"/>
        <color theme="1"/>
        <rFont val="宋体"/>
        <charset val="134"/>
      </rPr>
      <t>多段数字位置指令</t>
    </r>
    <r>
      <rPr>
        <sz val="10"/>
        <color theme="1"/>
        <rFont val="Consolas"/>
        <charset val="134"/>
      </rPr>
      <t>11</t>
    </r>
  </si>
  <si>
    <t>s64PosDigRef12</t>
  </si>
  <si>
    <r>
      <rPr>
        <sz val="10"/>
        <color theme="1"/>
        <rFont val="宋体"/>
        <charset val="134"/>
      </rPr>
      <t>用户层</t>
    </r>
    <r>
      <rPr>
        <sz val="10"/>
        <color theme="1"/>
        <rFont val="Consolas"/>
        <charset val="134"/>
      </rPr>
      <t>.</t>
    </r>
    <r>
      <rPr>
        <sz val="10"/>
        <color theme="1"/>
        <rFont val="宋体"/>
        <charset val="134"/>
      </rPr>
      <t>多段数字位置指令</t>
    </r>
    <r>
      <rPr>
        <sz val="10"/>
        <color theme="1"/>
        <rFont val="Consolas"/>
        <charset val="134"/>
      </rPr>
      <t>12</t>
    </r>
  </si>
  <si>
    <t>s64PosDigRef13</t>
  </si>
  <si>
    <r>
      <rPr>
        <sz val="10"/>
        <color theme="1"/>
        <rFont val="宋体"/>
        <charset val="134"/>
      </rPr>
      <t>用户层</t>
    </r>
    <r>
      <rPr>
        <sz val="10"/>
        <color theme="1"/>
        <rFont val="Consolas"/>
        <charset val="134"/>
      </rPr>
      <t>.</t>
    </r>
    <r>
      <rPr>
        <sz val="10"/>
        <color theme="1"/>
        <rFont val="宋体"/>
        <charset val="134"/>
      </rPr>
      <t>多段数字位置指令</t>
    </r>
    <r>
      <rPr>
        <sz val="10"/>
        <color theme="1"/>
        <rFont val="Consolas"/>
        <charset val="134"/>
      </rPr>
      <t>13</t>
    </r>
  </si>
  <si>
    <t>s64PosDigRef14</t>
  </si>
  <si>
    <r>
      <rPr>
        <sz val="10"/>
        <color theme="1"/>
        <rFont val="宋体"/>
        <charset val="134"/>
      </rPr>
      <t>用户层</t>
    </r>
    <r>
      <rPr>
        <sz val="10"/>
        <color theme="1"/>
        <rFont val="Consolas"/>
        <charset val="134"/>
      </rPr>
      <t>.</t>
    </r>
    <r>
      <rPr>
        <sz val="10"/>
        <color theme="1"/>
        <rFont val="宋体"/>
        <charset val="134"/>
      </rPr>
      <t>多段数字位置指令</t>
    </r>
    <r>
      <rPr>
        <sz val="10"/>
        <color theme="1"/>
        <rFont val="Consolas"/>
        <charset val="134"/>
      </rPr>
      <t>14</t>
    </r>
  </si>
  <si>
    <t>s64PosDigRef15</t>
  </si>
  <si>
    <r>
      <rPr>
        <sz val="10"/>
        <color theme="1"/>
        <rFont val="宋体"/>
        <charset val="134"/>
      </rPr>
      <t>用户层</t>
    </r>
    <r>
      <rPr>
        <sz val="10"/>
        <color theme="1"/>
        <rFont val="Consolas"/>
        <charset val="134"/>
      </rPr>
      <t>.</t>
    </r>
    <r>
      <rPr>
        <sz val="10"/>
        <color theme="1"/>
        <rFont val="宋体"/>
        <charset val="134"/>
      </rPr>
      <t>多段数字位置指令</t>
    </r>
    <r>
      <rPr>
        <sz val="10"/>
        <color theme="1"/>
        <rFont val="Consolas"/>
        <charset val="134"/>
      </rPr>
      <t>15</t>
    </r>
  </si>
  <si>
    <t>s64PosDigRef16</t>
  </si>
  <si>
    <r>
      <rPr>
        <sz val="10"/>
        <color theme="1"/>
        <rFont val="宋体"/>
        <charset val="134"/>
      </rPr>
      <t>用户层</t>
    </r>
    <r>
      <rPr>
        <sz val="10"/>
        <color theme="1"/>
        <rFont val="Consolas"/>
        <charset val="134"/>
      </rPr>
      <t>.</t>
    </r>
    <r>
      <rPr>
        <sz val="10"/>
        <color theme="1"/>
        <rFont val="宋体"/>
        <charset val="134"/>
      </rPr>
      <t>多段数字位置指令</t>
    </r>
    <r>
      <rPr>
        <sz val="10"/>
        <color theme="1"/>
        <rFont val="Consolas"/>
        <charset val="134"/>
      </rPr>
      <t>16</t>
    </r>
  </si>
  <si>
    <t>SpdCtrl</t>
  </si>
  <si>
    <r>
      <rPr>
        <sz val="10"/>
        <color theme="1"/>
        <rFont val="宋体"/>
        <charset val="134"/>
      </rPr>
      <t>速度控制</t>
    </r>
  </si>
  <si>
    <t>eSpdRefSrc</t>
  </si>
  <si>
    <r>
      <rPr>
        <sz val="10"/>
        <color theme="1"/>
        <rFont val="宋体"/>
        <charset val="134"/>
      </rPr>
      <t>用户层</t>
    </r>
    <r>
      <rPr>
        <sz val="10"/>
        <color theme="1"/>
        <rFont val="Consolas"/>
        <charset val="134"/>
      </rPr>
      <t>.</t>
    </r>
    <r>
      <rPr>
        <sz val="10"/>
        <color theme="1"/>
        <rFont val="宋体"/>
        <charset val="134"/>
      </rPr>
      <t>速度指令来源</t>
    </r>
  </si>
  <si>
    <t>s16SpdDigRef</t>
  </si>
  <si>
    <t>-6000</t>
  </si>
  <si>
    <t>6000</t>
  </si>
  <si>
    <r>
      <rPr>
        <sz val="10"/>
        <color theme="1"/>
        <rFont val="宋体"/>
        <charset val="134"/>
      </rPr>
      <t>用户层</t>
    </r>
    <r>
      <rPr>
        <sz val="10"/>
        <color theme="1"/>
        <rFont val="Consolas"/>
        <charset val="134"/>
      </rPr>
      <t>.</t>
    </r>
    <r>
      <rPr>
        <sz val="10"/>
        <color theme="1"/>
        <rFont val="宋体"/>
        <charset val="134"/>
      </rPr>
      <t>数字速度指令</t>
    </r>
  </si>
  <si>
    <t>eSpdPlanMode</t>
  </si>
  <si>
    <r>
      <rPr>
        <sz val="10"/>
        <color theme="1"/>
        <rFont val="宋体"/>
        <charset val="134"/>
      </rPr>
      <t>用户层</t>
    </r>
    <r>
      <rPr>
        <sz val="10"/>
        <color theme="1"/>
        <rFont val="Consolas"/>
        <charset val="134"/>
      </rPr>
      <t>.</t>
    </r>
    <r>
      <rPr>
        <sz val="10"/>
        <color theme="1"/>
        <rFont val="宋体"/>
        <charset val="134"/>
      </rPr>
      <t>速度规划模式</t>
    </r>
  </si>
  <si>
    <t>u16JogSpdDigRef</t>
  </si>
  <si>
    <r>
      <rPr>
        <sz val="10"/>
        <color theme="1"/>
        <rFont val="宋体"/>
        <charset val="134"/>
      </rPr>
      <t>用户层</t>
    </r>
    <r>
      <rPr>
        <sz val="10"/>
        <color theme="1"/>
        <rFont val="Consolas"/>
        <charset val="134"/>
      </rPr>
      <t>.</t>
    </r>
    <r>
      <rPr>
        <sz val="10"/>
        <color theme="1"/>
        <rFont val="宋体"/>
        <charset val="134"/>
      </rPr>
      <t>点动速度指令</t>
    </r>
  </si>
  <si>
    <t>u16JogAccDecTime</t>
  </si>
  <si>
    <r>
      <rPr>
        <sz val="10"/>
        <color theme="1"/>
        <rFont val="宋体"/>
        <charset val="134"/>
      </rPr>
      <t>用户层</t>
    </r>
    <r>
      <rPr>
        <sz val="10"/>
        <color theme="1"/>
        <rFont val="Consolas"/>
        <charset val="134"/>
      </rPr>
      <t>.</t>
    </r>
    <r>
      <rPr>
        <sz val="10"/>
        <color theme="1"/>
        <rFont val="宋体"/>
        <charset val="134"/>
      </rPr>
      <t>点动加减速时间</t>
    </r>
  </si>
  <si>
    <t>eSpdLimSrc</t>
  </si>
  <si>
    <r>
      <rPr>
        <sz val="10"/>
        <color theme="1"/>
        <rFont val="宋体"/>
        <charset val="134"/>
      </rPr>
      <t>用户层</t>
    </r>
    <r>
      <rPr>
        <sz val="10"/>
        <color theme="1"/>
        <rFont val="Consolas"/>
        <charset val="134"/>
      </rPr>
      <t>.</t>
    </r>
    <r>
      <rPr>
        <sz val="10"/>
        <color theme="1"/>
        <rFont val="宋体"/>
        <charset val="134"/>
      </rPr>
      <t>速度限制来源</t>
    </r>
  </si>
  <si>
    <r>
      <rPr>
        <sz val="10"/>
        <color theme="1"/>
        <rFont val="Consolas"/>
        <charset val="134"/>
      </rPr>
      <t>0-</t>
    </r>
    <r>
      <rPr>
        <sz val="10"/>
        <color theme="1"/>
        <rFont val="宋体"/>
        <charset val="134"/>
      </rPr>
      <t>正反方向均为速度限制</t>
    </r>
    <r>
      <rPr>
        <sz val="10"/>
        <color theme="1"/>
        <rFont val="Consolas"/>
        <charset val="134"/>
      </rPr>
      <t>0</t>
    </r>
    <r>
      <rPr>
        <sz val="10"/>
        <color theme="1"/>
        <rFont val="宋体"/>
        <charset val="134"/>
      </rPr>
      <t>；</t>
    </r>
    <r>
      <rPr>
        <sz val="10"/>
        <color theme="1"/>
        <rFont val="Consolas"/>
        <charset val="134"/>
      </rPr>
      <t xml:space="preserve">
1-</t>
    </r>
    <r>
      <rPr>
        <sz val="10"/>
        <color theme="1"/>
        <rFont val="宋体"/>
        <charset val="134"/>
      </rPr>
      <t>正向为速度限制</t>
    </r>
    <r>
      <rPr>
        <sz val="10"/>
        <color theme="1"/>
        <rFont val="Consolas"/>
        <charset val="134"/>
      </rPr>
      <t>0</t>
    </r>
    <r>
      <rPr>
        <sz val="10"/>
        <color theme="1"/>
        <rFont val="宋体"/>
        <charset val="134"/>
      </rPr>
      <t>，反向为速度限制</t>
    </r>
    <r>
      <rPr>
        <sz val="10"/>
        <color theme="1"/>
        <rFont val="Consolas"/>
        <charset val="134"/>
      </rPr>
      <t>1</t>
    </r>
    <r>
      <rPr>
        <sz val="10"/>
        <color theme="1"/>
        <rFont val="宋体"/>
        <charset val="134"/>
      </rPr>
      <t>；</t>
    </r>
    <r>
      <rPr>
        <sz val="10"/>
        <color theme="1"/>
        <rFont val="Consolas"/>
        <charset val="134"/>
      </rPr>
      <t xml:space="preserve">
2-</t>
    </r>
    <r>
      <rPr>
        <sz val="10"/>
        <color theme="1"/>
        <rFont val="宋体"/>
        <charset val="134"/>
      </rPr>
      <t>模拟量</t>
    </r>
    <r>
      <rPr>
        <sz val="10"/>
        <color theme="1"/>
        <rFont val="Consolas"/>
        <charset val="134"/>
      </rPr>
      <t>AI0</t>
    </r>
    <r>
      <rPr>
        <sz val="10"/>
        <color theme="1"/>
        <rFont val="宋体"/>
        <charset val="134"/>
      </rPr>
      <t>绝对值作为正反方向速度限制；</t>
    </r>
  </si>
  <si>
    <t>u16SpdLimFwd</t>
  </si>
  <si>
    <t>3000</t>
  </si>
  <si>
    <r>
      <rPr>
        <sz val="10"/>
        <color theme="1"/>
        <rFont val="宋体"/>
        <charset val="134"/>
      </rPr>
      <t>用户层</t>
    </r>
    <r>
      <rPr>
        <sz val="10"/>
        <color theme="1"/>
        <rFont val="Consolas"/>
        <charset val="134"/>
      </rPr>
      <t>.</t>
    </r>
    <r>
      <rPr>
        <sz val="10"/>
        <color theme="1"/>
        <rFont val="宋体"/>
        <charset val="134"/>
      </rPr>
      <t>速度限制</t>
    </r>
    <r>
      <rPr>
        <sz val="10"/>
        <color theme="1"/>
        <rFont val="Consolas"/>
        <charset val="134"/>
      </rPr>
      <t>0</t>
    </r>
  </si>
  <si>
    <t>u16SpdLimRev</t>
  </si>
  <si>
    <r>
      <rPr>
        <sz val="10"/>
        <color theme="1"/>
        <rFont val="宋体"/>
        <charset val="134"/>
      </rPr>
      <t>用户层</t>
    </r>
    <r>
      <rPr>
        <sz val="10"/>
        <color theme="1"/>
        <rFont val="Consolas"/>
        <charset val="134"/>
      </rPr>
      <t>.</t>
    </r>
    <r>
      <rPr>
        <sz val="10"/>
        <color theme="1"/>
        <rFont val="宋体"/>
        <charset val="134"/>
      </rPr>
      <t>速度限制</t>
    </r>
    <r>
      <rPr>
        <sz val="10"/>
        <color theme="1"/>
        <rFont val="Consolas"/>
        <charset val="134"/>
      </rPr>
      <t>1</t>
    </r>
  </si>
  <si>
    <t>eSpdLimSts</t>
  </si>
  <si>
    <r>
      <rPr>
        <sz val="10"/>
        <color theme="1"/>
        <rFont val="宋体"/>
        <charset val="134"/>
      </rPr>
      <t>速度限制状态</t>
    </r>
  </si>
  <si>
    <r>
      <rPr>
        <sz val="10"/>
        <color theme="1"/>
        <rFont val="Consolas"/>
        <charset val="134"/>
      </rPr>
      <t>0-</t>
    </r>
    <r>
      <rPr>
        <sz val="10"/>
        <color theme="1"/>
        <rFont val="宋体"/>
        <charset val="134"/>
      </rPr>
      <t>未触发速度限制；</t>
    </r>
    <r>
      <rPr>
        <sz val="10"/>
        <color theme="1"/>
        <rFont val="Consolas"/>
        <charset val="134"/>
      </rPr>
      <t xml:space="preserve">
1-</t>
    </r>
    <r>
      <rPr>
        <sz val="10"/>
        <color theme="1"/>
        <rFont val="宋体"/>
        <charset val="134"/>
      </rPr>
      <t>触发正向速度限制；</t>
    </r>
    <r>
      <rPr>
        <sz val="10"/>
        <color theme="1"/>
        <rFont val="Consolas"/>
        <charset val="134"/>
      </rPr>
      <t xml:space="preserve">
2-</t>
    </r>
    <r>
      <rPr>
        <sz val="10"/>
        <color theme="1"/>
        <rFont val="宋体"/>
        <charset val="134"/>
      </rPr>
      <t>触发反向速度限制；</t>
    </r>
  </si>
  <si>
    <t>u16AiSpdCoeff0</t>
  </si>
  <si>
    <t>u16AiSpdCoeff1</t>
  </si>
  <si>
    <t>u16AiSpdCoeff2</t>
  </si>
  <si>
    <t>u16AccTime0</t>
  </si>
  <si>
    <r>
      <rPr>
        <sz val="10"/>
        <color theme="1"/>
        <rFont val="宋体"/>
        <charset val="134"/>
      </rPr>
      <t>用户层</t>
    </r>
    <r>
      <rPr>
        <sz val="10"/>
        <color theme="1"/>
        <rFont val="Consolas"/>
        <charset val="134"/>
      </rPr>
      <t>.</t>
    </r>
    <r>
      <rPr>
        <sz val="10"/>
        <color theme="1"/>
        <rFont val="宋体"/>
        <charset val="134"/>
      </rPr>
      <t>加速时间</t>
    </r>
    <r>
      <rPr>
        <sz val="10"/>
        <color theme="1"/>
        <rFont val="Consolas"/>
        <charset val="134"/>
      </rPr>
      <t>0</t>
    </r>
  </si>
  <si>
    <r>
      <rPr>
        <sz val="10"/>
        <color theme="1"/>
        <rFont val="宋体"/>
        <charset val="134"/>
      </rPr>
      <t>加速至</t>
    </r>
    <r>
      <rPr>
        <sz val="10"/>
        <color theme="1"/>
        <rFont val="Consolas"/>
        <charset val="134"/>
      </rPr>
      <t>1000rpm</t>
    </r>
    <r>
      <rPr>
        <sz val="10"/>
        <color theme="1"/>
        <rFont val="宋体"/>
        <charset val="134"/>
      </rPr>
      <t>所需时间</t>
    </r>
  </si>
  <si>
    <t>u16DecTime0</t>
  </si>
  <si>
    <r>
      <rPr>
        <sz val="10"/>
        <color theme="1"/>
        <rFont val="宋体"/>
        <charset val="134"/>
      </rPr>
      <t>用户层</t>
    </r>
    <r>
      <rPr>
        <sz val="10"/>
        <color theme="1"/>
        <rFont val="Consolas"/>
        <charset val="134"/>
      </rPr>
      <t>.</t>
    </r>
    <r>
      <rPr>
        <sz val="10"/>
        <color theme="1"/>
        <rFont val="宋体"/>
        <charset val="134"/>
      </rPr>
      <t>减速时间</t>
    </r>
    <r>
      <rPr>
        <sz val="10"/>
        <color theme="1"/>
        <rFont val="Consolas"/>
        <charset val="134"/>
      </rPr>
      <t>0</t>
    </r>
  </si>
  <si>
    <r>
      <rPr>
        <sz val="10"/>
        <color theme="1"/>
        <rFont val="宋体"/>
        <charset val="134"/>
      </rPr>
      <t>减速至</t>
    </r>
    <r>
      <rPr>
        <sz val="10"/>
        <color theme="1"/>
        <rFont val="Consolas"/>
        <charset val="134"/>
      </rPr>
      <t>1000rpm</t>
    </r>
    <r>
      <rPr>
        <sz val="10"/>
        <color theme="1"/>
        <rFont val="宋体"/>
        <charset val="134"/>
      </rPr>
      <t>所需时间</t>
    </r>
  </si>
  <si>
    <t>u16AccTime1</t>
  </si>
  <si>
    <r>
      <rPr>
        <sz val="10"/>
        <color theme="1"/>
        <rFont val="宋体"/>
        <charset val="134"/>
      </rPr>
      <t>用户层</t>
    </r>
    <r>
      <rPr>
        <sz val="10"/>
        <color theme="1"/>
        <rFont val="Consolas"/>
        <charset val="134"/>
      </rPr>
      <t>.</t>
    </r>
    <r>
      <rPr>
        <sz val="10"/>
        <color theme="1"/>
        <rFont val="宋体"/>
        <charset val="134"/>
      </rPr>
      <t>加速时间</t>
    </r>
    <r>
      <rPr>
        <sz val="10"/>
        <color theme="1"/>
        <rFont val="Consolas"/>
        <charset val="134"/>
      </rPr>
      <t>1</t>
    </r>
  </si>
  <si>
    <t>u16DecTime1</t>
  </si>
  <si>
    <r>
      <rPr>
        <sz val="10"/>
        <color theme="1"/>
        <rFont val="宋体"/>
        <charset val="134"/>
      </rPr>
      <t>用户层</t>
    </r>
    <r>
      <rPr>
        <sz val="10"/>
        <color theme="1"/>
        <rFont val="Consolas"/>
        <charset val="134"/>
      </rPr>
      <t>.</t>
    </r>
    <r>
      <rPr>
        <sz val="10"/>
        <color theme="1"/>
        <rFont val="宋体"/>
        <charset val="134"/>
      </rPr>
      <t>减速时间</t>
    </r>
    <r>
      <rPr>
        <sz val="10"/>
        <color theme="1"/>
        <rFont val="Consolas"/>
        <charset val="134"/>
      </rPr>
      <t>1</t>
    </r>
  </si>
  <si>
    <t>u16SpdMulRefSel</t>
  </si>
  <si>
    <r>
      <rPr>
        <sz val="10"/>
        <color theme="1"/>
        <rFont val="宋体"/>
        <charset val="134"/>
      </rPr>
      <t>用户层</t>
    </r>
    <r>
      <rPr>
        <sz val="10"/>
        <color theme="1"/>
        <rFont val="Consolas"/>
        <charset val="134"/>
      </rPr>
      <t>.</t>
    </r>
    <r>
      <rPr>
        <sz val="10"/>
        <color theme="1"/>
        <rFont val="宋体"/>
        <charset val="134"/>
      </rPr>
      <t>多段速度选择</t>
    </r>
  </si>
  <si>
    <t>s16SpdDigRef01</t>
  </si>
  <si>
    <r>
      <rPr>
        <sz val="10"/>
        <color theme="1"/>
        <rFont val="宋体"/>
        <charset val="134"/>
      </rPr>
      <t>用户层</t>
    </r>
    <r>
      <rPr>
        <sz val="10"/>
        <color theme="1"/>
        <rFont val="Consolas"/>
        <charset val="134"/>
      </rPr>
      <t>.</t>
    </r>
    <r>
      <rPr>
        <sz val="10"/>
        <color theme="1"/>
        <rFont val="宋体"/>
        <charset val="134"/>
      </rPr>
      <t>多段数字速度指令</t>
    </r>
    <r>
      <rPr>
        <sz val="10"/>
        <color theme="1"/>
        <rFont val="Consolas"/>
        <charset val="134"/>
      </rPr>
      <t>01</t>
    </r>
  </si>
  <si>
    <t>s16SpdDigRef02</t>
  </si>
  <si>
    <r>
      <rPr>
        <sz val="10"/>
        <color theme="1"/>
        <rFont val="宋体"/>
        <charset val="134"/>
      </rPr>
      <t>用户层</t>
    </r>
    <r>
      <rPr>
        <sz val="10"/>
        <color theme="1"/>
        <rFont val="Consolas"/>
        <charset val="134"/>
      </rPr>
      <t>.</t>
    </r>
    <r>
      <rPr>
        <sz val="10"/>
        <color theme="1"/>
        <rFont val="宋体"/>
        <charset val="134"/>
      </rPr>
      <t>多段数字速度指令</t>
    </r>
    <r>
      <rPr>
        <sz val="10"/>
        <color theme="1"/>
        <rFont val="Consolas"/>
        <charset val="134"/>
      </rPr>
      <t>02</t>
    </r>
  </si>
  <si>
    <t>s16SpdDigRef03</t>
  </si>
  <si>
    <r>
      <rPr>
        <sz val="10"/>
        <color theme="1"/>
        <rFont val="宋体"/>
        <charset val="134"/>
      </rPr>
      <t>用户层</t>
    </r>
    <r>
      <rPr>
        <sz val="10"/>
        <color theme="1"/>
        <rFont val="Consolas"/>
        <charset val="134"/>
      </rPr>
      <t>.</t>
    </r>
    <r>
      <rPr>
        <sz val="10"/>
        <color theme="1"/>
        <rFont val="宋体"/>
        <charset val="134"/>
      </rPr>
      <t>多段数字速度指令</t>
    </r>
    <r>
      <rPr>
        <sz val="10"/>
        <color theme="1"/>
        <rFont val="Consolas"/>
        <charset val="134"/>
      </rPr>
      <t>03</t>
    </r>
  </si>
  <si>
    <t>s16SpdDigRef04</t>
  </si>
  <si>
    <r>
      <rPr>
        <sz val="10"/>
        <color theme="1"/>
        <rFont val="宋体"/>
        <charset val="134"/>
      </rPr>
      <t>用户层</t>
    </r>
    <r>
      <rPr>
        <sz val="10"/>
        <color theme="1"/>
        <rFont val="Consolas"/>
        <charset val="134"/>
      </rPr>
      <t>.</t>
    </r>
    <r>
      <rPr>
        <sz val="10"/>
        <color theme="1"/>
        <rFont val="宋体"/>
        <charset val="134"/>
      </rPr>
      <t>多段数字速度指令</t>
    </r>
    <r>
      <rPr>
        <sz val="10"/>
        <color theme="1"/>
        <rFont val="Consolas"/>
        <charset val="134"/>
      </rPr>
      <t>04</t>
    </r>
  </si>
  <si>
    <t>s16SpdDigRef05</t>
  </si>
  <si>
    <r>
      <rPr>
        <sz val="10"/>
        <color theme="1"/>
        <rFont val="宋体"/>
        <charset val="134"/>
      </rPr>
      <t>用户层</t>
    </r>
    <r>
      <rPr>
        <sz val="10"/>
        <color theme="1"/>
        <rFont val="Consolas"/>
        <charset val="134"/>
      </rPr>
      <t>.</t>
    </r>
    <r>
      <rPr>
        <sz val="10"/>
        <color theme="1"/>
        <rFont val="宋体"/>
        <charset val="134"/>
      </rPr>
      <t>多段数字速度指令</t>
    </r>
    <r>
      <rPr>
        <sz val="10"/>
        <color theme="1"/>
        <rFont val="Consolas"/>
        <charset val="134"/>
      </rPr>
      <t>05</t>
    </r>
  </si>
  <si>
    <t>s16SpdDigRef06</t>
  </si>
  <si>
    <r>
      <rPr>
        <sz val="10"/>
        <color theme="1"/>
        <rFont val="宋体"/>
        <charset val="134"/>
      </rPr>
      <t>用户层</t>
    </r>
    <r>
      <rPr>
        <sz val="10"/>
        <color theme="1"/>
        <rFont val="Consolas"/>
        <charset val="134"/>
      </rPr>
      <t>.</t>
    </r>
    <r>
      <rPr>
        <sz val="10"/>
        <color theme="1"/>
        <rFont val="宋体"/>
        <charset val="134"/>
      </rPr>
      <t>多段数字速度指令</t>
    </r>
    <r>
      <rPr>
        <sz val="10"/>
        <color theme="1"/>
        <rFont val="Consolas"/>
        <charset val="134"/>
      </rPr>
      <t>06</t>
    </r>
  </si>
  <si>
    <t>s16SpdDigRef07</t>
  </si>
  <si>
    <r>
      <rPr>
        <sz val="10"/>
        <color theme="1"/>
        <rFont val="宋体"/>
        <charset val="134"/>
      </rPr>
      <t>用户层</t>
    </r>
    <r>
      <rPr>
        <sz val="10"/>
        <color theme="1"/>
        <rFont val="Consolas"/>
        <charset val="134"/>
      </rPr>
      <t>.</t>
    </r>
    <r>
      <rPr>
        <sz val="10"/>
        <color theme="1"/>
        <rFont val="宋体"/>
        <charset val="134"/>
      </rPr>
      <t>多段数字速度指令</t>
    </r>
    <r>
      <rPr>
        <sz val="10"/>
        <color theme="1"/>
        <rFont val="Consolas"/>
        <charset val="134"/>
      </rPr>
      <t>07</t>
    </r>
  </si>
  <si>
    <t>s16SpdDigRef08</t>
  </si>
  <si>
    <r>
      <rPr>
        <sz val="10"/>
        <color theme="1"/>
        <rFont val="宋体"/>
        <charset val="134"/>
      </rPr>
      <t>用户层</t>
    </r>
    <r>
      <rPr>
        <sz val="10"/>
        <color theme="1"/>
        <rFont val="Consolas"/>
        <charset val="134"/>
      </rPr>
      <t>.</t>
    </r>
    <r>
      <rPr>
        <sz val="10"/>
        <color theme="1"/>
        <rFont val="宋体"/>
        <charset val="134"/>
      </rPr>
      <t>多段数字速度指令</t>
    </r>
    <r>
      <rPr>
        <sz val="10"/>
        <color theme="1"/>
        <rFont val="Consolas"/>
        <charset val="134"/>
      </rPr>
      <t>08</t>
    </r>
  </si>
  <si>
    <t>s16SpdDigRef09</t>
  </si>
  <si>
    <r>
      <rPr>
        <sz val="10"/>
        <color theme="1"/>
        <rFont val="宋体"/>
        <charset val="134"/>
      </rPr>
      <t>用户层</t>
    </r>
    <r>
      <rPr>
        <sz val="10"/>
        <color theme="1"/>
        <rFont val="Consolas"/>
        <charset val="134"/>
      </rPr>
      <t>.</t>
    </r>
    <r>
      <rPr>
        <sz val="10"/>
        <color theme="1"/>
        <rFont val="宋体"/>
        <charset val="134"/>
      </rPr>
      <t>多段数字速度指令</t>
    </r>
    <r>
      <rPr>
        <sz val="10"/>
        <color theme="1"/>
        <rFont val="Consolas"/>
        <charset val="134"/>
      </rPr>
      <t>09</t>
    </r>
  </si>
  <si>
    <t>s16SpdDigRef10</t>
  </si>
  <si>
    <r>
      <rPr>
        <sz val="10"/>
        <color theme="1"/>
        <rFont val="宋体"/>
        <charset val="134"/>
      </rPr>
      <t>用户层</t>
    </r>
    <r>
      <rPr>
        <sz val="10"/>
        <color theme="1"/>
        <rFont val="Consolas"/>
        <charset val="134"/>
      </rPr>
      <t>.</t>
    </r>
    <r>
      <rPr>
        <sz val="10"/>
        <color theme="1"/>
        <rFont val="宋体"/>
        <charset val="134"/>
      </rPr>
      <t>多段数字速度指令</t>
    </r>
    <r>
      <rPr>
        <sz val="10"/>
        <color theme="1"/>
        <rFont val="Consolas"/>
        <charset val="134"/>
      </rPr>
      <t>10</t>
    </r>
  </si>
  <si>
    <t>s16SpdDigRef11</t>
  </si>
  <si>
    <r>
      <rPr>
        <sz val="10"/>
        <color theme="1"/>
        <rFont val="宋体"/>
        <charset val="134"/>
      </rPr>
      <t>用户层</t>
    </r>
    <r>
      <rPr>
        <sz val="10"/>
        <color theme="1"/>
        <rFont val="Consolas"/>
        <charset val="134"/>
      </rPr>
      <t>.</t>
    </r>
    <r>
      <rPr>
        <sz val="10"/>
        <color theme="1"/>
        <rFont val="宋体"/>
        <charset val="134"/>
      </rPr>
      <t>多段数字速度指令</t>
    </r>
    <r>
      <rPr>
        <sz val="10"/>
        <color theme="1"/>
        <rFont val="Consolas"/>
        <charset val="134"/>
      </rPr>
      <t>11</t>
    </r>
  </si>
  <si>
    <t>s16SpdDigRef12</t>
  </si>
  <si>
    <r>
      <rPr>
        <sz val="10"/>
        <color theme="1"/>
        <rFont val="宋体"/>
        <charset val="134"/>
      </rPr>
      <t>用户层</t>
    </r>
    <r>
      <rPr>
        <sz val="10"/>
        <color theme="1"/>
        <rFont val="Consolas"/>
        <charset val="134"/>
      </rPr>
      <t>.</t>
    </r>
    <r>
      <rPr>
        <sz val="10"/>
        <color theme="1"/>
        <rFont val="宋体"/>
        <charset val="134"/>
      </rPr>
      <t>多段数字速度指令</t>
    </r>
    <r>
      <rPr>
        <sz val="10"/>
        <color theme="1"/>
        <rFont val="Consolas"/>
        <charset val="134"/>
      </rPr>
      <t>12</t>
    </r>
  </si>
  <si>
    <t>s16SpdDigRef13</t>
  </si>
  <si>
    <r>
      <rPr>
        <sz val="10"/>
        <color theme="1"/>
        <rFont val="宋体"/>
        <charset val="134"/>
      </rPr>
      <t>用户层</t>
    </r>
    <r>
      <rPr>
        <sz val="10"/>
        <color theme="1"/>
        <rFont val="Consolas"/>
        <charset val="134"/>
      </rPr>
      <t>.</t>
    </r>
    <r>
      <rPr>
        <sz val="10"/>
        <color theme="1"/>
        <rFont val="宋体"/>
        <charset val="134"/>
      </rPr>
      <t>多段数字速度指令</t>
    </r>
    <r>
      <rPr>
        <sz val="10"/>
        <color theme="1"/>
        <rFont val="Consolas"/>
        <charset val="134"/>
      </rPr>
      <t>13</t>
    </r>
  </si>
  <si>
    <t>s16SpdDigRef14</t>
  </si>
  <si>
    <r>
      <rPr>
        <sz val="10"/>
        <color theme="1"/>
        <rFont val="宋体"/>
        <charset val="134"/>
      </rPr>
      <t>用户层</t>
    </r>
    <r>
      <rPr>
        <sz val="10"/>
        <color theme="1"/>
        <rFont val="Consolas"/>
        <charset val="134"/>
      </rPr>
      <t>.</t>
    </r>
    <r>
      <rPr>
        <sz val="10"/>
        <color theme="1"/>
        <rFont val="宋体"/>
        <charset val="134"/>
      </rPr>
      <t>多段数字速度指令</t>
    </r>
    <r>
      <rPr>
        <sz val="10"/>
        <color theme="1"/>
        <rFont val="Consolas"/>
        <charset val="134"/>
      </rPr>
      <t>14</t>
    </r>
  </si>
  <si>
    <t>s16SpdDigRef15</t>
  </si>
  <si>
    <r>
      <rPr>
        <sz val="10"/>
        <color theme="1"/>
        <rFont val="宋体"/>
        <charset val="134"/>
      </rPr>
      <t>用户层</t>
    </r>
    <r>
      <rPr>
        <sz val="10"/>
        <color theme="1"/>
        <rFont val="Consolas"/>
        <charset val="134"/>
      </rPr>
      <t>.</t>
    </r>
    <r>
      <rPr>
        <sz val="10"/>
        <color theme="1"/>
        <rFont val="宋体"/>
        <charset val="134"/>
      </rPr>
      <t>多段数字速度指令</t>
    </r>
    <r>
      <rPr>
        <sz val="10"/>
        <color theme="1"/>
        <rFont val="Consolas"/>
        <charset val="134"/>
      </rPr>
      <t>15</t>
    </r>
  </si>
  <si>
    <t>s16SpdDigRef16</t>
  </si>
  <si>
    <r>
      <rPr>
        <sz val="10"/>
        <color theme="1"/>
        <rFont val="宋体"/>
        <charset val="134"/>
      </rPr>
      <t>用户层</t>
    </r>
    <r>
      <rPr>
        <sz val="10"/>
        <color theme="1"/>
        <rFont val="Consolas"/>
        <charset val="134"/>
      </rPr>
      <t>.</t>
    </r>
    <r>
      <rPr>
        <sz val="10"/>
        <color theme="1"/>
        <rFont val="宋体"/>
        <charset val="134"/>
      </rPr>
      <t>多段数字速度指令</t>
    </r>
    <r>
      <rPr>
        <sz val="10"/>
        <color theme="1"/>
        <rFont val="Consolas"/>
        <charset val="134"/>
      </rPr>
      <t>16</t>
    </r>
  </si>
  <si>
    <t>u16HomingSpd</t>
  </si>
  <si>
    <r>
      <rPr>
        <sz val="10"/>
        <color theme="1"/>
        <rFont val="宋体"/>
        <charset val="134"/>
      </rPr>
      <t>用户层</t>
    </r>
    <r>
      <rPr>
        <sz val="10"/>
        <color theme="1"/>
        <rFont val="Consolas"/>
        <charset val="134"/>
      </rPr>
      <t>.</t>
    </r>
    <r>
      <rPr>
        <sz val="10"/>
        <color theme="1"/>
        <rFont val="宋体"/>
        <charset val="134"/>
      </rPr>
      <t>回原速度</t>
    </r>
  </si>
  <si>
    <t>TrqCtrl</t>
  </si>
  <si>
    <r>
      <rPr>
        <sz val="10"/>
        <color theme="1"/>
        <rFont val="宋体"/>
        <charset val="134"/>
      </rPr>
      <t>转矩控制</t>
    </r>
  </si>
  <si>
    <t>eTrqRefSrc</t>
  </si>
  <si>
    <r>
      <rPr>
        <sz val="10"/>
        <color theme="1"/>
        <rFont val="宋体"/>
        <charset val="134"/>
      </rPr>
      <t>用户层</t>
    </r>
    <r>
      <rPr>
        <sz val="10"/>
        <color theme="1"/>
        <rFont val="Consolas"/>
        <charset val="134"/>
      </rPr>
      <t>.</t>
    </r>
    <r>
      <rPr>
        <sz val="10"/>
        <color theme="1"/>
        <rFont val="宋体"/>
        <charset val="134"/>
      </rPr>
      <t>转矩指令来源</t>
    </r>
  </si>
  <si>
    <r>
      <rPr>
        <sz val="10"/>
        <color theme="1"/>
        <rFont val="Consolas"/>
        <charset val="134"/>
      </rPr>
      <t>0-</t>
    </r>
    <r>
      <rPr>
        <sz val="10"/>
        <color theme="1"/>
        <rFont val="宋体"/>
        <charset val="134"/>
      </rPr>
      <t>数字指令</t>
    </r>
    <r>
      <rPr>
        <sz val="10"/>
        <color theme="1"/>
        <rFont val="Consolas"/>
        <charset val="134"/>
      </rPr>
      <t xml:space="preserve">
1-</t>
    </r>
    <r>
      <rPr>
        <sz val="10"/>
        <color theme="1"/>
        <rFont val="宋体"/>
        <charset val="134"/>
      </rPr>
      <t>多段数字指令</t>
    </r>
    <r>
      <rPr>
        <sz val="10"/>
        <color theme="1"/>
        <rFont val="Consolas"/>
        <charset val="134"/>
      </rPr>
      <t xml:space="preserve">
2-</t>
    </r>
    <r>
      <rPr>
        <sz val="10"/>
        <color theme="1"/>
        <rFont val="宋体"/>
        <charset val="134"/>
      </rPr>
      <t>模拟量输入</t>
    </r>
    <r>
      <rPr>
        <sz val="10"/>
        <color theme="1"/>
        <rFont val="Consolas"/>
        <charset val="134"/>
      </rPr>
      <t>AI0
3-</t>
    </r>
    <r>
      <rPr>
        <sz val="10"/>
        <color theme="1"/>
        <rFont val="宋体"/>
        <charset val="134"/>
      </rPr>
      <t>模拟量输入</t>
    </r>
    <r>
      <rPr>
        <sz val="10"/>
        <color theme="1"/>
        <rFont val="Consolas"/>
        <charset val="134"/>
      </rPr>
      <t>AI1</t>
    </r>
  </si>
  <si>
    <t>s16TrqDigRef</t>
  </si>
  <si>
    <t>-3000</t>
  </si>
  <si>
    <r>
      <rPr>
        <sz val="10"/>
        <color theme="1"/>
        <rFont val="宋体"/>
        <charset val="134"/>
      </rPr>
      <t>用户层</t>
    </r>
    <r>
      <rPr>
        <sz val="10"/>
        <color theme="1"/>
        <rFont val="Consolas"/>
        <charset val="134"/>
      </rPr>
      <t>.</t>
    </r>
    <r>
      <rPr>
        <sz val="10"/>
        <color theme="1"/>
        <rFont val="宋体"/>
        <charset val="134"/>
      </rPr>
      <t>数字转矩指令千分比</t>
    </r>
  </si>
  <si>
    <t>s16FluxDigRef</t>
  </si>
  <si>
    <r>
      <rPr>
        <sz val="10"/>
        <color theme="1"/>
        <rFont val="宋体"/>
        <charset val="134"/>
      </rPr>
      <t>用户层</t>
    </r>
    <r>
      <rPr>
        <sz val="10"/>
        <color theme="1"/>
        <rFont val="Consolas"/>
        <charset val="134"/>
      </rPr>
      <t>.</t>
    </r>
    <r>
      <rPr>
        <sz val="10"/>
        <color theme="1"/>
        <rFont val="宋体"/>
        <charset val="134"/>
      </rPr>
      <t>数字磁链指令千分比</t>
    </r>
  </si>
  <si>
    <t>u16EmStopTrqDigRef</t>
  </si>
  <si>
    <r>
      <rPr>
        <sz val="10"/>
        <color theme="1"/>
        <rFont val="宋体"/>
        <charset val="134"/>
      </rPr>
      <t>用户层</t>
    </r>
    <r>
      <rPr>
        <sz val="10"/>
        <color theme="1"/>
        <rFont val="Consolas"/>
        <charset val="134"/>
      </rPr>
      <t>.</t>
    </r>
    <r>
      <rPr>
        <sz val="10"/>
        <color theme="1"/>
        <rFont val="宋体"/>
        <charset val="134"/>
      </rPr>
      <t>紧急停机转矩</t>
    </r>
  </si>
  <si>
    <t>u16TrqSlopeLim</t>
  </si>
  <si>
    <r>
      <rPr>
        <sz val="10"/>
        <color theme="1"/>
        <rFont val="宋体"/>
        <charset val="134"/>
      </rPr>
      <t>用户层</t>
    </r>
    <r>
      <rPr>
        <sz val="10"/>
        <color theme="1"/>
        <rFont val="Consolas"/>
        <charset val="134"/>
      </rPr>
      <t>.</t>
    </r>
    <r>
      <rPr>
        <sz val="10"/>
        <color theme="1"/>
        <rFont val="宋体"/>
        <charset val="134"/>
      </rPr>
      <t>转矩斜率限制</t>
    </r>
  </si>
  <si>
    <t>eTrqLimSrc</t>
  </si>
  <si>
    <r>
      <rPr>
        <sz val="10"/>
        <color theme="1"/>
        <rFont val="宋体"/>
        <charset val="134"/>
      </rPr>
      <t>用户层</t>
    </r>
    <r>
      <rPr>
        <sz val="10"/>
        <color theme="1"/>
        <rFont val="Consolas"/>
        <charset val="134"/>
      </rPr>
      <t>.</t>
    </r>
    <r>
      <rPr>
        <sz val="10"/>
        <color theme="1"/>
        <rFont val="宋体"/>
        <charset val="134"/>
      </rPr>
      <t>转矩限制来源</t>
    </r>
  </si>
  <si>
    <r>
      <rPr>
        <sz val="10"/>
        <color theme="1"/>
        <rFont val="Consolas"/>
        <charset val="134"/>
      </rPr>
      <t>0-</t>
    </r>
    <r>
      <rPr>
        <sz val="10"/>
        <color theme="1"/>
        <rFont val="宋体"/>
        <charset val="134"/>
      </rPr>
      <t>正反方向均为转矩限制</t>
    </r>
    <r>
      <rPr>
        <sz val="10"/>
        <color theme="1"/>
        <rFont val="Consolas"/>
        <charset val="134"/>
      </rPr>
      <t>0</t>
    </r>
    <r>
      <rPr>
        <sz val="10"/>
        <color theme="1"/>
        <rFont val="宋体"/>
        <charset val="134"/>
      </rPr>
      <t>；</t>
    </r>
    <r>
      <rPr>
        <sz val="10"/>
        <color theme="1"/>
        <rFont val="Consolas"/>
        <charset val="134"/>
      </rPr>
      <t xml:space="preserve">
1-</t>
    </r>
    <r>
      <rPr>
        <sz val="10"/>
        <color theme="1"/>
        <rFont val="宋体"/>
        <charset val="134"/>
      </rPr>
      <t>正向为转矩限制</t>
    </r>
    <r>
      <rPr>
        <sz val="10"/>
        <color theme="1"/>
        <rFont val="Consolas"/>
        <charset val="134"/>
      </rPr>
      <t>0</t>
    </r>
    <r>
      <rPr>
        <sz val="10"/>
        <color theme="1"/>
        <rFont val="宋体"/>
        <charset val="134"/>
      </rPr>
      <t>，反向为转矩限制</t>
    </r>
    <r>
      <rPr>
        <sz val="10"/>
        <color theme="1"/>
        <rFont val="Consolas"/>
        <charset val="134"/>
      </rPr>
      <t>1</t>
    </r>
    <r>
      <rPr>
        <sz val="10"/>
        <color theme="1"/>
        <rFont val="宋体"/>
        <charset val="134"/>
      </rPr>
      <t>；</t>
    </r>
    <r>
      <rPr>
        <sz val="10"/>
        <color theme="1"/>
        <rFont val="Consolas"/>
        <charset val="134"/>
      </rPr>
      <t xml:space="preserve">
2-</t>
    </r>
    <r>
      <rPr>
        <sz val="10"/>
        <color theme="1"/>
        <rFont val="宋体"/>
        <charset val="134"/>
      </rPr>
      <t>模拟量</t>
    </r>
    <r>
      <rPr>
        <sz val="10"/>
        <color theme="1"/>
        <rFont val="Consolas"/>
        <charset val="134"/>
      </rPr>
      <t>AI0</t>
    </r>
    <r>
      <rPr>
        <sz val="10"/>
        <color theme="1"/>
        <rFont val="宋体"/>
        <charset val="134"/>
      </rPr>
      <t>绝对值作为正反方向转矩限制；</t>
    </r>
    <r>
      <rPr>
        <sz val="10"/>
        <color theme="1"/>
        <rFont val="Consolas"/>
        <charset val="134"/>
      </rPr>
      <t xml:space="preserve">
3-</t>
    </r>
    <r>
      <rPr>
        <sz val="10"/>
        <color theme="1"/>
        <rFont val="宋体"/>
        <charset val="134"/>
      </rPr>
      <t>正向为模拟量</t>
    </r>
    <r>
      <rPr>
        <sz val="10"/>
        <color theme="1"/>
        <rFont val="Consolas"/>
        <charset val="134"/>
      </rPr>
      <t>AI0</t>
    </r>
    <r>
      <rPr>
        <sz val="10"/>
        <color theme="1"/>
        <rFont val="宋体"/>
        <charset val="134"/>
      </rPr>
      <t>，反向为模拟量</t>
    </r>
    <r>
      <rPr>
        <sz val="10"/>
        <color theme="1"/>
        <rFont val="Consolas"/>
        <charset val="134"/>
      </rPr>
      <t>AI1</t>
    </r>
    <r>
      <rPr>
        <sz val="10"/>
        <color theme="1"/>
        <rFont val="宋体"/>
        <charset val="134"/>
      </rPr>
      <t>；</t>
    </r>
  </si>
  <si>
    <t>u16TrqLimFwd</t>
  </si>
  <si>
    <r>
      <rPr>
        <sz val="10"/>
        <color theme="1"/>
        <rFont val="宋体"/>
        <charset val="134"/>
      </rPr>
      <t>用户层</t>
    </r>
    <r>
      <rPr>
        <sz val="10"/>
        <color theme="1"/>
        <rFont val="Consolas"/>
        <charset val="134"/>
      </rPr>
      <t>.</t>
    </r>
    <r>
      <rPr>
        <sz val="10"/>
        <color theme="1"/>
        <rFont val="宋体"/>
        <charset val="134"/>
      </rPr>
      <t>转矩限制</t>
    </r>
    <r>
      <rPr>
        <sz val="10"/>
        <color theme="1"/>
        <rFont val="Consolas"/>
        <charset val="134"/>
      </rPr>
      <t>0</t>
    </r>
  </si>
  <si>
    <t>u16TrqLimRev</t>
  </si>
  <si>
    <r>
      <rPr>
        <sz val="10"/>
        <color theme="1"/>
        <rFont val="宋体"/>
        <charset val="134"/>
      </rPr>
      <t>用户层</t>
    </r>
    <r>
      <rPr>
        <sz val="10"/>
        <color theme="1"/>
        <rFont val="Consolas"/>
        <charset val="134"/>
      </rPr>
      <t>.</t>
    </r>
    <r>
      <rPr>
        <sz val="10"/>
        <color theme="1"/>
        <rFont val="宋体"/>
        <charset val="134"/>
      </rPr>
      <t>转矩限制</t>
    </r>
    <r>
      <rPr>
        <sz val="10"/>
        <color theme="1"/>
        <rFont val="Consolas"/>
        <charset val="134"/>
      </rPr>
      <t>1</t>
    </r>
  </si>
  <si>
    <t>eTrqLimSts</t>
  </si>
  <si>
    <r>
      <rPr>
        <sz val="10"/>
        <color theme="1"/>
        <rFont val="宋体"/>
        <charset val="134"/>
      </rPr>
      <t>转矩限制状态</t>
    </r>
  </si>
  <si>
    <r>
      <rPr>
        <sz val="10"/>
        <color theme="1"/>
        <rFont val="Consolas"/>
        <charset val="134"/>
      </rPr>
      <t>0-</t>
    </r>
    <r>
      <rPr>
        <sz val="10"/>
        <color theme="1"/>
        <rFont val="宋体"/>
        <charset val="134"/>
      </rPr>
      <t>未触发转矩限制</t>
    </r>
    <r>
      <rPr>
        <sz val="10"/>
        <color theme="1"/>
        <rFont val="Consolas"/>
        <charset val="134"/>
      </rPr>
      <t xml:space="preserve">
1-</t>
    </r>
    <r>
      <rPr>
        <sz val="10"/>
        <color theme="1"/>
        <rFont val="宋体"/>
        <charset val="134"/>
      </rPr>
      <t>触发正向转矩限制</t>
    </r>
    <r>
      <rPr>
        <sz val="10"/>
        <color theme="1"/>
        <rFont val="Consolas"/>
        <charset val="134"/>
      </rPr>
      <t xml:space="preserve">
2-</t>
    </r>
    <r>
      <rPr>
        <sz val="10"/>
        <color theme="1"/>
        <rFont val="宋体"/>
        <charset val="134"/>
      </rPr>
      <t>触发反向转矩限制</t>
    </r>
  </si>
  <si>
    <t>eTrqSpdLimSts</t>
  </si>
  <si>
    <r>
      <rPr>
        <sz val="10"/>
        <color theme="1"/>
        <rFont val="宋体"/>
        <charset val="134"/>
      </rPr>
      <t>转矩模式速度限制状态</t>
    </r>
  </si>
  <si>
    <r>
      <rPr>
        <sz val="10"/>
        <color theme="1"/>
        <rFont val="Consolas"/>
        <charset val="134"/>
      </rPr>
      <t>0-</t>
    </r>
    <r>
      <rPr>
        <sz val="10"/>
        <color theme="1"/>
        <rFont val="宋体"/>
        <charset val="134"/>
      </rPr>
      <t>未触发速度限制</t>
    </r>
    <r>
      <rPr>
        <sz val="10"/>
        <color theme="1"/>
        <rFont val="Consolas"/>
        <charset val="134"/>
      </rPr>
      <t xml:space="preserve">
1-</t>
    </r>
    <r>
      <rPr>
        <sz val="10"/>
        <color theme="1"/>
        <rFont val="宋体"/>
        <charset val="134"/>
      </rPr>
      <t>已触发速度限制</t>
    </r>
  </si>
  <si>
    <t>eTrqPosLimSts</t>
  </si>
  <si>
    <r>
      <rPr>
        <sz val="10"/>
        <color theme="1"/>
        <rFont val="宋体"/>
        <charset val="134"/>
      </rPr>
      <t>转矩模式位置限制状态</t>
    </r>
  </si>
  <si>
    <r>
      <rPr>
        <sz val="10"/>
        <color theme="1"/>
        <rFont val="Consolas"/>
        <charset val="134"/>
      </rPr>
      <t>0-</t>
    </r>
    <r>
      <rPr>
        <sz val="10"/>
        <color theme="1"/>
        <rFont val="宋体"/>
        <charset val="134"/>
      </rPr>
      <t>未触发位置限制</t>
    </r>
    <r>
      <rPr>
        <sz val="10"/>
        <color theme="1"/>
        <rFont val="Consolas"/>
        <charset val="134"/>
      </rPr>
      <t xml:space="preserve">
1-</t>
    </r>
    <r>
      <rPr>
        <sz val="10"/>
        <color theme="1"/>
        <rFont val="宋体"/>
        <charset val="134"/>
      </rPr>
      <t>已触发位置限制</t>
    </r>
  </si>
  <si>
    <t>u16TrqArriveTh</t>
  </si>
  <si>
    <r>
      <rPr>
        <sz val="10"/>
        <color theme="1"/>
        <rFont val="宋体"/>
        <charset val="134"/>
      </rPr>
      <t>用户层</t>
    </r>
    <r>
      <rPr>
        <sz val="10"/>
        <color theme="1"/>
        <rFont val="Consolas"/>
        <charset val="134"/>
      </rPr>
      <t>.</t>
    </r>
    <r>
      <rPr>
        <sz val="10"/>
        <color theme="1"/>
        <rFont val="宋体"/>
        <charset val="134"/>
      </rPr>
      <t>转矩到达阈值</t>
    </r>
  </si>
  <si>
    <r>
      <rPr>
        <sz val="10"/>
        <color theme="1"/>
        <rFont val="宋体"/>
        <charset val="134"/>
      </rPr>
      <t>转矩偏差小于该阈值时，输出转矩到达信号</t>
    </r>
  </si>
  <si>
    <t>u16AiTrqCoeff0</t>
  </si>
  <si>
    <r>
      <rPr>
        <sz val="10"/>
        <color theme="1"/>
        <rFont val="宋体"/>
        <charset val="134"/>
      </rPr>
      <t>用户层</t>
    </r>
    <r>
      <rPr>
        <sz val="10"/>
        <color theme="1"/>
        <rFont val="Consolas"/>
        <charset val="134"/>
      </rPr>
      <t>.</t>
    </r>
    <r>
      <rPr>
        <sz val="10"/>
        <color theme="1"/>
        <rFont val="宋体"/>
        <charset val="134"/>
      </rPr>
      <t>模拟量</t>
    </r>
    <r>
      <rPr>
        <sz val="10"/>
        <color theme="1"/>
        <rFont val="Consolas"/>
        <charset val="134"/>
      </rPr>
      <t>AI0</t>
    </r>
    <r>
      <rPr>
        <sz val="10"/>
        <color theme="1"/>
        <rFont val="宋体"/>
        <charset val="134"/>
      </rPr>
      <t>转矩系数</t>
    </r>
  </si>
  <si>
    <t>u16AiTrqCoeff1</t>
  </si>
  <si>
    <r>
      <rPr>
        <sz val="10"/>
        <color theme="1"/>
        <rFont val="宋体"/>
        <charset val="134"/>
      </rPr>
      <t>用户层</t>
    </r>
    <r>
      <rPr>
        <sz val="10"/>
        <color theme="1"/>
        <rFont val="Consolas"/>
        <charset val="134"/>
      </rPr>
      <t>.</t>
    </r>
    <r>
      <rPr>
        <sz val="10"/>
        <color theme="1"/>
        <rFont val="宋体"/>
        <charset val="134"/>
      </rPr>
      <t>模拟量</t>
    </r>
    <r>
      <rPr>
        <sz val="10"/>
        <color theme="1"/>
        <rFont val="Consolas"/>
        <charset val="134"/>
      </rPr>
      <t>AI1</t>
    </r>
    <r>
      <rPr>
        <sz val="10"/>
        <color theme="1"/>
        <rFont val="宋体"/>
        <charset val="134"/>
      </rPr>
      <t>转矩系数</t>
    </r>
  </si>
  <si>
    <t>u16TrqMulRefSel</t>
  </si>
  <si>
    <r>
      <rPr>
        <sz val="10"/>
        <color theme="1"/>
        <rFont val="宋体"/>
        <charset val="134"/>
      </rPr>
      <t>用户层</t>
    </r>
    <r>
      <rPr>
        <sz val="10"/>
        <color theme="1"/>
        <rFont val="Consolas"/>
        <charset val="134"/>
      </rPr>
      <t>.</t>
    </r>
    <r>
      <rPr>
        <sz val="10"/>
        <color theme="1"/>
        <rFont val="宋体"/>
        <charset val="134"/>
      </rPr>
      <t>多段转矩指令选择</t>
    </r>
  </si>
  <si>
    <t>s16TrqDigRef01</t>
  </si>
  <si>
    <r>
      <rPr>
        <sz val="10"/>
        <color theme="1"/>
        <rFont val="宋体"/>
        <charset val="134"/>
      </rPr>
      <t>用户层</t>
    </r>
    <r>
      <rPr>
        <sz val="10"/>
        <color theme="1"/>
        <rFont val="Consolas"/>
        <charset val="134"/>
      </rPr>
      <t>.</t>
    </r>
    <r>
      <rPr>
        <sz val="10"/>
        <color theme="1"/>
        <rFont val="宋体"/>
        <charset val="134"/>
      </rPr>
      <t>多段数字转矩指令</t>
    </r>
    <r>
      <rPr>
        <sz val="10"/>
        <color theme="1"/>
        <rFont val="Consolas"/>
        <charset val="134"/>
      </rPr>
      <t>01</t>
    </r>
  </si>
  <si>
    <t>s16TrqDigRef02</t>
  </si>
  <si>
    <r>
      <rPr>
        <sz val="10"/>
        <color theme="1"/>
        <rFont val="宋体"/>
        <charset val="134"/>
      </rPr>
      <t>用户层</t>
    </r>
    <r>
      <rPr>
        <sz val="10"/>
        <color theme="1"/>
        <rFont val="Consolas"/>
        <charset val="134"/>
      </rPr>
      <t>.</t>
    </r>
    <r>
      <rPr>
        <sz val="10"/>
        <color theme="1"/>
        <rFont val="宋体"/>
        <charset val="134"/>
      </rPr>
      <t>多段数字转矩指令</t>
    </r>
    <r>
      <rPr>
        <sz val="10"/>
        <color theme="1"/>
        <rFont val="Consolas"/>
        <charset val="134"/>
      </rPr>
      <t>02</t>
    </r>
  </si>
  <si>
    <t>s16TrqDigRef03</t>
  </si>
  <si>
    <r>
      <rPr>
        <sz val="10"/>
        <color theme="1"/>
        <rFont val="宋体"/>
        <charset val="134"/>
      </rPr>
      <t>用户层</t>
    </r>
    <r>
      <rPr>
        <sz val="10"/>
        <color theme="1"/>
        <rFont val="Consolas"/>
        <charset val="134"/>
      </rPr>
      <t>.</t>
    </r>
    <r>
      <rPr>
        <sz val="10"/>
        <color theme="1"/>
        <rFont val="宋体"/>
        <charset val="134"/>
      </rPr>
      <t>多段数字转矩指令</t>
    </r>
    <r>
      <rPr>
        <sz val="10"/>
        <color theme="1"/>
        <rFont val="Consolas"/>
        <charset val="134"/>
      </rPr>
      <t>03</t>
    </r>
  </si>
  <si>
    <t>s16TrqDigRef04</t>
  </si>
  <si>
    <r>
      <rPr>
        <sz val="10"/>
        <color theme="1"/>
        <rFont val="宋体"/>
        <charset val="134"/>
      </rPr>
      <t>用户层</t>
    </r>
    <r>
      <rPr>
        <sz val="10"/>
        <color theme="1"/>
        <rFont val="Consolas"/>
        <charset val="134"/>
      </rPr>
      <t>.</t>
    </r>
    <r>
      <rPr>
        <sz val="10"/>
        <color theme="1"/>
        <rFont val="宋体"/>
        <charset val="134"/>
      </rPr>
      <t>多段数字转矩指令</t>
    </r>
    <r>
      <rPr>
        <sz val="10"/>
        <color theme="1"/>
        <rFont val="Consolas"/>
        <charset val="134"/>
      </rPr>
      <t>04</t>
    </r>
  </si>
  <si>
    <t>s16TrqDigRef05</t>
  </si>
  <si>
    <r>
      <rPr>
        <sz val="10"/>
        <color theme="1"/>
        <rFont val="宋体"/>
        <charset val="134"/>
      </rPr>
      <t>用户层</t>
    </r>
    <r>
      <rPr>
        <sz val="10"/>
        <color theme="1"/>
        <rFont val="Consolas"/>
        <charset val="134"/>
      </rPr>
      <t>.</t>
    </r>
    <r>
      <rPr>
        <sz val="10"/>
        <color theme="1"/>
        <rFont val="宋体"/>
        <charset val="134"/>
      </rPr>
      <t>多段数字转矩指令</t>
    </r>
    <r>
      <rPr>
        <sz val="10"/>
        <color theme="1"/>
        <rFont val="Consolas"/>
        <charset val="134"/>
      </rPr>
      <t>05</t>
    </r>
  </si>
  <si>
    <t>s16TrqDigRef06</t>
  </si>
  <si>
    <r>
      <rPr>
        <sz val="10"/>
        <color theme="1"/>
        <rFont val="宋体"/>
        <charset val="134"/>
      </rPr>
      <t>用户层</t>
    </r>
    <r>
      <rPr>
        <sz val="10"/>
        <color theme="1"/>
        <rFont val="Consolas"/>
        <charset val="134"/>
      </rPr>
      <t>.</t>
    </r>
    <r>
      <rPr>
        <sz val="10"/>
        <color theme="1"/>
        <rFont val="宋体"/>
        <charset val="134"/>
      </rPr>
      <t>多段数字转矩指令</t>
    </r>
    <r>
      <rPr>
        <sz val="10"/>
        <color theme="1"/>
        <rFont val="Consolas"/>
        <charset val="134"/>
      </rPr>
      <t>06</t>
    </r>
  </si>
  <si>
    <t>s16TrqDigRef07</t>
  </si>
  <si>
    <r>
      <rPr>
        <sz val="10"/>
        <color theme="1"/>
        <rFont val="宋体"/>
        <charset val="134"/>
      </rPr>
      <t>用户层</t>
    </r>
    <r>
      <rPr>
        <sz val="10"/>
        <color theme="1"/>
        <rFont val="Consolas"/>
        <charset val="134"/>
      </rPr>
      <t>.</t>
    </r>
    <r>
      <rPr>
        <sz val="10"/>
        <color theme="1"/>
        <rFont val="宋体"/>
        <charset val="134"/>
      </rPr>
      <t>多段数字转矩指令</t>
    </r>
    <r>
      <rPr>
        <sz val="10"/>
        <color theme="1"/>
        <rFont val="Consolas"/>
        <charset val="134"/>
      </rPr>
      <t>07</t>
    </r>
  </si>
  <si>
    <t>s16TrqDigRef08</t>
  </si>
  <si>
    <r>
      <rPr>
        <sz val="10"/>
        <color theme="1"/>
        <rFont val="宋体"/>
        <charset val="134"/>
      </rPr>
      <t>用户层</t>
    </r>
    <r>
      <rPr>
        <sz val="10"/>
        <color theme="1"/>
        <rFont val="Consolas"/>
        <charset val="134"/>
      </rPr>
      <t>.</t>
    </r>
    <r>
      <rPr>
        <sz val="10"/>
        <color theme="1"/>
        <rFont val="宋体"/>
        <charset val="134"/>
      </rPr>
      <t>多段数字转矩指令</t>
    </r>
    <r>
      <rPr>
        <sz val="10"/>
        <color theme="1"/>
        <rFont val="Consolas"/>
        <charset val="134"/>
      </rPr>
      <t>08</t>
    </r>
  </si>
  <si>
    <t>s16TrqDigRef09</t>
  </si>
  <si>
    <r>
      <rPr>
        <sz val="10"/>
        <color theme="1"/>
        <rFont val="宋体"/>
        <charset val="134"/>
      </rPr>
      <t>用户层</t>
    </r>
    <r>
      <rPr>
        <sz val="10"/>
        <color theme="1"/>
        <rFont val="Consolas"/>
        <charset val="134"/>
      </rPr>
      <t>.</t>
    </r>
    <r>
      <rPr>
        <sz val="10"/>
        <color theme="1"/>
        <rFont val="宋体"/>
        <charset val="134"/>
      </rPr>
      <t>多段数字转矩指令</t>
    </r>
    <r>
      <rPr>
        <sz val="10"/>
        <color theme="1"/>
        <rFont val="Consolas"/>
        <charset val="134"/>
      </rPr>
      <t>09</t>
    </r>
  </si>
  <si>
    <t>s16TrqDigRef10</t>
  </si>
  <si>
    <r>
      <rPr>
        <sz val="10"/>
        <color theme="1"/>
        <rFont val="宋体"/>
        <charset val="134"/>
      </rPr>
      <t>用户层</t>
    </r>
    <r>
      <rPr>
        <sz val="10"/>
        <color theme="1"/>
        <rFont val="Consolas"/>
        <charset val="134"/>
      </rPr>
      <t>.</t>
    </r>
    <r>
      <rPr>
        <sz val="10"/>
        <color theme="1"/>
        <rFont val="宋体"/>
        <charset val="134"/>
      </rPr>
      <t>多段数字转矩指令</t>
    </r>
    <r>
      <rPr>
        <sz val="10"/>
        <color theme="1"/>
        <rFont val="Consolas"/>
        <charset val="134"/>
      </rPr>
      <t>10</t>
    </r>
  </si>
  <si>
    <t>s16TrqDigRef11</t>
  </si>
  <si>
    <r>
      <rPr>
        <sz val="10"/>
        <color theme="1"/>
        <rFont val="宋体"/>
        <charset val="134"/>
      </rPr>
      <t>用户层</t>
    </r>
    <r>
      <rPr>
        <sz val="10"/>
        <color theme="1"/>
        <rFont val="Consolas"/>
        <charset val="134"/>
      </rPr>
      <t>.</t>
    </r>
    <r>
      <rPr>
        <sz val="10"/>
        <color theme="1"/>
        <rFont val="宋体"/>
        <charset val="134"/>
      </rPr>
      <t>多段数字转矩指令</t>
    </r>
    <r>
      <rPr>
        <sz val="10"/>
        <color theme="1"/>
        <rFont val="Consolas"/>
        <charset val="134"/>
      </rPr>
      <t>11</t>
    </r>
  </si>
  <si>
    <t>s16TrqDigRef12</t>
  </si>
  <si>
    <r>
      <rPr>
        <sz val="10"/>
        <color theme="1"/>
        <rFont val="宋体"/>
        <charset val="134"/>
      </rPr>
      <t>用户层</t>
    </r>
    <r>
      <rPr>
        <sz val="10"/>
        <color theme="1"/>
        <rFont val="Consolas"/>
        <charset val="134"/>
      </rPr>
      <t>.</t>
    </r>
    <r>
      <rPr>
        <sz val="10"/>
        <color theme="1"/>
        <rFont val="宋体"/>
        <charset val="134"/>
      </rPr>
      <t>多段数字转矩指令</t>
    </r>
    <r>
      <rPr>
        <sz val="10"/>
        <color theme="1"/>
        <rFont val="Consolas"/>
        <charset val="134"/>
      </rPr>
      <t>12</t>
    </r>
  </si>
  <si>
    <t>s16TrqDigRef13</t>
  </si>
  <si>
    <r>
      <rPr>
        <sz val="10"/>
        <color theme="1"/>
        <rFont val="宋体"/>
        <charset val="134"/>
      </rPr>
      <t>用户层</t>
    </r>
    <r>
      <rPr>
        <sz val="10"/>
        <color theme="1"/>
        <rFont val="Consolas"/>
        <charset val="134"/>
      </rPr>
      <t>.</t>
    </r>
    <r>
      <rPr>
        <sz val="10"/>
        <color theme="1"/>
        <rFont val="宋体"/>
        <charset val="134"/>
      </rPr>
      <t>多段数字转矩指令</t>
    </r>
    <r>
      <rPr>
        <sz val="10"/>
        <color theme="1"/>
        <rFont val="Consolas"/>
        <charset val="134"/>
      </rPr>
      <t>13</t>
    </r>
  </si>
  <si>
    <t>s16TrqDigRef14</t>
  </si>
  <si>
    <r>
      <rPr>
        <sz val="10"/>
        <color theme="1"/>
        <rFont val="宋体"/>
        <charset val="134"/>
      </rPr>
      <t>用户层</t>
    </r>
    <r>
      <rPr>
        <sz val="10"/>
        <color theme="1"/>
        <rFont val="Consolas"/>
        <charset val="134"/>
      </rPr>
      <t>.</t>
    </r>
    <r>
      <rPr>
        <sz val="10"/>
        <color theme="1"/>
        <rFont val="宋体"/>
        <charset val="134"/>
      </rPr>
      <t>多段数字转矩指令</t>
    </r>
    <r>
      <rPr>
        <sz val="10"/>
        <color theme="1"/>
        <rFont val="Consolas"/>
        <charset val="134"/>
      </rPr>
      <t>14</t>
    </r>
  </si>
  <si>
    <t>s16TrqDigRef15</t>
  </si>
  <si>
    <r>
      <rPr>
        <sz val="10"/>
        <color theme="1"/>
        <rFont val="宋体"/>
        <charset val="134"/>
      </rPr>
      <t>用户层</t>
    </r>
    <r>
      <rPr>
        <sz val="10"/>
        <color theme="1"/>
        <rFont val="Consolas"/>
        <charset val="134"/>
      </rPr>
      <t>.</t>
    </r>
    <r>
      <rPr>
        <sz val="10"/>
        <color theme="1"/>
        <rFont val="宋体"/>
        <charset val="134"/>
      </rPr>
      <t>多段数字转矩指令</t>
    </r>
    <r>
      <rPr>
        <sz val="10"/>
        <color theme="1"/>
        <rFont val="Consolas"/>
        <charset val="134"/>
      </rPr>
      <t>15</t>
    </r>
  </si>
  <si>
    <t>s16TrqDigRef16</t>
  </si>
  <si>
    <r>
      <rPr>
        <sz val="10"/>
        <color theme="1"/>
        <rFont val="宋体"/>
        <charset val="134"/>
      </rPr>
      <t>用户层</t>
    </r>
    <r>
      <rPr>
        <sz val="10"/>
        <color theme="1"/>
        <rFont val="Consolas"/>
        <charset val="134"/>
      </rPr>
      <t>.</t>
    </r>
    <r>
      <rPr>
        <sz val="10"/>
        <color theme="1"/>
        <rFont val="宋体"/>
        <charset val="134"/>
      </rPr>
      <t>多段数字转矩指令</t>
    </r>
    <r>
      <rPr>
        <sz val="10"/>
        <color theme="1"/>
        <rFont val="Consolas"/>
        <charset val="134"/>
      </rPr>
      <t>16</t>
    </r>
  </si>
  <si>
    <t>DS402</t>
  </si>
  <si>
    <t>uwErrorCode_603F</t>
  </si>
  <si>
    <t>ds402 - error code</t>
  </si>
  <si>
    <t>uwControlword_6040</t>
  </si>
  <si>
    <t>ds402 - controlword</t>
  </si>
  <si>
    <t>uwStatusWord_6041</t>
  </si>
  <si>
    <t>ds402 - statusword</t>
  </si>
  <si>
    <t>swQuickStopOptionCode_605A</t>
  </si>
  <si>
    <t>ds402 - quick stop option code</t>
  </si>
  <si>
    <t>swShutdownOptionCode_605B</t>
  </si>
  <si>
    <t>ds402 - shutdown option code</t>
  </si>
  <si>
    <t>swDisableOperaOptionCode_605C</t>
  </si>
  <si>
    <t>ds402 - disable operation option code</t>
  </si>
  <si>
    <t>swHaltOptionCode_605D</t>
  </si>
  <si>
    <t>ds402 - halt option code</t>
  </si>
  <si>
    <t>swFaultReactionCode_605E</t>
  </si>
  <si>
    <t>ds402 - fault reaction option code</t>
  </si>
  <si>
    <t>sbModesOpera_6060</t>
  </si>
  <si>
    <t>ds402 - modes of operation</t>
  </si>
  <si>
    <t>sbModesOperaDisp_6061</t>
  </si>
  <si>
    <t>ds402 - modes of operation display</t>
  </si>
  <si>
    <t>slPosDemandValue_6062</t>
  </si>
  <si>
    <t>ds402 - position demannd value</t>
  </si>
  <si>
    <t>slPosActualInternalValue_6063</t>
  </si>
  <si>
    <t>ds402 - position actual internal value</t>
  </si>
  <si>
    <t>slUserPosActualValue_6064</t>
  </si>
  <si>
    <t>ds402 - position actual value</t>
  </si>
  <si>
    <t>ulFollowErrorWindow_6065</t>
  </si>
  <si>
    <t>ds402 - maximal following error</t>
  </si>
  <si>
    <t>ulFollowErrorTimeOut_6066</t>
  </si>
  <si>
    <t>ds402 - following errror time out</t>
  </si>
  <si>
    <t>ulPositionWindow_6067</t>
  </si>
  <si>
    <t>ds402 - position window</t>
  </si>
  <si>
    <t>uwPositionWindowTime_6068</t>
  </si>
  <si>
    <t>ds402 - position window time</t>
  </si>
  <si>
    <t>ulVelocityDemandValue_606B</t>
  </si>
  <si>
    <t>ds402 - velocity demand value</t>
  </si>
  <si>
    <t>ulVelocityActualValue_606C</t>
  </si>
  <si>
    <t>ds402 - velocity actual value</t>
  </si>
  <si>
    <t>uwVelocityWindow_606D</t>
  </si>
  <si>
    <t>ds402 - velocity window</t>
  </si>
  <si>
    <t>uwVelocityWindowTime_606E</t>
  </si>
  <si>
    <t>ds402 - velocity window time</t>
  </si>
  <si>
    <t>uwVelocityThreshold_606F</t>
  </si>
  <si>
    <t>ds402 - velocity threshold time</t>
  </si>
  <si>
    <t>uwVelocityThresholdTime_6070</t>
  </si>
  <si>
    <t>ds402 - velocity threshold</t>
  </si>
  <si>
    <t>swTargetTorque_6071</t>
  </si>
  <si>
    <t>ds402 - target torque</t>
  </si>
  <si>
    <t>uwMaxTorque_6072</t>
  </si>
  <si>
    <t>ds402 - max torque</t>
  </si>
  <si>
    <t>uwMaxCurrent_6073</t>
  </si>
  <si>
    <t>ds402 - max current</t>
  </si>
  <si>
    <t>swTorqueDemand_6074</t>
  </si>
  <si>
    <t>ds402 - torque demand</t>
  </si>
  <si>
    <t>ulMotorRatedCurrent_6075</t>
  </si>
  <si>
    <t>ds402 - motor rated current</t>
  </si>
  <si>
    <t>ulMotorRatedTorque_6076</t>
  </si>
  <si>
    <t>ds402 - motor rated torque</t>
  </si>
  <si>
    <t>swTorqueActualValue_6077</t>
  </si>
  <si>
    <t>ds402 - torque actual value</t>
  </si>
  <si>
    <t>swCurrentActualValue_6078</t>
  </si>
  <si>
    <t>ds402 - current actual value</t>
  </si>
  <si>
    <t>ulDCLinkCircuitVoltage_6079</t>
  </si>
  <si>
    <t>ds402 - dc link circuit voltage</t>
  </si>
  <si>
    <t>slTargetPosition_607A</t>
  </si>
  <si>
    <t>ds402 - target position</t>
  </si>
  <si>
    <t>slHomeOffset_607C</t>
  </si>
  <si>
    <t>ds402 - home offset</t>
  </si>
  <si>
    <t>slSoftPositionLimit_607D_0</t>
  </si>
  <si>
    <t>ds402 - software position limit minimal position limit</t>
  </si>
  <si>
    <t>slSoftPositionLimit_607D_1</t>
  </si>
  <si>
    <t>ds402 - software position limit maximal position limit</t>
  </si>
  <si>
    <t>ubPolarity_607E</t>
  </si>
  <si>
    <t>ds402 - polarit</t>
  </si>
  <si>
    <t>ulMaxProfileVelocity_607F</t>
  </si>
  <si>
    <t>ds402 - maximal profile velocity</t>
  </si>
  <si>
    <t>ulMaxMotorSpeed_6080</t>
  </si>
  <si>
    <t>ds402 - max motor speed</t>
  </si>
  <si>
    <t>ulProfileVelocity_6081</t>
  </si>
  <si>
    <t>ds402 - profile velocity</t>
  </si>
  <si>
    <t>ulProfileAcceleration_6083</t>
  </si>
  <si>
    <t>ds402 - profile acceleration</t>
  </si>
  <si>
    <t>ulProfileDeceleration_6084</t>
  </si>
  <si>
    <t>ds402 - profile deceleration</t>
  </si>
  <si>
    <t>ulQuickStopDeceleration_6085</t>
  </si>
  <si>
    <t>ds402 - quick stop deceleration</t>
  </si>
  <si>
    <t>swMotionProfileType_6086</t>
  </si>
  <si>
    <t>ds402 - motion profile type</t>
  </si>
  <si>
    <t>swTargetSlope_6087</t>
  </si>
  <si>
    <t>ds402 - torque slope</t>
  </si>
  <si>
    <t>swTorqueProfileType_6088</t>
  </si>
  <si>
    <t>ds402 - torque profile type</t>
  </si>
  <si>
    <t>sbHomingMethod_6098</t>
  </si>
  <si>
    <t>ds402 - homing method</t>
  </si>
  <si>
    <t>uwHomingSpeeds_6099_0</t>
  </si>
  <si>
    <t>ds402 - homing speeds speed for switch search</t>
  </si>
  <si>
    <t>uwHomingSpeeds_6099_1</t>
  </si>
  <si>
    <t>ds402 - homing speeds speed for zero search</t>
  </si>
  <si>
    <t>ulHomingAcceleration_609A</t>
  </si>
  <si>
    <t>ds402 - homing acceleration</t>
  </si>
  <si>
    <t>slPostionOffset_60B0</t>
  </si>
  <si>
    <t>ds402 - position offset</t>
  </si>
  <si>
    <t>slVelocityOffset_60B1</t>
  </si>
  <si>
    <t>ds402 - velocity offset</t>
  </si>
  <si>
    <t>slTorqueOffset_60B2</t>
  </si>
  <si>
    <t>ds402 - torque offset</t>
  </si>
  <si>
    <t>uwTouchProbeFunction_60B8</t>
  </si>
  <si>
    <t>ds402 - touch probe function</t>
  </si>
  <si>
    <t>uwTouchProbeStatus_60B9</t>
  </si>
  <si>
    <t>ds402 - ouch probe status</t>
  </si>
  <si>
    <t>slTouchProbe1Pos1PosValue_60BA</t>
  </si>
  <si>
    <t>ds402 - touch probe pos1 pos value</t>
  </si>
  <si>
    <t>slTouchProbe1Neg1PosValue_60BB</t>
  </si>
  <si>
    <t>ds402 - touch probe pos1 neg value</t>
  </si>
  <si>
    <t>slTouchProbe2Pos1PosValue_60BC</t>
  </si>
  <si>
    <t>ds402 - touch probe 2 positive edge</t>
  </si>
  <si>
    <t>slTouchProbe2Neg1PosValue_60BD</t>
  </si>
  <si>
    <t>ds402 - touch probe 2 negative edge</t>
  </si>
  <si>
    <t>ubInterpTimePeriod_60C2_0</t>
  </si>
  <si>
    <t>ds402 - interpolation time period interpolation time period value</t>
  </si>
  <si>
    <t>ubInterpTimePeriod_60C2_1</t>
  </si>
  <si>
    <t>ds402 - interpolation time period interpolation time index</t>
  </si>
  <si>
    <t>ulMaxProfileAcceleration_60C5</t>
  </si>
  <si>
    <t>ds402 - max acceleration</t>
  </si>
  <si>
    <t>ulMaxProfileDeceleration_60C6</t>
  </si>
  <si>
    <t>ds402 - max deceleration</t>
  </si>
  <si>
    <t>slFollowErrorActualValue_60F4</t>
  </si>
  <si>
    <t>ds402 - following errror actual value</t>
  </si>
  <si>
    <t>slPositionDemandValue_60FC</t>
  </si>
  <si>
    <t>ds402 - position demand internal value</t>
  </si>
  <si>
    <t>ulDigitalInput_60FD</t>
  </si>
  <si>
    <t>ds402 - digital input</t>
  </si>
  <si>
    <t>uwDigitalOutput_60FE_0</t>
  </si>
  <si>
    <t>ds402 - digital output physical outputs</t>
  </si>
  <si>
    <t>uwDigitalOutput_60FE_1</t>
  </si>
  <si>
    <t>ds402 - digital output bit mask</t>
  </si>
  <si>
    <t>slTargetVelocity_60FF</t>
  </si>
  <si>
    <t>ds402 - target velocity</t>
  </si>
  <si>
    <t>ulSupportedDriveModes_6502</t>
  </si>
  <si>
    <t>ds402 - supported drive modes</t>
  </si>
  <si>
    <t>物理单位</t>
  </si>
  <si>
    <t>无单位</t>
  </si>
  <si>
    <t>A</t>
  </si>
  <si>
    <t>安培</t>
  </si>
  <si>
    <t>0.1A</t>
  </si>
  <si>
    <t>伏特</t>
  </si>
  <si>
    <t>0.01V</t>
  </si>
  <si>
    <t>0.1Hz</t>
  </si>
  <si>
    <t>rad/s</t>
  </si>
  <si>
    <t>m/min</t>
  </si>
  <si>
    <t>0.1m/min</t>
  </si>
  <si>
    <t>mm/s</t>
  </si>
  <si>
    <t>℃</t>
  </si>
  <si>
    <t>摄氏度</t>
  </si>
  <si>
    <t>0.1℃</t>
  </si>
  <si>
    <t>N·m</t>
  </si>
  <si>
    <t>牛·米</t>
  </si>
  <si>
    <t>kW</t>
  </si>
  <si>
    <t>千瓦</t>
  </si>
  <si>
    <t>W</t>
  </si>
  <si>
    <t>瓦特</t>
  </si>
  <si>
    <t>Ω</t>
  </si>
  <si>
    <t>欧姆</t>
  </si>
  <si>
    <t>0.01Ω</t>
  </si>
  <si>
    <t>10mΩ</t>
  </si>
  <si>
    <t>毫欧</t>
  </si>
  <si>
    <t>mH</t>
  </si>
  <si>
    <t>毫亨</t>
  </si>
  <si>
    <t>h</t>
  </si>
  <si>
    <t>小时</t>
  </si>
  <si>
    <t>0.1h</t>
  </si>
  <si>
    <t>min</t>
  </si>
  <si>
    <t>分</t>
  </si>
  <si>
    <t>s</t>
  </si>
  <si>
    <t>秒</t>
  </si>
  <si>
    <t>0.1s</t>
  </si>
  <si>
    <t>毫秒</t>
  </si>
  <si>
    <t>0.1ms</t>
  </si>
  <si>
    <t>us</t>
  </si>
  <si>
    <t>微秒</t>
  </si>
  <si>
    <t>ns</t>
  </si>
  <si>
    <t>纳秒</t>
  </si>
  <si>
    <t>百分比</t>
  </si>
  <si>
    <t>千分比</t>
  </si>
  <si>
    <t>rpm/s</t>
  </si>
  <si>
    <t>米/平方秒</t>
  </si>
  <si>
    <t>0.1°</t>
  </si>
  <si>
    <t>角度</t>
  </si>
  <si>
    <t>rad</t>
  </si>
  <si>
    <t>弧度</t>
  </si>
  <si>
    <t>r</t>
  </si>
  <si>
    <t>转</t>
  </si>
  <si>
    <t>0.01r</t>
  </si>
  <si>
    <t>m</t>
  </si>
  <si>
    <t>米</t>
  </si>
  <si>
    <t>0.1m</t>
  </si>
  <si>
    <t>cm</t>
  </si>
  <si>
    <t>mm</t>
  </si>
  <si>
    <t>0.1mm</t>
  </si>
  <si>
    <t>0.01mm</t>
  </si>
  <si>
    <t>um</t>
  </si>
  <si>
    <t>微米</t>
  </si>
  <si>
    <t>脉冲</t>
  </si>
  <si>
    <t>微法</t>
  </si>
  <si>
    <t>定点数</t>
  </si>
  <si>
    <t>Q31</t>
  </si>
</sst>
</file>

<file path=xl/styles.xml><?xml version="1.0" encoding="utf-8"?>
<styleSheet xmlns="http://schemas.openxmlformats.org/spreadsheetml/2006/main">
  <numFmts count="4">
    <numFmt numFmtId="42" formatCode="_ &quot;￥&quot;* #,##0_ ;_ &quot;￥&quot;* \-#,##0_ ;_ &quot;￥&quot;* &quot;-&quot;_ ;_ @_ "/>
    <numFmt numFmtId="44" formatCode="_ &quot;￥&quot;* #,##0.00_ ;_ &quot;￥&quot;* \-#,##0.00_ ;_ &quot;￥&quot;* &quot;-&quot;??_ ;_ @_ "/>
    <numFmt numFmtId="41" formatCode="_ * #,##0_ ;_ * \-#,##0_ ;_ * &quot;-&quot;_ ;_ @_ "/>
    <numFmt numFmtId="43" formatCode="_ * #,##0.00_ ;_ * \-#,##0.00_ ;_ * &quot;-&quot;??_ ;_ @_ "/>
  </numFmts>
  <fonts count="32">
    <font>
      <sz val="11"/>
      <color theme="1"/>
      <name val="宋体"/>
      <charset val="162"/>
      <scheme val="minor"/>
    </font>
    <font>
      <sz val="10"/>
      <color theme="1"/>
      <name val="宋体"/>
      <charset val="134"/>
      <scheme val="major"/>
    </font>
    <font>
      <sz val="11"/>
      <color theme="1"/>
      <name val="宋体"/>
      <charset val="134"/>
      <scheme val="minor"/>
    </font>
    <font>
      <b/>
      <sz val="10"/>
      <color theme="1"/>
      <name val="宋体"/>
      <charset val="134"/>
      <scheme val="major"/>
    </font>
    <font>
      <sz val="10.5"/>
      <color rgb="FF4FC1FF"/>
      <name val="Consolas"/>
      <charset val="134"/>
    </font>
    <font>
      <sz val="11"/>
      <color theme="1"/>
      <name val="等线 Light"/>
      <charset val="134"/>
    </font>
    <font>
      <sz val="10"/>
      <color theme="1"/>
      <name val="Consolas"/>
      <charset val="134"/>
    </font>
    <font>
      <b/>
      <sz val="10"/>
      <color theme="1"/>
      <name val="Consolas"/>
      <charset val="134"/>
    </font>
    <font>
      <b/>
      <sz val="10"/>
      <color theme="1"/>
      <name val="宋体"/>
      <charset val="134"/>
    </font>
    <font>
      <sz val="10"/>
      <color theme="1"/>
      <name val="宋体"/>
      <charset val="134"/>
    </font>
    <font>
      <sz val="11"/>
      <color theme="1"/>
      <name val="Consolas"/>
      <charset val="134"/>
    </font>
    <font>
      <sz val="10"/>
      <name val="Consolas"/>
      <charset val="134"/>
    </font>
    <font>
      <b/>
      <sz val="11"/>
      <color theme="3"/>
      <name val="宋体"/>
      <charset val="134"/>
      <scheme val="minor"/>
    </font>
    <font>
      <sz val="11"/>
      <color theme="1"/>
      <name val="宋体"/>
      <charset val="0"/>
      <scheme val="minor"/>
    </font>
    <font>
      <sz val="11"/>
      <color theme="0"/>
      <name val="宋体"/>
      <charset val="0"/>
      <scheme val="minor"/>
    </font>
    <font>
      <sz val="11"/>
      <color rgb="FFFF0000"/>
      <name val="宋体"/>
      <charset val="0"/>
      <scheme val="minor"/>
    </font>
    <font>
      <sz val="11"/>
      <color rgb="FF3F3F76"/>
      <name val="宋体"/>
      <charset val="0"/>
      <scheme val="minor"/>
    </font>
    <font>
      <sz val="11"/>
      <color rgb="FF9C0006"/>
      <name val="宋体"/>
      <charset val="0"/>
      <scheme val="minor"/>
    </font>
    <font>
      <sz val="11"/>
      <color rgb="FF9C6500"/>
      <name val="宋体"/>
      <charset val="0"/>
      <scheme val="minor"/>
    </font>
    <font>
      <u/>
      <sz val="11"/>
      <color rgb="FF0000FF"/>
      <name val="宋体"/>
      <charset val="0"/>
      <scheme val="minor"/>
    </font>
    <font>
      <u/>
      <sz val="11"/>
      <color rgb="FF80008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sz val="11"/>
      <color rgb="FFFA7D00"/>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b/>
      <sz val="11"/>
      <color theme="1"/>
      <name val="宋体"/>
      <charset val="0"/>
      <scheme val="minor"/>
    </font>
    <font>
      <sz val="11"/>
      <color rgb="FF006100"/>
      <name val="宋体"/>
      <charset val="0"/>
      <scheme val="minor"/>
    </font>
    <font>
      <sz val="11"/>
      <color theme="1"/>
      <name val="宋体"/>
      <charset val="134"/>
    </font>
  </fonts>
  <fills count="34">
    <fill>
      <patternFill patternType="none"/>
    </fill>
    <fill>
      <patternFill patternType="gray125"/>
    </fill>
    <fill>
      <patternFill patternType="solid">
        <fgColor rgb="FFFFFF00"/>
        <bgColor indexed="64"/>
      </patternFill>
    </fill>
    <fill>
      <patternFill patternType="solid">
        <fgColor theme="5" tint="0.599993896298105"/>
        <bgColor indexed="64"/>
      </patternFill>
    </fill>
    <fill>
      <patternFill patternType="solid">
        <fgColor theme="5" tint="0.799981688894314"/>
        <bgColor indexed="64"/>
      </patternFill>
    </fill>
    <fill>
      <patternFill patternType="solid">
        <fgColor theme="5" tint="0.399975585192419"/>
        <bgColor indexed="64"/>
      </patternFill>
    </fill>
    <fill>
      <patternFill patternType="solid">
        <fgColor theme="8" tint="0.799981688894314"/>
        <bgColor indexed="64"/>
      </patternFill>
    </fill>
    <fill>
      <patternFill patternType="solid">
        <fgColor theme="4" tint="0.399975585192419"/>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7" tint="0.599993896298105"/>
        <bgColor indexed="64"/>
      </patternFill>
    </fill>
    <fill>
      <patternFill patternType="solid">
        <fgColor theme="7"/>
        <bgColor indexed="64"/>
      </patternFill>
    </fill>
    <fill>
      <patternFill patternType="solid">
        <fgColor theme="4"/>
        <bgColor indexed="64"/>
      </patternFill>
    </fill>
    <fill>
      <patternFill patternType="solid">
        <fgColor theme="9" tint="0.799981688894314"/>
        <bgColor indexed="64"/>
      </patternFill>
    </fill>
    <fill>
      <patternFill patternType="solid">
        <fgColor rgb="FFFFCC99"/>
        <bgColor indexed="64"/>
      </patternFill>
    </fill>
    <fill>
      <patternFill patternType="solid">
        <fgColor rgb="FFFFC7CE"/>
        <bgColor indexed="64"/>
      </patternFill>
    </fill>
    <fill>
      <patternFill patternType="solid">
        <fgColor rgb="FFFFEB9C"/>
        <bgColor indexed="64"/>
      </patternFill>
    </fill>
    <fill>
      <patternFill patternType="solid">
        <fgColor theme="5"/>
        <bgColor indexed="64"/>
      </patternFill>
    </fill>
    <fill>
      <patternFill patternType="solid">
        <fgColor theme="6" tint="0.399975585192419"/>
        <bgColor indexed="64"/>
      </patternFill>
    </fill>
    <fill>
      <patternFill patternType="solid">
        <fgColor rgb="FFFFFFCC"/>
        <bgColor indexed="64"/>
      </patternFill>
    </fill>
    <fill>
      <patternFill patternType="solid">
        <fgColor theme="9" tint="0.599993896298105"/>
        <bgColor indexed="64"/>
      </patternFill>
    </fill>
    <fill>
      <patternFill patternType="solid">
        <fgColor theme="7" tint="0.399975585192419"/>
        <bgColor indexed="64"/>
      </patternFill>
    </fill>
    <fill>
      <patternFill patternType="solid">
        <fgColor theme="8" tint="0.399975585192419"/>
        <bgColor indexed="64"/>
      </patternFill>
    </fill>
    <fill>
      <patternFill patternType="solid">
        <fgColor theme="6"/>
        <bgColor indexed="64"/>
      </patternFill>
    </fill>
    <fill>
      <patternFill patternType="solid">
        <fgColor rgb="FFF2F2F2"/>
        <bgColor indexed="64"/>
      </patternFill>
    </fill>
    <fill>
      <patternFill patternType="solid">
        <fgColor theme="4" tint="0.799981688894314"/>
        <bgColor indexed="64"/>
      </patternFill>
    </fill>
    <fill>
      <patternFill patternType="solid">
        <fgColor rgb="FFA5A5A5"/>
        <bgColor indexed="64"/>
      </patternFill>
    </fill>
    <fill>
      <patternFill patternType="solid">
        <fgColor theme="9"/>
        <bgColor indexed="64"/>
      </patternFill>
    </fill>
    <fill>
      <patternFill patternType="solid">
        <fgColor theme="8" tint="0.599993896298105"/>
        <bgColor indexed="64"/>
      </patternFill>
    </fill>
    <fill>
      <patternFill patternType="solid">
        <fgColor theme="7" tint="0.799981688894314"/>
        <bgColor indexed="64"/>
      </patternFill>
    </fill>
    <fill>
      <patternFill patternType="solid">
        <fgColor theme="4" tint="0.599993896298105"/>
        <bgColor indexed="64"/>
      </patternFill>
    </fill>
    <fill>
      <patternFill patternType="solid">
        <fgColor rgb="FFC6EFCE"/>
        <bgColor indexed="64"/>
      </patternFill>
    </fill>
    <fill>
      <patternFill patternType="solid">
        <fgColor theme="9" tint="0.399975585192419"/>
        <bgColor indexed="64"/>
      </patternFill>
    </fill>
    <fill>
      <patternFill patternType="solid">
        <fgColor theme="8"/>
        <bgColor indexed="64"/>
      </patternFill>
    </fill>
  </fills>
  <borders count="16">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top style="thin">
        <color auto="1"/>
      </top>
      <bottom style="thin">
        <color auto="1"/>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double">
        <color rgb="FFFF8001"/>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s>
  <cellStyleXfs count="49">
    <xf numFmtId="0" fontId="0" fillId="0" borderId="0"/>
    <xf numFmtId="42" fontId="2" fillId="0" borderId="0" applyFont="0" applyFill="0" applyBorder="0" applyAlignment="0" applyProtection="0">
      <alignment vertical="center"/>
    </xf>
    <xf numFmtId="0" fontId="13" fillId="8" borderId="0" applyNumberFormat="0" applyBorder="0" applyAlignment="0" applyProtection="0">
      <alignment vertical="center"/>
    </xf>
    <xf numFmtId="0" fontId="16" fillId="14" borderId="9" applyNumberFormat="0" applyAlignment="0" applyProtection="0">
      <alignment vertical="center"/>
    </xf>
    <xf numFmtId="44" fontId="2" fillId="0" borderId="0" applyFont="0" applyFill="0" applyBorder="0" applyAlignment="0" applyProtection="0">
      <alignment vertical="center"/>
    </xf>
    <xf numFmtId="41" fontId="2" fillId="0" borderId="0" applyFont="0" applyFill="0" applyBorder="0" applyAlignment="0" applyProtection="0">
      <alignment vertical="center"/>
    </xf>
    <xf numFmtId="0" fontId="13" fillId="9" borderId="0" applyNumberFormat="0" applyBorder="0" applyAlignment="0" applyProtection="0">
      <alignment vertical="center"/>
    </xf>
    <xf numFmtId="0" fontId="17" fillId="15" borderId="0" applyNumberFormat="0" applyBorder="0" applyAlignment="0" applyProtection="0">
      <alignment vertical="center"/>
    </xf>
    <xf numFmtId="43" fontId="2" fillId="0" borderId="0" applyFont="0" applyFill="0" applyBorder="0" applyAlignment="0" applyProtection="0">
      <alignment vertical="center"/>
    </xf>
    <xf numFmtId="0" fontId="14" fillId="18" borderId="0" applyNumberFormat="0" applyBorder="0" applyAlignment="0" applyProtection="0">
      <alignment vertical="center"/>
    </xf>
    <xf numFmtId="0" fontId="19" fillId="0" borderId="0" applyNumberFormat="0" applyFill="0" applyBorder="0" applyAlignment="0" applyProtection="0">
      <alignment vertical="center"/>
    </xf>
    <xf numFmtId="9" fontId="2" fillId="0" borderId="0" applyFont="0" applyFill="0" applyBorder="0" applyAlignment="0" applyProtection="0">
      <alignment vertical="center"/>
    </xf>
    <xf numFmtId="0" fontId="20" fillId="0" borderId="0" applyNumberFormat="0" applyFill="0" applyBorder="0" applyAlignment="0" applyProtection="0">
      <alignment vertical="center"/>
    </xf>
    <xf numFmtId="0" fontId="2" fillId="19" borderId="10" applyNumberFormat="0" applyFont="0" applyAlignment="0" applyProtection="0">
      <alignment vertical="center"/>
    </xf>
    <xf numFmtId="0" fontId="14" fillId="5" borderId="0" applyNumberFormat="0" applyBorder="0" applyAlignment="0" applyProtection="0">
      <alignment vertical="center"/>
    </xf>
    <xf numFmtId="0" fontId="12"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11" applyNumberFormat="0" applyFill="0" applyAlignment="0" applyProtection="0">
      <alignment vertical="center"/>
    </xf>
    <xf numFmtId="0" fontId="24" fillId="0" borderId="11" applyNumberFormat="0" applyFill="0" applyAlignment="0" applyProtection="0">
      <alignment vertical="center"/>
    </xf>
    <xf numFmtId="0" fontId="14" fillId="7" borderId="0" applyNumberFormat="0" applyBorder="0" applyAlignment="0" applyProtection="0">
      <alignment vertical="center"/>
    </xf>
    <xf numFmtId="0" fontId="12" fillId="0" borderId="8" applyNumberFormat="0" applyFill="0" applyAlignment="0" applyProtection="0">
      <alignment vertical="center"/>
    </xf>
    <xf numFmtId="0" fontId="14" fillId="21" borderId="0" applyNumberFormat="0" applyBorder="0" applyAlignment="0" applyProtection="0">
      <alignment vertical="center"/>
    </xf>
    <xf numFmtId="0" fontId="26" fillId="24" borderId="13" applyNumberFormat="0" applyAlignment="0" applyProtection="0">
      <alignment vertical="center"/>
    </xf>
    <xf numFmtId="0" fontId="27" fillId="24" borderId="9" applyNumberFormat="0" applyAlignment="0" applyProtection="0">
      <alignment vertical="center"/>
    </xf>
    <xf numFmtId="0" fontId="28" fillId="26" borderId="14" applyNumberFormat="0" applyAlignment="0" applyProtection="0">
      <alignment vertical="center"/>
    </xf>
    <xf numFmtId="0" fontId="13" fillId="13" borderId="0" applyNumberFormat="0" applyBorder="0" applyAlignment="0" applyProtection="0">
      <alignment vertical="center"/>
    </xf>
    <xf numFmtId="0" fontId="14" fillId="17" borderId="0" applyNumberFormat="0" applyBorder="0" applyAlignment="0" applyProtection="0">
      <alignment vertical="center"/>
    </xf>
    <xf numFmtId="0" fontId="25" fillId="0" borderId="12" applyNumberFormat="0" applyFill="0" applyAlignment="0" applyProtection="0">
      <alignment vertical="center"/>
    </xf>
    <xf numFmtId="0" fontId="29" fillId="0" borderId="15" applyNumberFormat="0" applyFill="0" applyAlignment="0" applyProtection="0">
      <alignment vertical="center"/>
    </xf>
    <xf numFmtId="0" fontId="30" fillId="31" borderId="0" applyNumberFormat="0" applyBorder="0" applyAlignment="0" applyProtection="0">
      <alignment vertical="center"/>
    </xf>
    <xf numFmtId="0" fontId="18" fillId="16" borderId="0" applyNumberFormat="0" applyBorder="0" applyAlignment="0" applyProtection="0">
      <alignment vertical="center"/>
    </xf>
    <xf numFmtId="0" fontId="13" fillId="6" borderId="0" applyNumberFormat="0" applyBorder="0" applyAlignment="0" applyProtection="0">
      <alignment vertical="center"/>
    </xf>
    <xf numFmtId="0" fontId="14" fillId="12" borderId="0" applyNumberFormat="0" applyBorder="0" applyAlignment="0" applyProtection="0">
      <alignment vertical="center"/>
    </xf>
    <xf numFmtId="0" fontId="13" fillId="25" borderId="0" applyNumberFormat="0" applyBorder="0" applyAlignment="0" applyProtection="0">
      <alignment vertical="center"/>
    </xf>
    <xf numFmtId="0" fontId="13" fillId="30" borderId="0" applyNumberFormat="0" applyBorder="0" applyAlignment="0" applyProtection="0">
      <alignment vertical="center"/>
    </xf>
    <xf numFmtId="0" fontId="13" fillId="4" borderId="0" applyNumberFormat="0" applyBorder="0" applyAlignment="0" applyProtection="0">
      <alignment vertical="center"/>
    </xf>
    <xf numFmtId="0" fontId="13" fillId="3" borderId="0" applyNumberFormat="0" applyBorder="0" applyAlignment="0" applyProtection="0">
      <alignment vertical="center"/>
    </xf>
    <xf numFmtId="0" fontId="14" fillId="23" borderId="0" applyNumberFormat="0" applyBorder="0" applyAlignment="0" applyProtection="0">
      <alignment vertical="center"/>
    </xf>
    <xf numFmtId="0" fontId="14" fillId="11" borderId="0" applyNumberFormat="0" applyBorder="0" applyAlignment="0" applyProtection="0">
      <alignment vertical="center"/>
    </xf>
    <xf numFmtId="0" fontId="13" fillId="29" borderId="0" applyNumberFormat="0" applyBorder="0" applyAlignment="0" applyProtection="0">
      <alignment vertical="center"/>
    </xf>
    <xf numFmtId="0" fontId="13" fillId="10" borderId="0" applyNumberFormat="0" applyBorder="0" applyAlignment="0" applyProtection="0">
      <alignment vertical="center"/>
    </xf>
    <xf numFmtId="0" fontId="14" fillId="33" borderId="0" applyNumberFormat="0" applyBorder="0" applyAlignment="0" applyProtection="0">
      <alignment vertical="center"/>
    </xf>
    <xf numFmtId="0" fontId="13" fillId="28" borderId="0" applyNumberFormat="0" applyBorder="0" applyAlignment="0" applyProtection="0">
      <alignment vertical="center"/>
    </xf>
    <xf numFmtId="0" fontId="14" fillId="22" borderId="0" applyNumberFormat="0" applyBorder="0" applyAlignment="0" applyProtection="0">
      <alignment vertical="center"/>
    </xf>
    <xf numFmtId="0" fontId="14" fillId="27" borderId="0" applyNumberFormat="0" applyBorder="0" applyAlignment="0" applyProtection="0">
      <alignment vertical="center"/>
    </xf>
    <xf numFmtId="0" fontId="13" fillId="20" borderId="0" applyNumberFormat="0" applyBorder="0" applyAlignment="0" applyProtection="0">
      <alignment vertical="center"/>
    </xf>
    <xf numFmtId="0" fontId="14" fillId="32" borderId="0" applyNumberFormat="0" applyBorder="0" applyAlignment="0" applyProtection="0">
      <alignment vertical="center"/>
    </xf>
  </cellStyleXfs>
  <cellXfs count="48">
    <xf numFmtId="0" fontId="0" fillId="0" borderId="0" xfId="0"/>
    <xf numFmtId="0" fontId="0" fillId="0" borderId="0" xfId="0" applyFont="1" applyFill="1" applyAlignment="1"/>
    <xf numFmtId="0" fontId="1" fillId="0" borderId="0" xfId="0" applyFont="1" applyFill="1" applyAlignment="1">
      <alignment vertical="center"/>
    </xf>
    <xf numFmtId="0" fontId="2" fillId="0" borderId="0" xfId="0" applyFont="1" applyFill="1" applyAlignment="1">
      <alignment vertical="center"/>
    </xf>
    <xf numFmtId="0" fontId="3" fillId="0" borderId="1" xfId="0" applyFont="1" applyFill="1" applyBorder="1" applyAlignment="1">
      <alignment vertical="center"/>
    </xf>
    <xf numFmtId="0" fontId="1" fillId="0" borderId="1" xfId="0" applyFont="1" applyFill="1" applyBorder="1" applyAlignment="1">
      <alignment vertical="center"/>
    </xf>
    <xf numFmtId="0" fontId="4" fillId="0" borderId="0" xfId="0" applyFont="1" applyFill="1" applyAlignment="1">
      <alignment vertical="center" wrapText="1"/>
    </xf>
    <xf numFmtId="0" fontId="5" fillId="0" borderId="1" xfId="0" applyFont="1" applyFill="1" applyBorder="1" applyAlignment="1">
      <alignment vertical="center"/>
    </xf>
    <xf numFmtId="0" fontId="5" fillId="0" borderId="1" xfId="0" applyFont="1" applyFill="1" applyBorder="1" applyAlignment="1">
      <alignment horizontal="left" vertical="center"/>
    </xf>
    <xf numFmtId="0" fontId="5" fillId="0" borderId="1" xfId="0" applyFont="1" applyFill="1" applyBorder="1" applyAlignment="1">
      <alignment horizontal="right" vertical="center"/>
    </xf>
    <xf numFmtId="0" fontId="6" fillId="0" borderId="1" xfId="0" applyNumberFormat="1" applyFont="1" applyFill="1" applyBorder="1" applyAlignment="1">
      <alignment horizontal="center" vertical="center"/>
    </xf>
    <xf numFmtId="0" fontId="7" fillId="0" borderId="1" xfId="0" applyFont="1" applyFill="1" applyBorder="1" applyAlignment="1" applyProtection="1">
      <alignment horizontal="center" vertical="center"/>
    </xf>
    <xf numFmtId="0" fontId="7" fillId="0" borderId="1" xfId="0" applyFont="1" applyFill="1" applyBorder="1" applyAlignment="1" applyProtection="1">
      <alignment horizontal="left" vertical="center"/>
    </xf>
    <xf numFmtId="0" fontId="7" fillId="2" borderId="1" xfId="0" applyFont="1" applyFill="1" applyBorder="1" applyAlignment="1" applyProtection="1">
      <alignment horizontal="center" vertical="center"/>
    </xf>
    <xf numFmtId="49" fontId="7" fillId="0" borderId="1" xfId="0" applyNumberFormat="1" applyFont="1" applyFill="1" applyBorder="1" applyAlignment="1" applyProtection="1">
      <alignment horizontal="center" vertical="center"/>
    </xf>
    <xf numFmtId="49" fontId="7" fillId="0" borderId="1" xfId="0" applyNumberFormat="1" applyFont="1" applyFill="1" applyBorder="1" applyAlignment="1" applyProtection="1">
      <alignment horizontal="left" vertical="center"/>
    </xf>
    <xf numFmtId="49" fontId="8" fillId="0" borderId="1" xfId="0" applyNumberFormat="1" applyFont="1" applyFill="1" applyBorder="1" applyAlignment="1" applyProtection="1">
      <alignment horizontal="center" vertical="center"/>
    </xf>
    <xf numFmtId="0" fontId="6" fillId="0" borderId="1" xfId="0" applyFont="1" applyFill="1" applyBorder="1" applyAlignment="1">
      <alignment horizontal="center" vertical="center"/>
    </xf>
    <xf numFmtId="0" fontId="6" fillId="0" borderId="2" xfId="0" applyFont="1" applyFill="1" applyBorder="1" applyAlignment="1">
      <alignment horizontal="center" vertical="center"/>
    </xf>
    <xf numFmtId="49" fontId="6" fillId="0" borderId="1" xfId="0" applyNumberFormat="1" applyFont="1" applyFill="1" applyBorder="1" applyAlignment="1">
      <alignment horizontal="center" vertical="center"/>
    </xf>
    <xf numFmtId="0" fontId="6" fillId="0" borderId="1" xfId="0" applyFont="1" applyFill="1" applyBorder="1" applyAlignment="1">
      <alignment horizontal="left" vertical="center"/>
    </xf>
    <xf numFmtId="49" fontId="6" fillId="0" borderId="1" xfId="0" applyNumberFormat="1" applyFont="1" applyFill="1" applyBorder="1" applyAlignment="1">
      <alignment horizontal="right" vertical="center"/>
    </xf>
    <xf numFmtId="49" fontId="6" fillId="0" borderId="1" xfId="0" applyNumberFormat="1" applyFont="1" applyFill="1" applyBorder="1" applyAlignment="1">
      <alignment horizontal="left" vertical="center"/>
    </xf>
    <xf numFmtId="49" fontId="6" fillId="0" borderId="1" xfId="0" applyNumberFormat="1" applyFont="1" applyFill="1" applyBorder="1" applyAlignment="1" applyProtection="1">
      <alignment horizontal="left" vertical="center"/>
      <protection locked="0"/>
    </xf>
    <xf numFmtId="49" fontId="9" fillId="0" borderId="1" xfId="0" applyNumberFormat="1" applyFont="1" applyFill="1" applyBorder="1" applyAlignment="1">
      <alignment horizontal="left" vertical="center"/>
    </xf>
    <xf numFmtId="49" fontId="6" fillId="0" borderId="1" xfId="0" applyNumberFormat="1" applyFont="1" applyFill="1" applyBorder="1" applyAlignment="1">
      <alignment horizontal="left" vertical="center" wrapText="1"/>
    </xf>
    <xf numFmtId="0" fontId="9" fillId="0" borderId="1" xfId="0" applyFont="1" applyFill="1" applyBorder="1" applyAlignment="1">
      <alignment horizontal="left" vertical="center"/>
    </xf>
    <xf numFmtId="0" fontId="10" fillId="0" borderId="1" xfId="0" applyFont="1" applyFill="1" applyBorder="1" applyAlignment="1">
      <alignment vertical="center"/>
    </xf>
    <xf numFmtId="49" fontId="6" fillId="0" borderId="3" xfId="0" applyNumberFormat="1" applyFont="1" applyFill="1" applyBorder="1" applyAlignment="1">
      <alignment horizontal="left" vertical="center"/>
    </xf>
    <xf numFmtId="0" fontId="10" fillId="0" borderId="4" xfId="0" applyFont="1" applyFill="1" applyBorder="1" applyAlignment="1">
      <alignment horizontal="right" vertical="center"/>
    </xf>
    <xf numFmtId="0" fontId="7" fillId="0" borderId="1" xfId="0" applyNumberFormat="1" applyFont="1" applyFill="1" applyBorder="1" applyAlignment="1" applyProtection="1">
      <alignment horizontal="center" vertical="center"/>
    </xf>
    <xf numFmtId="0" fontId="6" fillId="0" borderId="1" xfId="0" applyFont="1" applyFill="1" applyBorder="1" applyAlignment="1">
      <alignment horizontal="right" vertical="center"/>
    </xf>
    <xf numFmtId="0" fontId="6" fillId="0" borderId="1" xfId="0" applyNumberFormat="1" applyFont="1" applyFill="1" applyBorder="1" applyAlignment="1">
      <alignment horizontal="center" vertical="center" wrapText="1"/>
    </xf>
    <xf numFmtId="0" fontId="6" fillId="0" borderId="5" xfId="0" applyFont="1" applyFill="1" applyBorder="1" applyAlignment="1">
      <alignment horizontal="center" vertical="center"/>
    </xf>
    <xf numFmtId="0" fontId="6" fillId="0" borderId="6" xfId="0" applyFont="1" applyFill="1" applyBorder="1" applyAlignment="1">
      <alignment horizontal="center" vertical="center"/>
    </xf>
    <xf numFmtId="0" fontId="6" fillId="0" borderId="1" xfId="0" applyFont="1" applyFill="1" applyBorder="1" applyAlignment="1">
      <alignment vertical="center"/>
    </xf>
    <xf numFmtId="0" fontId="6" fillId="0" borderId="0" xfId="0" applyFont="1" applyFill="1" applyAlignment="1">
      <alignment horizontal="center" vertical="center"/>
    </xf>
    <xf numFmtId="0" fontId="6" fillId="2" borderId="1" xfId="0" applyFont="1" applyFill="1" applyBorder="1" applyAlignment="1">
      <alignment horizontal="center" vertical="center"/>
    </xf>
    <xf numFmtId="49" fontId="11" fillId="0" borderId="1" xfId="0" applyNumberFormat="1" applyFont="1" applyFill="1" applyBorder="1" applyAlignment="1">
      <alignment horizontal="left" vertical="center"/>
    </xf>
    <xf numFmtId="0" fontId="11" fillId="0" borderId="1" xfId="0" applyFont="1" applyFill="1" applyBorder="1" applyAlignment="1">
      <alignment horizontal="left" vertical="center"/>
    </xf>
    <xf numFmtId="0" fontId="7" fillId="0" borderId="3" xfId="0" applyFont="1" applyFill="1" applyBorder="1" applyAlignment="1" applyProtection="1">
      <alignment horizontal="center" vertical="center"/>
    </xf>
    <xf numFmtId="0" fontId="7" fillId="0" borderId="7" xfId="0" applyFont="1" applyFill="1" applyBorder="1" applyAlignment="1" applyProtection="1">
      <alignment horizontal="center" vertical="center"/>
    </xf>
    <xf numFmtId="0" fontId="7" fillId="0" borderId="4" xfId="0" applyFont="1" applyFill="1" applyBorder="1" applyAlignment="1" applyProtection="1">
      <alignment horizontal="center" vertical="center"/>
    </xf>
    <xf numFmtId="0" fontId="9" fillId="0" borderId="1" xfId="0" applyFont="1" applyFill="1" applyBorder="1" applyAlignment="1">
      <alignment horizontal="left" vertical="center" wrapText="1"/>
    </xf>
    <xf numFmtId="49" fontId="11" fillId="0" borderId="1" xfId="0" applyNumberFormat="1" applyFont="1" applyFill="1" applyBorder="1" applyAlignment="1">
      <alignment vertical="center"/>
    </xf>
    <xf numFmtId="0" fontId="6" fillId="0" borderId="1" xfId="0" applyFont="1" applyFill="1" applyBorder="1" applyAlignment="1">
      <alignment horizontal="left" vertical="center" wrapText="1"/>
    </xf>
    <xf numFmtId="0" fontId="9" fillId="0" borderId="1" xfId="0" applyFont="1" applyFill="1" applyBorder="1" applyAlignment="1">
      <alignment horizontal="center" vertical="center"/>
    </xf>
    <xf numFmtId="0" fontId="9" fillId="0" borderId="2" xfId="0" applyFont="1" applyFill="1" applyBorder="1" applyAlignment="1">
      <alignment horizontal="center"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15">
    <dxf>
      <fill>
        <patternFill patternType="solid">
          <bgColor rgb="FFFFFF00"/>
        </patternFill>
      </fill>
    </dxf>
    <dxf>
      <fill>
        <patternFill patternType="solid">
          <bgColor theme="0" tint="-0.15"/>
        </patternFill>
      </fill>
    </dxf>
    <dxf>
      <fill>
        <patternFill patternType="solid">
          <bgColor theme="9" tint="0.4"/>
        </patternFill>
      </fill>
    </dxf>
    <dxf>
      <fill>
        <patternFill patternType="solid">
          <bgColor theme="9" tint="0.6"/>
        </patternFill>
      </fill>
    </dxf>
    <dxf>
      <font>
        <b val="0"/>
        <i val="0"/>
      </font>
      <fill>
        <patternFill patternType="solid">
          <bgColor theme="8" tint="0.4"/>
        </patternFill>
      </fill>
    </dxf>
    <dxf>
      <fill>
        <patternFill patternType="solid">
          <bgColor theme="8" tint="0.6"/>
        </patternFill>
      </fill>
    </dxf>
    <dxf>
      <fill>
        <patternFill patternType="solid">
          <bgColor theme="7" tint="0.4"/>
        </patternFill>
      </fill>
    </dxf>
    <dxf>
      <fill>
        <patternFill patternType="solid">
          <bgColor theme="7" tint="0.6"/>
        </patternFill>
      </fill>
    </dxf>
    <dxf>
      <fill>
        <patternFill patternType="solid">
          <bgColor rgb="FFDAED05"/>
        </patternFill>
      </fill>
    </dxf>
    <dxf>
      <fill>
        <patternFill patternType="solid">
          <bgColor rgb="FFF0B928"/>
        </patternFill>
      </fill>
    </dxf>
    <dxf>
      <fill>
        <patternFill patternType="solid">
          <bgColor rgb="FFFF8810"/>
        </patternFill>
      </fill>
    </dxf>
    <dxf>
      <font>
        <color theme="1"/>
      </font>
      <fill>
        <patternFill patternType="solid">
          <bgColor theme="5" tint="0.6"/>
        </patternFill>
      </fill>
    </dxf>
    <dxf>
      <font>
        <color theme="1"/>
      </font>
      <fill>
        <patternFill patternType="solid">
          <bgColor theme="4" tint="0.6"/>
        </patternFill>
      </fill>
    </dxf>
    <dxf>
      <fill>
        <patternFill patternType="solid">
          <bgColor rgb="FF88DB29"/>
        </patternFill>
      </fill>
    </dxf>
    <dxf>
      <fill>
        <patternFill patternType="solid">
          <bgColor rgb="FF17C913"/>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7" Type="http://schemas.openxmlformats.org/officeDocument/2006/relationships/styles" Target="styles.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theme/theme1.xml><?xml version="1.0" encoding="utf-8"?>
<a:theme xmlns:a="http://schemas.openxmlformats.org/drawingml/2006/main" name="Ofis Teması">
  <a:themeElements>
    <a:clrScheme name="Ofis">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is">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is">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R307"/>
  <sheetViews>
    <sheetView zoomScale="70" zoomScaleNormal="70" workbookViewId="0">
      <selection activeCell="U118" sqref="U118"/>
    </sheetView>
  </sheetViews>
  <sheetFormatPr defaultColWidth="8.73148148148148" defaultRowHeight="14.4"/>
  <cols>
    <col min="1" max="1" width="5.22222222222222" style="3" customWidth="1"/>
    <col min="2" max="2" width="9.22222222222222" style="3" customWidth="1"/>
    <col min="3" max="3" width="10.7777777777778" style="3" customWidth="1"/>
    <col min="4" max="5" width="5.22222222222222" style="3" customWidth="1"/>
    <col min="6" max="6" width="23.1111111111111" style="3" customWidth="1"/>
    <col min="7" max="7" width="9.66666666666667" style="3" customWidth="1"/>
    <col min="8" max="9" width="8.66666666666667" style="3" customWidth="1"/>
    <col min="10" max="10" width="9.22222222222222" style="3" customWidth="1"/>
    <col min="11" max="11" width="26.8888888888889" style="3" customWidth="1"/>
    <col min="12" max="12" width="21.8888888888889" style="3" customWidth="1"/>
    <col min="13" max="14" width="9.22222222222222" style="3" customWidth="1"/>
    <col min="15" max="15" width="28.2222222222222" style="3" customWidth="1"/>
    <col min="16" max="16" width="40.7777777777778" style="3" customWidth="1"/>
    <col min="17" max="17" width="2.66666666666667" style="9" customWidth="1"/>
    <col min="18" max="18" width="15.0740740740741" style="36" customWidth="1"/>
    <col min="19" max="16384" width="8.73148148148148" style="3"/>
  </cols>
  <sheetData>
    <row r="1" spans="1:18">
      <c r="A1" s="11" t="s">
        <v>0</v>
      </c>
      <c r="B1" s="11"/>
      <c r="C1" s="11"/>
      <c r="D1" s="11" t="s">
        <v>1</v>
      </c>
      <c r="E1" s="11"/>
      <c r="F1" s="12"/>
      <c r="G1" s="11"/>
      <c r="H1" s="11"/>
      <c r="I1" s="11"/>
      <c r="J1" s="11"/>
      <c r="K1" s="11"/>
      <c r="L1" s="11"/>
      <c r="M1" s="11"/>
      <c r="N1" s="11"/>
      <c r="O1" s="12"/>
      <c r="P1" s="11"/>
      <c r="Q1" s="29"/>
      <c r="R1" s="11"/>
    </row>
    <row r="2" spans="1:18">
      <c r="A2" s="11"/>
      <c r="B2" s="11"/>
      <c r="C2" s="11"/>
      <c r="D2" s="11"/>
      <c r="E2" s="11"/>
      <c r="F2" s="12"/>
      <c r="G2" s="11"/>
      <c r="H2" s="11"/>
      <c r="I2" s="11"/>
      <c r="J2" s="11"/>
      <c r="K2" s="11"/>
      <c r="L2" s="11"/>
      <c r="M2" s="11"/>
      <c r="N2" s="11"/>
      <c r="O2" s="12"/>
      <c r="P2" s="11"/>
      <c r="Q2" s="29"/>
      <c r="R2" s="11"/>
    </row>
    <row r="3" spans="1:18">
      <c r="A3" s="13" t="s">
        <v>2</v>
      </c>
      <c r="B3" s="13" t="s">
        <v>3</v>
      </c>
      <c r="C3" s="13" t="s">
        <v>4</v>
      </c>
      <c r="D3" s="11" t="s">
        <v>5</v>
      </c>
      <c r="E3" s="14" t="s">
        <v>6</v>
      </c>
      <c r="F3" s="15" t="s">
        <v>3</v>
      </c>
      <c r="G3" s="14" t="s">
        <v>7</v>
      </c>
      <c r="H3" s="16" t="s">
        <v>8</v>
      </c>
      <c r="I3" s="16" t="s">
        <v>9</v>
      </c>
      <c r="J3" s="40" t="s">
        <v>10</v>
      </c>
      <c r="K3" s="41"/>
      <c r="L3" s="41"/>
      <c r="M3" s="42"/>
      <c r="N3" s="14" t="s">
        <v>11</v>
      </c>
      <c r="O3" s="14" t="s">
        <v>12</v>
      </c>
      <c r="P3" s="14" t="s">
        <v>13</v>
      </c>
      <c r="Q3" s="29"/>
      <c r="R3" s="14"/>
    </row>
    <row r="4" spans="1:18">
      <c r="A4" s="13"/>
      <c r="B4" s="13"/>
      <c r="C4" s="13"/>
      <c r="D4" s="11"/>
      <c r="E4" s="11"/>
      <c r="F4" s="12"/>
      <c r="G4" s="11"/>
      <c r="H4" s="11"/>
      <c r="I4" s="11"/>
      <c r="J4" s="11" t="s">
        <v>14</v>
      </c>
      <c r="K4" s="11" t="s">
        <v>15</v>
      </c>
      <c r="L4" s="11" t="s">
        <v>16</v>
      </c>
      <c r="M4" s="14" t="s">
        <v>17</v>
      </c>
      <c r="N4" s="11"/>
      <c r="O4" s="11"/>
      <c r="P4" s="11"/>
      <c r="Q4" s="29"/>
      <c r="R4" s="11"/>
    </row>
    <row r="5" spans="1:18">
      <c r="A5" s="33">
        <v>1</v>
      </c>
      <c r="B5" s="33" t="s">
        <v>18</v>
      </c>
      <c r="C5" s="33" t="s">
        <v>19</v>
      </c>
      <c r="D5" s="37">
        <v>0</v>
      </c>
      <c r="E5" s="19" t="s">
        <v>20</v>
      </c>
      <c r="F5" s="38" t="s">
        <v>21</v>
      </c>
      <c r="G5" s="21" t="s">
        <v>22</v>
      </c>
      <c r="H5" s="21" t="s">
        <v>23</v>
      </c>
      <c r="I5" s="21" t="s">
        <v>24</v>
      </c>
      <c r="J5" s="17" t="s">
        <v>25</v>
      </c>
      <c r="K5" s="17" t="s">
        <v>26</v>
      </c>
      <c r="L5" s="17" t="s">
        <v>27</v>
      </c>
      <c r="M5" s="19" t="s">
        <v>28</v>
      </c>
      <c r="N5" s="17"/>
      <c r="O5" s="22" t="s">
        <v>19</v>
      </c>
      <c r="P5" s="22"/>
      <c r="Q5" s="31">
        <f t="shared" ref="Q5:Q24" si="0">IF(OR(F5="",LEFT(TRIM(F5),3)=E5),1,0)</f>
        <v>1</v>
      </c>
      <c r="R5" s="32" t="str">
        <f t="shared" ref="R5:R24" si="1">"P"&amp;TEXT(INT(D5/256),"00")&amp;"."&amp;TEXT(MOD(D5,256),"000")</f>
        <v>P00.000</v>
      </c>
    </row>
    <row r="6" spans="1:18">
      <c r="A6" s="18"/>
      <c r="B6" s="18"/>
      <c r="C6" s="18"/>
      <c r="D6" s="17">
        <f>INDEX(D:D,ROW()-1)+_xlfn.IFS(INDEX(E:E,ROW()-1)="u16",1,INDEX(E:E,ROW()-1)="s16",1,INDEX(E:E,ROW()-1)="s32",2,INDEX(E:E,ROW()-1)="s64",4,INDEX(E:E,ROW()-1)="u16",1,INDEX(E:E,ROW()-1)="u32",2,INDEX(E:E,ROW()-1)="u64",4,INDEX(E:E,ROW()-1)="f32",2,INDEX(E:E,ROW()-1)="f64",4)</f>
        <v>2</v>
      </c>
      <c r="E6" s="19" t="s">
        <v>29</v>
      </c>
      <c r="F6" s="39"/>
      <c r="G6" s="21" t="s">
        <v>23</v>
      </c>
      <c r="H6" s="21" t="s">
        <v>23</v>
      </c>
      <c r="I6" s="21" t="s">
        <v>30</v>
      </c>
      <c r="J6" s="17" t="s">
        <v>25</v>
      </c>
      <c r="K6" s="17" t="s">
        <v>31</v>
      </c>
      <c r="L6" s="17" t="s">
        <v>32</v>
      </c>
      <c r="M6" s="19" t="s">
        <v>28</v>
      </c>
      <c r="N6" s="17"/>
      <c r="O6" s="20"/>
      <c r="P6" s="20"/>
      <c r="Q6" s="31">
        <f t="shared" si="0"/>
        <v>1</v>
      </c>
      <c r="R6" s="32" t="str">
        <f t="shared" si="1"/>
        <v>P00.002</v>
      </c>
    </row>
    <row r="7" spans="1:18">
      <c r="A7" s="18"/>
      <c r="B7" s="18"/>
      <c r="C7" s="18"/>
      <c r="D7" s="17">
        <f>INDEX(D:D,ROW()-1)+_xlfn.IFS(INDEX(E:E,ROW()-1)="u16",1,INDEX(E:E,ROW()-1)="s16",1,INDEX(E:E,ROW()-1)="s32",2,INDEX(E:E,ROW()-1)="s64",4,INDEX(E:E,ROW()-1)="u16",1,INDEX(E:E,ROW()-1)="u32",2,INDEX(E:E,ROW()-1)="u64",4,INDEX(E:E,ROW()-1)="f32",2,INDEX(E:E,ROW()-1)="f64",4)</f>
        <v>3</v>
      </c>
      <c r="E7" s="19" t="s">
        <v>29</v>
      </c>
      <c r="F7" s="20"/>
      <c r="G7" s="21" t="s">
        <v>23</v>
      </c>
      <c r="H7" s="21" t="s">
        <v>23</v>
      </c>
      <c r="I7" s="21" t="s">
        <v>30</v>
      </c>
      <c r="J7" s="17" t="s">
        <v>25</v>
      </c>
      <c r="K7" s="17" t="s">
        <v>31</v>
      </c>
      <c r="L7" s="17" t="s">
        <v>32</v>
      </c>
      <c r="M7" s="19" t="s">
        <v>28</v>
      </c>
      <c r="N7" s="17"/>
      <c r="O7" s="20"/>
      <c r="P7" s="20"/>
      <c r="Q7" s="31">
        <f t="shared" si="0"/>
        <v>1</v>
      </c>
      <c r="R7" s="32" t="str">
        <f t="shared" si="1"/>
        <v>P00.003</v>
      </c>
    </row>
    <row r="8" spans="1:18">
      <c r="A8" s="18"/>
      <c r="B8" s="18"/>
      <c r="C8" s="18"/>
      <c r="D8" s="17">
        <f>INDEX(D:D,ROW()-1)+_xlfn.IFS(INDEX(E:E,ROW()-1)="u16",1,INDEX(E:E,ROW()-1)="s16",1,INDEX(E:E,ROW()-1)="s32",2,INDEX(E:E,ROW()-1)="s64",4,INDEX(E:E,ROW()-1)="u16",1,INDEX(E:E,ROW()-1)="u32",2,INDEX(E:E,ROW()-1)="u64",4,INDEX(E:E,ROW()-1)="f32",2,INDEX(E:E,ROW()-1)="f64",4)</f>
        <v>4</v>
      </c>
      <c r="E8" s="19" t="s">
        <v>20</v>
      </c>
      <c r="F8" s="38" t="s">
        <v>33</v>
      </c>
      <c r="G8" s="21" t="s">
        <v>23</v>
      </c>
      <c r="H8" s="21" t="s">
        <v>23</v>
      </c>
      <c r="I8" s="21" t="s">
        <v>24</v>
      </c>
      <c r="J8" s="17" t="s">
        <v>25</v>
      </c>
      <c r="K8" s="17" t="s">
        <v>26</v>
      </c>
      <c r="L8" s="17" t="s">
        <v>32</v>
      </c>
      <c r="M8" s="19" t="s">
        <v>28</v>
      </c>
      <c r="N8" s="17"/>
      <c r="O8" s="22" t="s">
        <v>34</v>
      </c>
      <c r="P8" s="20"/>
      <c r="Q8" s="31">
        <f t="shared" si="0"/>
        <v>1</v>
      </c>
      <c r="R8" s="32" t="str">
        <f t="shared" si="1"/>
        <v>P00.004</v>
      </c>
    </row>
    <row r="9" spans="1:18">
      <c r="A9" s="18"/>
      <c r="B9" s="18"/>
      <c r="C9" s="18"/>
      <c r="D9" s="17">
        <f>INDEX(D:D,ROW()-1)+_xlfn.IFS(INDEX(E:E,ROW()-1)="u16",1,INDEX(E:E,ROW()-1)="s16",1,INDEX(E:E,ROW()-1)="s32",2,INDEX(E:E,ROW()-1)="s64",4,INDEX(E:E,ROW()-1)="u16",1,INDEX(E:E,ROW()-1)="u32",2,INDEX(E:E,ROW()-1)="u64",4,INDEX(E:E,ROW()-1)="f32",2,INDEX(E:E,ROW()-1)="f64",4)</f>
        <v>6</v>
      </c>
      <c r="E9" s="19" t="s">
        <v>20</v>
      </c>
      <c r="F9" s="38" t="s">
        <v>35</v>
      </c>
      <c r="G9" s="21" t="s">
        <v>23</v>
      </c>
      <c r="H9" s="21" t="s">
        <v>23</v>
      </c>
      <c r="I9" s="21" t="s">
        <v>24</v>
      </c>
      <c r="J9" s="17" t="s">
        <v>25</v>
      </c>
      <c r="K9" s="17" t="s">
        <v>26</v>
      </c>
      <c r="L9" s="17" t="s">
        <v>32</v>
      </c>
      <c r="M9" s="19" t="s">
        <v>28</v>
      </c>
      <c r="N9" s="17"/>
      <c r="O9" s="22" t="s">
        <v>36</v>
      </c>
      <c r="P9" s="20"/>
      <c r="Q9" s="31">
        <f t="shared" si="0"/>
        <v>1</v>
      </c>
      <c r="R9" s="32" t="str">
        <f t="shared" si="1"/>
        <v>P00.006</v>
      </c>
    </row>
    <row r="10" spans="1:18">
      <c r="A10" s="18"/>
      <c r="B10" s="18"/>
      <c r="C10" s="18"/>
      <c r="D10" s="17">
        <f>INDEX(D:D,ROW()-1)+_xlfn.IFS(INDEX(E:E,ROW()-1)="u16",1,INDEX(E:E,ROW()-1)="s16",1,INDEX(E:E,ROW()-1)="s32",2,INDEX(E:E,ROW()-1)="s64",4,INDEX(E:E,ROW()-1)="u16",1,INDEX(E:E,ROW()-1)="u32",2,INDEX(E:E,ROW()-1)="u64",4,INDEX(E:E,ROW()-1)="f32",2,INDEX(E:E,ROW()-1)="f64",4)</f>
        <v>8</v>
      </c>
      <c r="E10" s="19" t="s">
        <v>29</v>
      </c>
      <c r="F10" s="39"/>
      <c r="G10" s="21" t="s">
        <v>23</v>
      </c>
      <c r="H10" s="21" t="s">
        <v>23</v>
      </c>
      <c r="I10" s="21" t="s">
        <v>30</v>
      </c>
      <c r="J10" s="17" t="s">
        <v>25</v>
      </c>
      <c r="K10" s="17" t="s">
        <v>26</v>
      </c>
      <c r="L10" s="17" t="s">
        <v>32</v>
      </c>
      <c r="M10" s="19" t="s">
        <v>28</v>
      </c>
      <c r="N10" s="17"/>
      <c r="O10" s="20"/>
      <c r="P10" s="20"/>
      <c r="Q10" s="31">
        <f t="shared" si="0"/>
        <v>1</v>
      </c>
      <c r="R10" s="32" t="str">
        <f t="shared" si="1"/>
        <v>P00.008</v>
      </c>
    </row>
    <row r="11" spans="1:18">
      <c r="A11" s="18"/>
      <c r="B11" s="18"/>
      <c r="C11" s="18"/>
      <c r="D11" s="17">
        <f>INDEX(D:D,ROW()-1)+_xlfn.IFS(INDEX(E:E,ROW()-1)="u16",1,INDEX(E:E,ROW()-1)="s16",1,INDEX(E:E,ROW()-1)="s32",2,INDEX(E:E,ROW()-1)="s64",4,INDEX(E:E,ROW()-1)="u16",1,INDEX(E:E,ROW()-1)="u32",2,INDEX(E:E,ROW()-1)="u64",4,INDEX(E:E,ROW()-1)="f32",2,INDEX(E:E,ROW()-1)="f64",4)</f>
        <v>9</v>
      </c>
      <c r="E11" s="19" t="s">
        <v>29</v>
      </c>
      <c r="F11" s="22" t="s">
        <v>37</v>
      </c>
      <c r="G11" s="21" t="s">
        <v>23</v>
      </c>
      <c r="H11" s="21" t="s">
        <v>23</v>
      </c>
      <c r="I11" s="21" t="s">
        <v>30</v>
      </c>
      <c r="J11" s="17" t="s">
        <v>25</v>
      </c>
      <c r="K11" s="17" t="s">
        <v>26</v>
      </c>
      <c r="L11" s="17" t="s">
        <v>32</v>
      </c>
      <c r="M11" s="19" t="s">
        <v>28</v>
      </c>
      <c r="N11" s="22"/>
      <c r="O11" s="22" t="s">
        <v>38</v>
      </c>
      <c r="P11" s="20"/>
      <c r="Q11" s="31">
        <f t="shared" si="0"/>
        <v>1</v>
      </c>
      <c r="R11" s="32" t="str">
        <f t="shared" si="1"/>
        <v>P00.009</v>
      </c>
    </row>
    <row r="12" spans="1:18">
      <c r="A12" s="18"/>
      <c r="B12" s="18"/>
      <c r="C12" s="18"/>
      <c r="D12" s="17">
        <f>INDEX(D:D,ROW()-1)+_xlfn.IFS(INDEX(E:E,ROW()-1)="u16",1,INDEX(E:E,ROW()-1)="s16",1,INDEX(E:E,ROW()-1)="s32",2,INDEX(E:E,ROW()-1)="s64",4,INDEX(E:E,ROW()-1)="u16",1,INDEX(E:E,ROW()-1)="u32",2,INDEX(E:E,ROW()-1)="u64",4,INDEX(E:E,ROW()-1)="f32",2,INDEX(E:E,ROW()-1)="f64",4)</f>
        <v>10</v>
      </c>
      <c r="E12" s="19" t="s">
        <v>29</v>
      </c>
      <c r="F12" s="39"/>
      <c r="G12" s="21" t="s">
        <v>23</v>
      </c>
      <c r="H12" s="21" t="s">
        <v>23</v>
      </c>
      <c r="I12" s="21" t="s">
        <v>30</v>
      </c>
      <c r="J12" s="17" t="s">
        <v>25</v>
      </c>
      <c r="K12" s="17" t="s">
        <v>26</v>
      </c>
      <c r="L12" s="17" t="s">
        <v>32</v>
      </c>
      <c r="M12" s="19" t="s">
        <v>28</v>
      </c>
      <c r="N12" s="17"/>
      <c r="O12" s="20"/>
      <c r="P12" s="20"/>
      <c r="Q12" s="31">
        <f t="shared" si="0"/>
        <v>1</v>
      </c>
      <c r="R12" s="32" t="str">
        <f t="shared" si="1"/>
        <v>P00.010</v>
      </c>
    </row>
    <row r="13" spans="1:18">
      <c r="A13" s="18"/>
      <c r="B13" s="18"/>
      <c r="C13" s="18"/>
      <c r="D13" s="17">
        <f>INDEX(D:D,ROW()-1)+_xlfn.IFS(INDEX(E:E,ROW()-1)="u16",1,INDEX(E:E,ROW()-1)="s16",1,INDEX(E:E,ROW()-1)="s32",2,INDEX(E:E,ROW()-1)="s64",4,INDEX(E:E,ROW()-1)="u16",1,INDEX(E:E,ROW()-1)="u32",2,INDEX(E:E,ROW()-1)="u64",4,INDEX(E:E,ROW()-1)="f32",2,INDEX(E:E,ROW()-1)="f64",4)</f>
        <v>11</v>
      </c>
      <c r="E13" s="19" t="s">
        <v>29</v>
      </c>
      <c r="F13" s="38" t="s">
        <v>39</v>
      </c>
      <c r="G13" s="21" t="s">
        <v>40</v>
      </c>
      <c r="H13" s="21" t="s">
        <v>23</v>
      </c>
      <c r="I13" s="21" t="s">
        <v>30</v>
      </c>
      <c r="J13" s="17" t="s">
        <v>25</v>
      </c>
      <c r="K13" s="17" t="s">
        <v>26</v>
      </c>
      <c r="L13" s="17" t="s">
        <v>32</v>
      </c>
      <c r="M13" s="19" t="s">
        <v>28</v>
      </c>
      <c r="N13" s="17"/>
      <c r="O13" s="22" t="s">
        <v>41</v>
      </c>
      <c r="P13" s="20"/>
      <c r="Q13" s="31">
        <f t="shared" si="0"/>
        <v>1</v>
      </c>
      <c r="R13" s="32" t="str">
        <f t="shared" si="1"/>
        <v>P00.011</v>
      </c>
    </row>
    <row r="14" spans="1:18">
      <c r="A14" s="18"/>
      <c r="B14" s="18"/>
      <c r="C14" s="18"/>
      <c r="D14" s="17">
        <f>INDEX(D:D,ROW()-1)+_xlfn.IFS(INDEX(E:E,ROW()-1)="u16",1,INDEX(E:E,ROW()-1)="s16",1,INDEX(E:E,ROW()-1)="s32",2,INDEX(E:E,ROW()-1)="s64",4,INDEX(E:E,ROW()-1)="u16",1,INDEX(E:E,ROW()-1)="u32",2,INDEX(E:E,ROW()-1)="u64",4,INDEX(E:E,ROW()-1)="f32",2,INDEX(E:E,ROW()-1)="f64",4)</f>
        <v>12</v>
      </c>
      <c r="E14" s="19" t="s">
        <v>29</v>
      </c>
      <c r="F14" s="38" t="s">
        <v>42</v>
      </c>
      <c r="G14" s="21" t="s">
        <v>43</v>
      </c>
      <c r="H14" s="21" t="s">
        <v>23</v>
      </c>
      <c r="I14" s="21" t="s">
        <v>30</v>
      </c>
      <c r="J14" s="17" t="s">
        <v>25</v>
      </c>
      <c r="K14" s="17" t="s">
        <v>26</v>
      </c>
      <c r="L14" s="17" t="s">
        <v>32</v>
      </c>
      <c r="M14" s="19" t="s">
        <v>28</v>
      </c>
      <c r="N14" s="17"/>
      <c r="O14" s="22" t="s">
        <v>44</v>
      </c>
      <c r="P14" s="20"/>
      <c r="Q14" s="31">
        <f t="shared" si="0"/>
        <v>1</v>
      </c>
      <c r="R14" s="32" t="str">
        <f t="shared" si="1"/>
        <v>P00.012</v>
      </c>
    </row>
    <row r="15" spans="1:18">
      <c r="A15" s="18"/>
      <c r="B15" s="18"/>
      <c r="C15" s="18"/>
      <c r="D15" s="17">
        <f>INDEX(D:D,ROW()-1)+_xlfn.IFS(INDEX(E:E,ROW()-1)="u16",1,INDEX(E:E,ROW()-1)="s16",1,INDEX(E:E,ROW()-1)="s32",2,INDEX(E:E,ROW()-1)="s64",4,INDEX(E:E,ROW()-1)="u16",1,INDEX(E:E,ROW()-1)="u32",2,INDEX(E:E,ROW()-1)="u64",4,INDEX(E:E,ROW()-1)="f32",2,INDEX(E:E,ROW()-1)="f64",4)</f>
        <v>13</v>
      </c>
      <c r="E15" s="19" t="s">
        <v>29</v>
      </c>
      <c r="F15" s="38" t="s">
        <v>45</v>
      </c>
      <c r="G15" s="21" t="s">
        <v>46</v>
      </c>
      <c r="H15" s="21" t="s">
        <v>23</v>
      </c>
      <c r="I15" s="21" t="s">
        <v>30</v>
      </c>
      <c r="J15" s="17" t="s">
        <v>25</v>
      </c>
      <c r="K15" s="17" t="s">
        <v>26</v>
      </c>
      <c r="L15" s="17" t="s">
        <v>32</v>
      </c>
      <c r="M15" s="19" t="s">
        <v>28</v>
      </c>
      <c r="N15" s="17"/>
      <c r="O15" s="22" t="s">
        <v>47</v>
      </c>
      <c r="P15" s="20"/>
      <c r="Q15" s="31">
        <f t="shared" si="0"/>
        <v>1</v>
      </c>
      <c r="R15" s="32" t="str">
        <f t="shared" si="1"/>
        <v>P00.013</v>
      </c>
    </row>
    <row r="16" spans="1:18">
      <c r="A16" s="18"/>
      <c r="B16" s="18"/>
      <c r="C16" s="18"/>
      <c r="D16" s="17">
        <f>INDEX(D:D,ROW()-1)+_xlfn.IFS(INDEX(E:E,ROW()-1)="u16",1,INDEX(E:E,ROW()-1)="s16",1,INDEX(E:E,ROW()-1)="s32",2,INDEX(E:E,ROW()-1)="s64",4,INDEX(E:E,ROW()-1)="u16",1,INDEX(E:E,ROW()-1)="u32",2,INDEX(E:E,ROW()-1)="u64",4,INDEX(E:E,ROW()-1)="f32",2,INDEX(E:E,ROW()-1)="f64",4)</f>
        <v>14</v>
      </c>
      <c r="E16" s="19" t="s">
        <v>29</v>
      </c>
      <c r="F16" s="38" t="s">
        <v>48</v>
      </c>
      <c r="G16" s="21" t="s">
        <v>43</v>
      </c>
      <c r="H16" s="21" t="s">
        <v>23</v>
      </c>
      <c r="I16" s="21" t="s">
        <v>30</v>
      </c>
      <c r="J16" s="17" t="s">
        <v>25</v>
      </c>
      <c r="K16" s="17" t="s">
        <v>26</v>
      </c>
      <c r="L16" s="17" t="s">
        <v>32</v>
      </c>
      <c r="M16" s="19" t="s">
        <v>28</v>
      </c>
      <c r="N16" s="17"/>
      <c r="O16" s="22" t="s">
        <v>49</v>
      </c>
      <c r="P16" s="20"/>
      <c r="Q16" s="31">
        <f t="shared" si="0"/>
        <v>1</v>
      </c>
      <c r="R16" s="32" t="str">
        <f t="shared" si="1"/>
        <v>P00.014</v>
      </c>
    </row>
    <row r="17" spans="1:18">
      <c r="A17" s="18"/>
      <c r="B17" s="18"/>
      <c r="C17" s="18"/>
      <c r="D17" s="17">
        <f>INDEX(D:D,ROW()-1)+_xlfn.IFS(INDEX(E:E,ROW()-1)="u16",1,INDEX(E:E,ROW()-1)="s16",1,INDEX(E:E,ROW()-1)="s32",2,INDEX(E:E,ROW()-1)="s64",4,INDEX(E:E,ROW()-1)="u16",1,INDEX(E:E,ROW()-1)="u32",2,INDEX(E:E,ROW()-1)="u64",4,INDEX(E:E,ROW()-1)="f32",2,INDEX(E:E,ROW()-1)="f64",4)</f>
        <v>15</v>
      </c>
      <c r="E17" s="19" t="s">
        <v>29</v>
      </c>
      <c r="F17" s="38" t="s">
        <v>50</v>
      </c>
      <c r="G17" s="21" t="s">
        <v>23</v>
      </c>
      <c r="H17" s="21" t="s">
        <v>23</v>
      </c>
      <c r="I17" s="21" t="s">
        <v>30</v>
      </c>
      <c r="J17" s="17" t="s">
        <v>25</v>
      </c>
      <c r="K17" s="17" t="s">
        <v>26</v>
      </c>
      <c r="L17" s="17" t="s">
        <v>32</v>
      </c>
      <c r="M17" s="19" t="s">
        <v>28</v>
      </c>
      <c r="N17" s="17"/>
      <c r="O17" s="22" t="s">
        <v>51</v>
      </c>
      <c r="P17" s="20"/>
      <c r="Q17" s="31">
        <f t="shared" si="0"/>
        <v>1</v>
      </c>
      <c r="R17" s="32" t="str">
        <f t="shared" si="1"/>
        <v>P00.015</v>
      </c>
    </row>
    <row r="18" spans="1:18">
      <c r="A18" s="18"/>
      <c r="B18" s="18"/>
      <c r="C18" s="18"/>
      <c r="D18" s="17">
        <f>INDEX(D:D,ROW()-1)+_xlfn.IFS(INDEX(E:E,ROW()-1)="u16",1,INDEX(E:E,ROW()-1)="s16",1,INDEX(E:E,ROW()-1)="s32",2,INDEX(E:E,ROW()-1)="s64",4,INDEX(E:E,ROW()-1)="u16",1,INDEX(E:E,ROW()-1)="u32",2,INDEX(E:E,ROW()-1)="u64",4,INDEX(E:E,ROW()-1)="f32",2,INDEX(E:E,ROW()-1)="f64",4)</f>
        <v>16</v>
      </c>
      <c r="E18" s="19" t="s">
        <v>29</v>
      </c>
      <c r="F18" s="38" t="s">
        <v>52</v>
      </c>
      <c r="G18" s="21" t="s">
        <v>23</v>
      </c>
      <c r="H18" s="21" t="s">
        <v>23</v>
      </c>
      <c r="I18" s="21" t="s">
        <v>30</v>
      </c>
      <c r="J18" s="17" t="s">
        <v>25</v>
      </c>
      <c r="K18" s="17" t="s">
        <v>26</v>
      </c>
      <c r="L18" s="17" t="s">
        <v>32</v>
      </c>
      <c r="M18" s="19" t="s">
        <v>28</v>
      </c>
      <c r="N18" s="17"/>
      <c r="O18" s="22" t="s">
        <v>53</v>
      </c>
      <c r="P18" s="20"/>
      <c r="Q18" s="31">
        <f t="shared" si="0"/>
        <v>1</v>
      </c>
      <c r="R18" s="32" t="str">
        <f t="shared" si="1"/>
        <v>P00.016</v>
      </c>
    </row>
    <row r="19" spans="1:18">
      <c r="A19" s="18"/>
      <c r="B19" s="18"/>
      <c r="C19" s="18"/>
      <c r="D19" s="17">
        <f>INDEX(D:D,ROW()-1)+_xlfn.IFS(INDEX(E:E,ROW()-1)="u16",1,INDEX(E:E,ROW()-1)="s16",1,INDEX(E:E,ROW()-1)="s32",2,INDEX(E:E,ROW()-1)="s64",4,INDEX(E:E,ROW()-1)="u16",1,INDEX(E:E,ROW()-1)="u32",2,INDEX(E:E,ROW()-1)="u64",4,INDEX(E:E,ROW()-1)="f32",2,INDEX(E:E,ROW()-1)="f64",4)</f>
        <v>17</v>
      </c>
      <c r="E19" s="19" t="s">
        <v>29</v>
      </c>
      <c r="F19" s="38" t="s">
        <v>54</v>
      </c>
      <c r="G19" s="21" t="s">
        <v>23</v>
      </c>
      <c r="H19" s="21" t="s">
        <v>23</v>
      </c>
      <c r="I19" s="21" t="s">
        <v>30</v>
      </c>
      <c r="J19" s="17" t="s">
        <v>25</v>
      </c>
      <c r="K19" s="17" t="s">
        <v>26</v>
      </c>
      <c r="L19" s="17" t="s">
        <v>32</v>
      </c>
      <c r="M19" s="19" t="s">
        <v>28</v>
      </c>
      <c r="N19" s="17"/>
      <c r="O19" s="22" t="s">
        <v>55</v>
      </c>
      <c r="P19" s="20"/>
      <c r="Q19" s="31">
        <f t="shared" si="0"/>
        <v>1</v>
      </c>
      <c r="R19" s="32" t="str">
        <f t="shared" si="1"/>
        <v>P00.017</v>
      </c>
    </row>
    <row r="20" spans="1:18">
      <c r="A20" s="18"/>
      <c r="B20" s="18"/>
      <c r="C20" s="18"/>
      <c r="D20" s="17">
        <f>INDEX(D:D,ROW()-1)+_xlfn.IFS(INDEX(E:E,ROW()-1)="u16",1,INDEX(E:E,ROW()-1)="s16",1,INDEX(E:E,ROW()-1)="s32",2,INDEX(E:E,ROW()-1)="s64",4,INDEX(E:E,ROW()-1)="u16",1,INDEX(E:E,ROW()-1)="u32",2,INDEX(E:E,ROW()-1)="u64",4,INDEX(E:E,ROW()-1)="f32",2,INDEX(E:E,ROW()-1)="f64",4)</f>
        <v>18</v>
      </c>
      <c r="E20" s="19" t="s">
        <v>29</v>
      </c>
      <c r="F20" s="38" t="s">
        <v>56</v>
      </c>
      <c r="G20" s="21" t="s">
        <v>43</v>
      </c>
      <c r="H20" s="21" t="s">
        <v>23</v>
      </c>
      <c r="I20" s="21" t="s">
        <v>30</v>
      </c>
      <c r="J20" s="17" t="s">
        <v>25</v>
      </c>
      <c r="K20" s="17" t="s">
        <v>26</v>
      </c>
      <c r="L20" s="17" t="s">
        <v>32</v>
      </c>
      <c r="M20" s="19" t="s">
        <v>28</v>
      </c>
      <c r="N20" s="17"/>
      <c r="O20" s="22" t="s">
        <v>57</v>
      </c>
      <c r="P20" s="20"/>
      <c r="Q20" s="31">
        <f t="shared" si="0"/>
        <v>1</v>
      </c>
      <c r="R20" s="32" t="str">
        <f t="shared" si="1"/>
        <v>P00.018</v>
      </c>
    </row>
    <row r="21" spans="1:18">
      <c r="A21" s="18"/>
      <c r="B21" s="18"/>
      <c r="C21" s="18"/>
      <c r="D21" s="17">
        <f>INDEX(D:D,ROW()-1)+_xlfn.IFS(INDEX(E:E,ROW()-1)="u16",1,INDEX(E:E,ROW()-1)="s16",1,INDEX(E:E,ROW()-1)="s32",2,INDEX(E:E,ROW()-1)="s64",4,INDEX(E:E,ROW()-1)="u16",1,INDEX(E:E,ROW()-1)="u32",2,INDEX(E:E,ROW()-1)="u64",4,INDEX(E:E,ROW()-1)="f32",2,INDEX(E:E,ROW()-1)="f64",4)</f>
        <v>19</v>
      </c>
      <c r="E21" s="19" t="s">
        <v>29</v>
      </c>
      <c r="F21" s="38" t="s">
        <v>58</v>
      </c>
      <c r="G21" s="21" t="s">
        <v>23</v>
      </c>
      <c r="H21" s="21" t="s">
        <v>23</v>
      </c>
      <c r="I21" s="21" t="s">
        <v>30</v>
      </c>
      <c r="J21" s="17" t="s">
        <v>25</v>
      </c>
      <c r="K21" s="17" t="s">
        <v>26</v>
      </c>
      <c r="L21" s="17" t="s">
        <v>32</v>
      </c>
      <c r="M21" s="19" t="s">
        <v>28</v>
      </c>
      <c r="N21" s="17"/>
      <c r="O21" s="22" t="s">
        <v>59</v>
      </c>
      <c r="P21" s="20"/>
      <c r="Q21" s="31">
        <f t="shared" si="0"/>
        <v>1</v>
      </c>
      <c r="R21" s="32" t="str">
        <f t="shared" si="1"/>
        <v>P00.019</v>
      </c>
    </row>
    <row r="22" spans="1:18">
      <c r="A22" s="18"/>
      <c r="B22" s="18"/>
      <c r="C22" s="18"/>
      <c r="D22" s="17">
        <f>INDEX(D:D,ROW()-1)+_xlfn.IFS(INDEX(E:E,ROW()-1)="u16",1,INDEX(E:E,ROW()-1)="s16",1,INDEX(E:E,ROW()-1)="s32",2,INDEX(E:E,ROW()-1)="s64",4,INDEX(E:E,ROW()-1)="u16",1,INDEX(E:E,ROW()-1)="u32",2,INDEX(E:E,ROW()-1)="u64",4,INDEX(E:E,ROW()-1)="f32",2,INDEX(E:E,ROW()-1)="f64",4)</f>
        <v>20</v>
      </c>
      <c r="E22" s="19" t="s">
        <v>29</v>
      </c>
      <c r="F22" s="38" t="s">
        <v>60</v>
      </c>
      <c r="G22" s="21" t="s">
        <v>40</v>
      </c>
      <c r="H22" s="21" t="s">
        <v>23</v>
      </c>
      <c r="I22" s="21" t="s">
        <v>30</v>
      </c>
      <c r="J22" s="17" t="s">
        <v>25</v>
      </c>
      <c r="K22" s="17" t="s">
        <v>26</v>
      </c>
      <c r="L22" s="17" t="s">
        <v>32</v>
      </c>
      <c r="M22" s="19" t="s">
        <v>28</v>
      </c>
      <c r="N22" s="17"/>
      <c r="O22" s="22" t="s">
        <v>61</v>
      </c>
      <c r="P22" s="20"/>
      <c r="Q22" s="31">
        <f t="shared" si="0"/>
        <v>1</v>
      </c>
      <c r="R22" s="32" t="str">
        <f t="shared" si="1"/>
        <v>P00.020</v>
      </c>
    </row>
    <row r="23" spans="1:18">
      <c r="A23" s="18"/>
      <c r="B23" s="18"/>
      <c r="C23" s="18"/>
      <c r="D23" s="17">
        <f>INDEX(D:D,ROW()-1)+_xlfn.IFS(INDEX(E:E,ROW()-1)="u16",1,INDEX(E:E,ROW()-1)="s16",1,INDEX(E:E,ROW()-1)="s32",2,INDEX(E:E,ROW()-1)="s64",4,INDEX(E:E,ROW()-1)="u16",1,INDEX(E:E,ROW()-1)="u32",2,INDEX(E:E,ROW()-1)="u64",4,INDEX(E:E,ROW()-1)="f32",2,INDEX(E:E,ROW()-1)="f64",4)</f>
        <v>21</v>
      </c>
      <c r="E23" s="19" t="s">
        <v>29</v>
      </c>
      <c r="F23" s="39"/>
      <c r="G23" s="21" t="s">
        <v>23</v>
      </c>
      <c r="H23" s="21" t="s">
        <v>23</v>
      </c>
      <c r="I23" s="21" t="s">
        <v>30</v>
      </c>
      <c r="J23" s="17" t="s">
        <v>25</v>
      </c>
      <c r="K23" s="17" t="s">
        <v>26</v>
      </c>
      <c r="L23" s="17" t="s">
        <v>32</v>
      </c>
      <c r="M23" s="19" t="s">
        <v>28</v>
      </c>
      <c r="N23" s="17"/>
      <c r="O23" s="20"/>
      <c r="P23" s="20"/>
      <c r="Q23" s="31">
        <f t="shared" si="0"/>
        <v>1</v>
      </c>
      <c r="R23" s="32" t="str">
        <f t="shared" si="1"/>
        <v>P00.021</v>
      </c>
    </row>
    <row r="24" spans="1:18">
      <c r="A24" s="18"/>
      <c r="B24" s="18"/>
      <c r="C24" s="18"/>
      <c r="D24" s="17">
        <f>INDEX(D:D,ROW()-1)+_xlfn.IFS(INDEX(E:E,ROW()-1)="u16",1,INDEX(E:E,ROW()-1)="s16",1,INDEX(E:E,ROW()-1)="s32",2,INDEX(E:E,ROW()-1)="s64",4,INDEX(E:E,ROW()-1)="u16",1,INDEX(E:E,ROW()-1)="u32",2,INDEX(E:E,ROW()-1)="u64",4,INDEX(E:E,ROW()-1)="f32",2,INDEX(E:E,ROW()-1)="f64",4)</f>
        <v>22</v>
      </c>
      <c r="E24" s="19" t="s">
        <v>29</v>
      </c>
      <c r="F24" s="20"/>
      <c r="G24" s="21" t="s">
        <v>23</v>
      </c>
      <c r="H24" s="21" t="s">
        <v>23</v>
      </c>
      <c r="I24" s="21" t="s">
        <v>30</v>
      </c>
      <c r="J24" s="17" t="s">
        <v>25</v>
      </c>
      <c r="K24" s="17" t="s">
        <v>26</v>
      </c>
      <c r="L24" s="17" t="s">
        <v>32</v>
      </c>
      <c r="M24" s="19" t="s">
        <v>28</v>
      </c>
      <c r="N24" s="17"/>
      <c r="O24" s="20"/>
      <c r="P24" s="20"/>
      <c r="Q24" s="31">
        <f t="shared" si="0"/>
        <v>1</v>
      </c>
      <c r="R24" s="32" t="str">
        <f t="shared" si="1"/>
        <v>P00.022</v>
      </c>
    </row>
    <row r="25" spans="1:18">
      <c r="A25" s="18"/>
      <c r="B25" s="18"/>
      <c r="C25" s="18"/>
      <c r="D25" s="17">
        <f t="shared" ref="D25:D70" si="2">INDEX(D:D,ROW()-1)+_xlfn.IFS(INDEX(E:E,ROW()-1)="u16",1,INDEX(E:E,ROW()-1)="s16",1,INDEX(E:E,ROW()-1)="s32",2,INDEX(E:E,ROW()-1)="s64",4,INDEX(E:E,ROW()-1)="u16",1,INDEX(E:E,ROW()-1)="u32",2,INDEX(E:E,ROW()-1)="u64",4,INDEX(E:E,ROW()-1)="f32",2,INDEX(E:E,ROW()-1)="f64",4)</f>
        <v>23</v>
      </c>
      <c r="E25" s="19" t="s">
        <v>29</v>
      </c>
      <c r="F25" s="39"/>
      <c r="G25" s="21" t="s">
        <v>23</v>
      </c>
      <c r="H25" s="21" t="s">
        <v>23</v>
      </c>
      <c r="I25" s="21" t="s">
        <v>30</v>
      </c>
      <c r="J25" s="17" t="s">
        <v>25</v>
      </c>
      <c r="K25" s="17" t="s">
        <v>26</v>
      </c>
      <c r="L25" s="17" t="s">
        <v>32</v>
      </c>
      <c r="M25" s="19" t="s">
        <v>28</v>
      </c>
      <c r="N25" s="17"/>
      <c r="O25" s="20"/>
      <c r="P25" s="20"/>
      <c r="Q25" s="31">
        <f t="shared" ref="Q25:Q69" si="3">IF(OR(F25="",LEFT(TRIM(F25),3)=E25),1,0)</f>
        <v>1</v>
      </c>
      <c r="R25" s="32" t="str">
        <f t="shared" ref="R25:R69" si="4">"P"&amp;TEXT(INT(D25/256),"00")&amp;"."&amp;TEXT(MOD(D25,256),"000")</f>
        <v>P00.023</v>
      </c>
    </row>
    <row r="26" spans="1:18">
      <c r="A26" s="18"/>
      <c r="B26" s="18"/>
      <c r="C26" s="18"/>
      <c r="D26" s="17">
        <f t="shared" si="2"/>
        <v>24</v>
      </c>
      <c r="E26" s="19" t="s">
        <v>29</v>
      </c>
      <c r="F26" s="20"/>
      <c r="G26" s="21" t="s">
        <v>23</v>
      </c>
      <c r="H26" s="21" t="s">
        <v>23</v>
      </c>
      <c r="I26" s="21" t="s">
        <v>30</v>
      </c>
      <c r="J26" s="17" t="s">
        <v>25</v>
      </c>
      <c r="K26" s="17" t="s">
        <v>26</v>
      </c>
      <c r="L26" s="17" t="s">
        <v>32</v>
      </c>
      <c r="M26" s="19" t="s">
        <v>28</v>
      </c>
      <c r="N26" s="17"/>
      <c r="O26" s="20"/>
      <c r="P26" s="20"/>
      <c r="Q26" s="31">
        <f t="shared" si="3"/>
        <v>1</v>
      </c>
      <c r="R26" s="32" t="str">
        <f t="shared" si="4"/>
        <v>P00.024</v>
      </c>
    </row>
    <row r="27" spans="1:18">
      <c r="A27" s="18"/>
      <c r="B27" s="18"/>
      <c r="C27" s="18"/>
      <c r="D27" s="17">
        <f t="shared" si="2"/>
        <v>25</v>
      </c>
      <c r="E27" s="19" t="s">
        <v>29</v>
      </c>
      <c r="F27" s="39"/>
      <c r="G27" s="21" t="s">
        <v>23</v>
      </c>
      <c r="H27" s="21" t="s">
        <v>23</v>
      </c>
      <c r="I27" s="21" t="s">
        <v>30</v>
      </c>
      <c r="J27" s="17" t="s">
        <v>25</v>
      </c>
      <c r="K27" s="17" t="s">
        <v>26</v>
      </c>
      <c r="L27" s="17" t="s">
        <v>32</v>
      </c>
      <c r="M27" s="19" t="s">
        <v>28</v>
      </c>
      <c r="N27" s="17"/>
      <c r="O27" s="20"/>
      <c r="P27" s="20"/>
      <c r="Q27" s="31">
        <f t="shared" si="3"/>
        <v>1</v>
      </c>
      <c r="R27" s="32" t="str">
        <f t="shared" si="4"/>
        <v>P00.025</v>
      </c>
    </row>
    <row r="28" spans="1:18">
      <c r="A28" s="18"/>
      <c r="B28" s="18"/>
      <c r="C28" s="18"/>
      <c r="D28" s="17">
        <f t="shared" si="2"/>
        <v>26</v>
      </c>
      <c r="E28" s="19" t="s">
        <v>29</v>
      </c>
      <c r="F28" s="20"/>
      <c r="G28" s="21" t="s">
        <v>23</v>
      </c>
      <c r="H28" s="21" t="s">
        <v>23</v>
      </c>
      <c r="I28" s="21" t="s">
        <v>30</v>
      </c>
      <c r="J28" s="17" t="s">
        <v>25</v>
      </c>
      <c r="K28" s="17" t="s">
        <v>26</v>
      </c>
      <c r="L28" s="17" t="s">
        <v>32</v>
      </c>
      <c r="M28" s="19" t="s">
        <v>28</v>
      </c>
      <c r="N28" s="17"/>
      <c r="O28" s="20"/>
      <c r="P28" s="20"/>
      <c r="Q28" s="31">
        <f t="shared" si="3"/>
        <v>1</v>
      </c>
      <c r="R28" s="32" t="str">
        <f t="shared" si="4"/>
        <v>P00.026</v>
      </c>
    </row>
    <row r="29" spans="1:18">
      <c r="A29" s="18"/>
      <c r="B29" s="18"/>
      <c r="C29" s="18"/>
      <c r="D29" s="17">
        <f t="shared" si="2"/>
        <v>27</v>
      </c>
      <c r="E29" s="19" t="s">
        <v>29</v>
      </c>
      <c r="F29" s="39"/>
      <c r="G29" s="21" t="s">
        <v>23</v>
      </c>
      <c r="H29" s="21" t="s">
        <v>23</v>
      </c>
      <c r="I29" s="21" t="s">
        <v>30</v>
      </c>
      <c r="J29" s="17" t="s">
        <v>25</v>
      </c>
      <c r="K29" s="17" t="s">
        <v>26</v>
      </c>
      <c r="L29" s="17" t="s">
        <v>32</v>
      </c>
      <c r="M29" s="19" t="s">
        <v>28</v>
      </c>
      <c r="N29" s="17"/>
      <c r="O29" s="20"/>
      <c r="P29" s="20"/>
      <c r="Q29" s="31">
        <f t="shared" si="3"/>
        <v>1</v>
      </c>
      <c r="R29" s="32" t="str">
        <f t="shared" si="4"/>
        <v>P00.027</v>
      </c>
    </row>
    <row r="30" spans="1:18">
      <c r="A30" s="18"/>
      <c r="B30" s="18"/>
      <c r="C30" s="18"/>
      <c r="D30" s="17">
        <f t="shared" si="2"/>
        <v>28</v>
      </c>
      <c r="E30" s="19" t="s">
        <v>29</v>
      </c>
      <c r="F30" s="20"/>
      <c r="G30" s="21" t="s">
        <v>23</v>
      </c>
      <c r="H30" s="21" t="s">
        <v>23</v>
      </c>
      <c r="I30" s="21" t="s">
        <v>30</v>
      </c>
      <c r="J30" s="17" t="s">
        <v>25</v>
      </c>
      <c r="K30" s="17" t="s">
        <v>26</v>
      </c>
      <c r="L30" s="17" t="s">
        <v>32</v>
      </c>
      <c r="M30" s="19" t="s">
        <v>28</v>
      </c>
      <c r="N30" s="17"/>
      <c r="O30" s="20"/>
      <c r="P30" s="20"/>
      <c r="Q30" s="31">
        <f t="shared" si="3"/>
        <v>1</v>
      </c>
      <c r="R30" s="32" t="str">
        <f t="shared" si="4"/>
        <v>P00.028</v>
      </c>
    </row>
    <row r="31" spans="1:18">
      <c r="A31" s="18"/>
      <c r="B31" s="18"/>
      <c r="C31" s="18"/>
      <c r="D31" s="17">
        <f t="shared" si="2"/>
        <v>29</v>
      </c>
      <c r="E31" s="19" t="s">
        <v>29</v>
      </c>
      <c r="F31" s="39"/>
      <c r="G31" s="21" t="s">
        <v>23</v>
      </c>
      <c r="H31" s="21" t="s">
        <v>23</v>
      </c>
      <c r="I31" s="21" t="s">
        <v>30</v>
      </c>
      <c r="J31" s="17" t="s">
        <v>25</v>
      </c>
      <c r="K31" s="17" t="s">
        <v>26</v>
      </c>
      <c r="L31" s="17" t="s">
        <v>32</v>
      </c>
      <c r="M31" s="19" t="s">
        <v>28</v>
      </c>
      <c r="N31" s="17"/>
      <c r="O31" s="20"/>
      <c r="P31" s="20"/>
      <c r="Q31" s="31">
        <f t="shared" si="3"/>
        <v>1</v>
      </c>
      <c r="R31" s="32" t="str">
        <f t="shared" si="4"/>
        <v>P00.029</v>
      </c>
    </row>
    <row r="32" spans="1:18">
      <c r="A32" s="18"/>
      <c r="B32" s="18"/>
      <c r="C32" s="18"/>
      <c r="D32" s="17">
        <f t="shared" si="2"/>
        <v>30</v>
      </c>
      <c r="E32" s="19" t="s">
        <v>29</v>
      </c>
      <c r="F32" s="20"/>
      <c r="G32" s="21" t="s">
        <v>23</v>
      </c>
      <c r="H32" s="21" t="s">
        <v>23</v>
      </c>
      <c r="I32" s="21" t="s">
        <v>30</v>
      </c>
      <c r="J32" s="17" t="s">
        <v>25</v>
      </c>
      <c r="K32" s="17" t="s">
        <v>26</v>
      </c>
      <c r="L32" s="17" t="s">
        <v>32</v>
      </c>
      <c r="M32" s="19" t="s">
        <v>28</v>
      </c>
      <c r="N32" s="17"/>
      <c r="O32" s="20"/>
      <c r="P32" s="20"/>
      <c r="Q32" s="31">
        <f t="shared" si="3"/>
        <v>1</v>
      </c>
      <c r="R32" s="32" t="str">
        <f t="shared" si="4"/>
        <v>P00.030</v>
      </c>
    </row>
    <row r="33" spans="1:18">
      <c r="A33" s="18"/>
      <c r="B33" s="18"/>
      <c r="C33" s="18"/>
      <c r="D33" s="17">
        <f t="shared" si="2"/>
        <v>31</v>
      </c>
      <c r="E33" s="19" t="s">
        <v>29</v>
      </c>
      <c r="F33" s="22" t="s">
        <v>62</v>
      </c>
      <c r="G33" s="21" t="s">
        <v>23</v>
      </c>
      <c r="H33" s="21" t="s">
        <v>23</v>
      </c>
      <c r="I33" s="21" t="s">
        <v>30</v>
      </c>
      <c r="J33" s="17" t="s">
        <v>25</v>
      </c>
      <c r="K33" s="17" t="s">
        <v>63</v>
      </c>
      <c r="L33" s="17" t="s">
        <v>32</v>
      </c>
      <c r="M33" s="19" t="s">
        <v>28</v>
      </c>
      <c r="N33" s="22"/>
      <c r="O33" s="22" t="s">
        <v>64</v>
      </c>
      <c r="P33" s="20"/>
      <c r="Q33" s="31">
        <f t="shared" si="3"/>
        <v>1</v>
      </c>
      <c r="R33" s="32" t="str">
        <f t="shared" si="4"/>
        <v>P00.031</v>
      </c>
    </row>
    <row r="34" ht="39.6" spans="1:18">
      <c r="A34" s="18"/>
      <c r="B34" s="18"/>
      <c r="C34" s="18"/>
      <c r="D34" s="17">
        <f t="shared" si="2"/>
        <v>32</v>
      </c>
      <c r="E34" s="19" t="s">
        <v>29</v>
      </c>
      <c r="F34" s="22" t="s">
        <v>65</v>
      </c>
      <c r="G34" s="21" t="s">
        <v>23</v>
      </c>
      <c r="H34" s="21" t="s">
        <v>23</v>
      </c>
      <c r="I34" s="21" t="s">
        <v>43</v>
      </c>
      <c r="J34" s="17" t="s">
        <v>25</v>
      </c>
      <c r="K34" s="17" t="s">
        <v>26</v>
      </c>
      <c r="L34" s="17" t="s">
        <v>32</v>
      </c>
      <c r="M34" s="19" t="s">
        <v>28</v>
      </c>
      <c r="N34" s="22"/>
      <c r="O34" s="22" t="s">
        <v>66</v>
      </c>
      <c r="P34" s="25" t="s">
        <v>67</v>
      </c>
      <c r="Q34" s="31">
        <f t="shared" si="3"/>
        <v>1</v>
      </c>
      <c r="R34" s="32" t="str">
        <f t="shared" si="4"/>
        <v>P00.032</v>
      </c>
    </row>
    <row r="35" spans="1:18">
      <c r="A35" s="18"/>
      <c r="B35" s="18"/>
      <c r="C35" s="18"/>
      <c r="D35" s="17">
        <f t="shared" si="2"/>
        <v>33</v>
      </c>
      <c r="E35" s="19" t="s">
        <v>29</v>
      </c>
      <c r="F35" s="22" t="s">
        <v>68</v>
      </c>
      <c r="G35" s="21" t="s">
        <v>23</v>
      </c>
      <c r="H35" s="21" t="s">
        <v>23</v>
      </c>
      <c r="I35" s="21" t="s">
        <v>40</v>
      </c>
      <c r="J35" s="17" t="s">
        <v>25</v>
      </c>
      <c r="K35" s="17" t="s">
        <v>69</v>
      </c>
      <c r="L35" s="17" t="s">
        <v>32</v>
      </c>
      <c r="M35" s="19" t="s">
        <v>28</v>
      </c>
      <c r="N35" s="22"/>
      <c r="O35" s="24" t="s">
        <v>70</v>
      </c>
      <c r="P35" s="22" t="s">
        <v>71</v>
      </c>
      <c r="Q35" s="31">
        <f t="shared" si="3"/>
        <v>0</v>
      </c>
      <c r="R35" s="32" t="str">
        <f t="shared" si="4"/>
        <v>P00.033</v>
      </c>
    </row>
    <row r="36" spans="1:18">
      <c r="A36" s="18"/>
      <c r="B36" s="18"/>
      <c r="C36" s="18"/>
      <c r="D36" s="17">
        <f t="shared" si="2"/>
        <v>34</v>
      </c>
      <c r="E36" s="19" t="s">
        <v>29</v>
      </c>
      <c r="F36" s="20"/>
      <c r="G36" s="21" t="s">
        <v>23</v>
      </c>
      <c r="H36" s="21" t="s">
        <v>23</v>
      </c>
      <c r="I36" s="21" t="s">
        <v>30</v>
      </c>
      <c r="J36" s="17" t="s">
        <v>25</v>
      </c>
      <c r="K36" s="17" t="s">
        <v>26</v>
      </c>
      <c r="L36" s="17" t="s">
        <v>32</v>
      </c>
      <c r="M36" s="19" t="s">
        <v>28</v>
      </c>
      <c r="N36" s="17"/>
      <c r="O36" s="20"/>
      <c r="P36" s="22"/>
      <c r="Q36" s="31">
        <f t="shared" si="3"/>
        <v>1</v>
      </c>
      <c r="R36" s="32" t="str">
        <f t="shared" si="4"/>
        <v>P00.034</v>
      </c>
    </row>
    <row r="37" spans="1:18">
      <c r="A37" s="18"/>
      <c r="B37" s="18"/>
      <c r="C37" s="18"/>
      <c r="D37" s="17">
        <f t="shared" si="2"/>
        <v>35</v>
      </c>
      <c r="E37" s="19" t="s">
        <v>29</v>
      </c>
      <c r="F37" s="22" t="s">
        <v>72</v>
      </c>
      <c r="G37" s="21" t="s">
        <v>73</v>
      </c>
      <c r="H37" s="21" t="s">
        <v>23</v>
      </c>
      <c r="I37" s="21" t="s">
        <v>30</v>
      </c>
      <c r="J37" s="17" t="s">
        <v>25</v>
      </c>
      <c r="K37" s="17" t="s">
        <v>69</v>
      </c>
      <c r="L37" s="17" t="s">
        <v>74</v>
      </c>
      <c r="M37" s="19" t="s">
        <v>75</v>
      </c>
      <c r="N37" s="17"/>
      <c r="O37" s="22" t="s">
        <v>76</v>
      </c>
      <c r="P37" s="24" t="s">
        <v>77</v>
      </c>
      <c r="Q37" s="31">
        <f t="shared" si="3"/>
        <v>1</v>
      </c>
      <c r="R37" s="32" t="str">
        <f t="shared" si="4"/>
        <v>P00.035</v>
      </c>
    </row>
    <row r="38" spans="1:18">
      <c r="A38" s="18"/>
      <c r="B38" s="18"/>
      <c r="C38" s="18"/>
      <c r="D38" s="17">
        <f t="shared" si="2"/>
        <v>36</v>
      </c>
      <c r="E38" s="19" t="s">
        <v>29</v>
      </c>
      <c r="F38" s="22" t="s">
        <v>78</v>
      </c>
      <c r="G38" s="21" t="s">
        <v>23</v>
      </c>
      <c r="H38" s="21" t="s">
        <v>23</v>
      </c>
      <c r="I38" s="21" t="s">
        <v>30</v>
      </c>
      <c r="J38" s="17" t="s">
        <v>25</v>
      </c>
      <c r="K38" s="17" t="s">
        <v>69</v>
      </c>
      <c r="L38" s="17" t="s">
        <v>74</v>
      </c>
      <c r="M38" s="19" t="s">
        <v>75</v>
      </c>
      <c r="N38" s="17"/>
      <c r="O38" s="22" t="s">
        <v>79</v>
      </c>
      <c r="P38" s="22"/>
      <c r="Q38" s="31">
        <f t="shared" si="3"/>
        <v>1</v>
      </c>
      <c r="R38" s="32" t="str">
        <f t="shared" si="4"/>
        <v>P00.036</v>
      </c>
    </row>
    <row r="39" spans="1:18">
      <c r="A39" s="18"/>
      <c r="B39" s="18"/>
      <c r="C39" s="18"/>
      <c r="D39" s="17">
        <f t="shared" si="2"/>
        <v>37</v>
      </c>
      <c r="E39" s="19" t="s">
        <v>29</v>
      </c>
      <c r="F39" s="22" t="s">
        <v>80</v>
      </c>
      <c r="G39" s="21" t="s">
        <v>23</v>
      </c>
      <c r="H39" s="21" t="s">
        <v>23</v>
      </c>
      <c r="I39" s="21" t="s">
        <v>30</v>
      </c>
      <c r="J39" s="17" t="s">
        <v>25</v>
      </c>
      <c r="K39" s="17" t="s">
        <v>69</v>
      </c>
      <c r="L39" s="17" t="s">
        <v>74</v>
      </c>
      <c r="M39" s="19" t="s">
        <v>75</v>
      </c>
      <c r="N39" s="17"/>
      <c r="O39" s="22" t="s">
        <v>81</v>
      </c>
      <c r="P39" s="22"/>
      <c r="Q39" s="31">
        <f t="shared" si="3"/>
        <v>1</v>
      </c>
      <c r="R39" s="32" t="str">
        <f t="shared" si="4"/>
        <v>P00.037</v>
      </c>
    </row>
    <row r="40" spans="1:18">
      <c r="A40" s="18"/>
      <c r="B40" s="18"/>
      <c r="C40" s="18"/>
      <c r="D40" s="17">
        <f t="shared" si="2"/>
        <v>38</v>
      </c>
      <c r="E40" s="19" t="s">
        <v>29</v>
      </c>
      <c r="F40" s="22" t="s">
        <v>82</v>
      </c>
      <c r="G40" s="21" t="s">
        <v>23</v>
      </c>
      <c r="H40" s="21" t="s">
        <v>23</v>
      </c>
      <c r="I40" s="21" t="s">
        <v>30</v>
      </c>
      <c r="J40" s="17" t="s">
        <v>25</v>
      </c>
      <c r="K40" s="17" t="s">
        <v>69</v>
      </c>
      <c r="L40" s="17" t="s">
        <v>74</v>
      </c>
      <c r="M40" s="19" t="s">
        <v>75</v>
      </c>
      <c r="N40" s="17"/>
      <c r="O40" s="22" t="s">
        <v>83</v>
      </c>
      <c r="P40" s="22"/>
      <c r="Q40" s="31">
        <f t="shared" si="3"/>
        <v>1</v>
      </c>
      <c r="R40" s="32" t="str">
        <f t="shared" si="4"/>
        <v>P00.038</v>
      </c>
    </row>
    <row r="41" spans="1:18">
      <c r="A41" s="18"/>
      <c r="B41" s="18"/>
      <c r="C41" s="18"/>
      <c r="D41" s="17">
        <f t="shared" si="2"/>
        <v>39</v>
      </c>
      <c r="E41" s="19" t="s">
        <v>29</v>
      </c>
      <c r="F41" s="22" t="s">
        <v>84</v>
      </c>
      <c r="G41" s="21" t="s">
        <v>23</v>
      </c>
      <c r="H41" s="21" t="s">
        <v>23</v>
      </c>
      <c r="I41" s="21" t="s">
        <v>30</v>
      </c>
      <c r="J41" s="17" t="s">
        <v>25</v>
      </c>
      <c r="K41" s="17" t="s">
        <v>69</v>
      </c>
      <c r="L41" s="17" t="s">
        <v>74</v>
      </c>
      <c r="M41" s="19" t="s">
        <v>75</v>
      </c>
      <c r="N41" s="17"/>
      <c r="O41" s="22" t="s">
        <v>85</v>
      </c>
      <c r="P41" s="22"/>
      <c r="Q41" s="31">
        <f t="shared" si="3"/>
        <v>1</v>
      </c>
      <c r="R41" s="32" t="str">
        <f t="shared" si="4"/>
        <v>P00.039</v>
      </c>
    </row>
    <row r="42" spans="1:18">
      <c r="A42" s="18"/>
      <c r="B42" s="18"/>
      <c r="C42" s="18"/>
      <c r="D42" s="17">
        <f t="shared" si="2"/>
        <v>40</v>
      </c>
      <c r="E42" s="19" t="s">
        <v>29</v>
      </c>
      <c r="F42" s="22" t="s">
        <v>86</v>
      </c>
      <c r="G42" s="21" t="s">
        <v>23</v>
      </c>
      <c r="H42" s="21" t="s">
        <v>23</v>
      </c>
      <c r="I42" s="21" t="s">
        <v>30</v>
      </c>
      <c r="J42" s="17" t="s">
        <v>25</v>
      </c>
      <c r="K42" s="17" t="s">
        <v>69</v>
      </c>
      <c r="L42" s="17" t="s">
        <v>74</v>
      </c>
      <c r="M42" s="19" t="s">
        <v>75</v>
      </c>
      <c r="N42" s="17"/>
      <c r="O42" s="22" t="s">
        <v>87</v>
      </c>
      <c r="P42" s="20"/>
      <c r="Q42" s="31">
        <f t="shared" si="3"/>
        <v>1</v>
      </c>
      <c r="R42" s="32" t="str">
        <f t="shared" si="4"/>
        <v>P00.040</v>
      </c>
    </row>
    <row r="43" spans="1:18">
      <c r="A43" s="18"/>
      <c r="B43" s="18"/>
      <c r="C43" s="18"/>
      <c r="D43" s="17">
        <f t="shared" si="2"/>
        <v>41</v>
      </c>
      <c r="E43" s="19" t="s">
        <v>29</v>
      </c>
      <c r="F43" s="20"/>
      <c r="G43" s="21" t="s">
        <v>23</v>
      </c>
      <c r="H43" s="21" t="s">
        <v>23</v>
      </c>
      <c r="I43" s="21" t="s">
        <v>30</v>
      </c>
      <c r="J43" s="17" t="s">
        <v>25</v>
      </c>
      <c r="K43" s="17" t="s">
        <v>26</v>
      </c>
      <c r="L43" s="17" t="s">
        <v>32</v>
      </c>
      <c r="M43" s="19" t="s">
        <v>28</v>
      </c>
      <c r="N43" s="17"/>
      <c r="O43" s="20"/>
      <c r="P43" s="20"/>
      <c r="Q43" s="31">
        <f t="shared" si="3"/>
        <v>1</v>
      </c>
      <c r="R43" s="32" t="str">
        <f t="shared" si="4"/>
        <v>P00.041</v>
      </c>
    </row>
    <row r="44" spans="1:18">
      <c r="A44" s="18"/>
      <c r="B44" s="18"/>
      <c r="C44" s="18"/>
      <c r="D44" s="17">
        <f t="shared" si="2"/>
        <v>42</v>
      </c>
      <c r="E44" s="19" t="s">
        <v>29</v>
      </c>
      <c r="F44" s="20" t="s">
        <v>88</v>
      </c>
      <c r="G44" s="21" t="s">
        <v>89</v>
      </c>
      <c r="H44" s="21" t="s">
        <v>23</v>
      </c>
      <c r="I44" s="21" t="s">
        <v>30</v>
      </c>
      <c r="J44" s="17" t="s">
        <v>90</v>
      </c>
      <c r="K44" s="17" t="s">
        <v>63</v>
      </c>
      <c r="L44" s="17" t="s">
        <v>74</v>
      </c>
      <c r="M44" s="19" t="s">
        <v>75</v>
      </c>
      <c r="N44" s="17"/>
      <c r="O44" s="22" t="s">
        <v>91</v>
      </c>
      <c r="P44" s="20"/>
      <c r="Q44" s="31">
        <f t="shared" si="3"/>
        <v>1</v>
      </c>
      <c r="R44" s="32" t="str">
        <f t="shared" si="4"/>
        <v>P00.042</v>
      </c>
    </row>
    <row r="45" spans="1:18">
      <c r="A45" s="18"/>
      <c r="B45" s="18"/>
      <c r="C45" s="18"/>
      <c r="D45" s="17">
        <f t="shared" si="2"/>
        <v>43</v>
      </c>
      <c r="E45" s="19" t="s">
        <v>92</v>
      </c>
      <c r="F45" s="20" t="s">
        <v>93</v>
      </c>
      <c r="G45" s="21" t="s">
        <v>23</v>
      </c>
      <c r="H45" s="21" t="s">
        <v>94</v>
      </c>
      <c r="I45" s="21" t="s">
        <v>95</v>
      </c>
      <c r="J45" s="17" t="s">
        <v>25</v>
      </c>
      <c r="K45" s="17" t="s">
        <v>63</v>
      </c>
      <c r="L45" s="17" t="s">
        <v>74</v>
      </c>
      <c r="M45" s="19" t="s">
        <v>75</v>
      </c>
      <c r="N45" s="17"/>
      <c r="O45" s="22" t="s">
        <v>96</v>
      </c>
      <c r="P45" s="20"/>
      <c r="Q45" s="31">
        <f t="shared" si="3"/>
        <v>1</v>
      </c>
      <c r="R45" s="32" t="str">
        <f t="shared" si="4"/>
        <v>P00.043</v>
      </c>
    </row>
    <row r="46" spans="1:18">
      <c r="A46" s="18"/>
      <c r="B46" s="18"/>
      <c r="C46" s="18"/>
      <c r="D46" s="17">
        <f t="shared" si="2"/>
        <v>44</v>
      </c>
      <c r="E46" s="19" t="s">
        <v>29</v>
      </c>
      <c r="F46" s="20" t="s">
        <v>97</v>
      </c>
      <c r="G46" s="21" t="s">
        <v>89</v>
      </c>
      <c r="H46" s="21" t="s">
        <v>23</v>
      </c>
      <c r="I46" s="21" t="s">
        <v>30</v>
      </c>
      <c r="J46" s="17" t="s">
        <v>90</v>
      </c>
      <c r="K46" s="17" t="s">
        <v>63</v>
      </c>
      <c r="L46" s="17" t="s">
        <v>74</v>
      </c>
      <c r="M46" s="19" t="s">
        <v>75</v>
      </c>
      <c r="N46" s="17"/>
      <c r="O46" s="22" t="s">
        <v>98</v>
      </c>
      <c r="P46" s="20"/>
      <c r="Q46" s="31">
        <f t="shared" si="3"/>
        <v>1</v>
      </c>
      <c r="R46" s="32" t="str">
        <f t="shared" si="4"/>
        <v>P00.044</v>
      </c>
    </row>
    <row r="47" spans="1:18">
      <c r="A47" s="18"/>
      <c r="B47" s="18"/>
      <c r="C47" s="18"/>
      <c r="D47" s="17">
        <f t="shared" si="2"/>
        <v>45</v>
      </c>
      <c r="E47" s="19" t="s">
        <v>92</v>
      </c>
      <c r="F47" s="20" t="s">
        <v>99</v>
      </c>
      <c r="G47" s="21" t="s">
        <v>23</v>
      </c>
      <c r="H47" s="21" t="s">
        <v>94</v>
      </c>
      <c r="I47" s="21" t="s">
        <v>95</v>
      </c>
      <c r="J47" s="17" t="s">
        <v>25</v>
      </c>
      <c r="K47" s="17" t="s">
        <v>63</v>
      </c>
      <c r="L47" s="17" t="s">
        <v>74</v>
      </c>
      <c r="M47" s="19" t="s">
        <v>75</v>
      </c>
      <c r="N47" s="17"/>
      <c r="O47" s="22" t="s">
        <v>100</v>
      </c>
      <c r="P47" s="20"/>
      <c r="Q47" s="31">
        <f t="shared" si="3"/>
        <v>1</v>
      </c>
      <c r="R47" s="32" t="str">
        <f t="shared" si="4"/>
        <v>P00.045</v>
      </c>
    </row>
    <row r="48" spans="1:18">
      <c r="A48" s="18"/>
      <c r="B48" s="18"/>
      <c r="C48" s="18"/>
      <c r="D48" s="17">
        <f t="shared" si="2"/>
        <v>46</v>
      </c>
      <c r="E48" s="19" t="s">
        <v>29</v>
      </c>
      <c r="F48" s="20"/>
      <c r="G48" s="21" t="s">
        <v>23</v>
      </c>
      <c r="H48" s="21" t="s">
        <v>23</v>
      </c>
      <c r="I48" s="21" t="s">
        <v>30</v>
      </c>
      <c r="J48" s="17" t="s">
        <v>25</v>
      </c>
      <c r="K48" s="17" t="s">
        <v>26</v>
      </c>
      <c r="L48" s="17" t="s">
        <v>32</v>
      </c>
      <c r="M48" s="19" t="s">
        <v>28</v>
      </c>
      <c r="N48" s="17"/>
      <c r="O48" s="20"/>
      <c r="P48" s="20"/>
      <c r="Q48" s="31">
        <f t="shared" si="3"/>
        <v>1</v>
      </c>
      <c r="R48" s="32" t="str">
        <f t="shared" si="4"/>
        <v>P00.046</v>
      </c>
    </row>
    <row r="49" spans="1:18">
      <c r="A49" s="18"/>
      <c r="B49" s="18"/>
      <c r="C49" s="18"/>
      <c r="D49" s="17">
        <f t="shared" si="2"/>
        <v>47</v>
      </c>
      <c r="E49" s="19" t="s">
        <v>29</v>
      </c>
      <c r="F49" s="20" t="s">
        <v>101</v>
      </c>
      <c r="G49" s="21" t="s">
        <v>89</v>
      </c>
      <c r="H49" s="21" t="s">
        <v>23</v>
      </c>
      <c r="I49" s="21" t="s">
        <v>30</v>
      </c>
      <c r="J49" s="17" t="s">
        <v>90</v>
      </c>
      <c r="K49" s="17" t="s">
        <v>63</v>
      </c>
      <c r="L49" s="17" t="s">
        <v>74</v>
      </c>
      <c r="M49" s="19" t="s">
        <v>75</v>
      </c>
      <c r="N49" s="17"/>
      <c r="O49" s="22" t="s">
        <v>102</v>
      </c>
      <c r="P49" s="20"/>
      <c r="Q49" s="31">
        <f t="shared" si="3"/>
        <v>1</v>
      </c>
      <c r="R49" s="32" t="str">
        <f t="shared" si="4"/>
        <v>P00.047</v>
      </c>
    </row>
    <row r="50" spans="1:18">
      <c r="A50" s="18"/>
      <c r="B50" s="18"/>
      <c r="C50" s="18"/>
      <c r="D50" s="17">
        <f t="shared" si="2"/>
        <v>48</v>
      </c>
      <c r="E50" s="19" t="s">
        <v>92</v>
      </c>
      <c r="F50" s="20" t="s">
        <v>103</v>
      </c>
      <c r="G50" s="21" t="s">
        <v>23</v>
      </c>
      <c r="H50" s="21" t="s">
        <v>94</v>
      </c>
      <c r="I50" s="21" t="s">
        <v>95</v>
      </c>
      <c r="J50" s="17" t="s">
        <v>25</v>
      </c>
      <c r="K50" s="17" t="s">
        <v>63</v>
      </c>
      <c r="L50" s="17" t="s">
        <v>74</v>
      </c>
      <c r="M50" s="19" t="s">
        <v>75</v>
      </c>
      <c r="N50" s="17"/>
      <c r="O50" s="22" t="s">
        <v>104</v>
      </c>
      <c r="P50" s="20"/>
      <c r="Q50" s="31">
        <f t="shared" si="3"/>
        <v>1</v>
      </c>
      <c r="R50" s="32" t="str">
        <f t="shared" si="4"/>
        <v>P00.048</v>
      </c>
    </row>
    <row r="51" spans="1:18">
      <c r="A51" s="18"/>
      <c r="B51" s="18"/>
      <c r="C51" s="18"/>
      <c r="D51" s="17">
        <f t="shared" si="2"/>
        <v>49</v>
      </c>
      <c r="E51" s="19" t="s">
        <v>29</v>
      </c>
      <c r="F51" s="20" t="s">
        <v>105</v>
      </c>
      <c r="G51" s="21" t="s">
        <v>23</v>
      </c>
      <c r="H51" s="21" t="s">
        <v>23</v>
      </c>
      <c r="I51" s="21" t="s">
        <v>30</v>
      </c>
      <c r="J51" s="17" t="s">
        <v>25</v>
      </c>
      <c r="K51" s="17" t="s">
        <v>63</v>
      </c>
      <c r="L51" s="17" t="s">
        <v>74</v>
      </c>
      <c r="M51" s="19" t="s">
        <v>75</v>
      </c>
      <c r="N51" s="17"/>
      <c r="O51" s="22" t="s">
        <v>106</v>
      </c>
      <c r="P51" s="20"/>
      <c r="Q51" s="31">
        <f t="shared" si="3"/>
        <v>1</v>
      </c>
      <c r="R51" s="32" t="str">
        <f t="shared" si="4"/>
        <v>P00.049</v>
      </c>
    </row>
    <row r="52" spans="1:18">
      <c r="A52" s="18"/>
      <c r="B52" s="18"/>
      <c r="C52" s="18"/>
      <c r="D52" s="17">
        <f t="shared" si="2"/>
        <v>50</v>
      </c>
      <c r="E52" s="19" t="s">
        <v>29</v>
      </c>
      <c r="F52" s="20" t="s">
        <v>107</v>
      </c>
      <c r="G52" s="21" t="s">
        <v>89</v>
      </c>
      <c r="H52" s="21" t="s">
        <v>23</v>
      </c>
      <c r="I52" s="21" t="s">
        <v>30</v>
      </c>
      <c r="J52" s="17" t="s">
        <v>90</v>
      </c>
      <c r="K52" s="17" t="s">
        <v>63</v>
      </c>
      <c r="L52" s="17" t="s">
        <v>74</v>
      </c>
      <c r="M52" s="19" t="s">
        <v>75</v>
      </c>
      <c r="N52" s="17"/>
      <c r="O52" s="22" t="s">
        <v>108</v>
      </c>
      <c r="P52" s="20"/>
      <c r="Q52" s="31">
        <f t="shared" si="3"/>
        <v>1</v>
      </c>
      <c r="R52" s="32" t="str">
        <f t="shared" si="4"/>
        <v>P00.050</v>
      </c>
    </row>
    <row r="53" spans="1:18">
      <c r="A53" s="18"/>
      <c r="B53" s="18"/>
      <c r="C53" s="18"/>
      <c r="D53" s="17">
        <f t="shared" si="2"/>
        <v>51</v>
      </c>
      <c r="E53" s="19" t="s">
        <v>92</v>
      </c>
      <c r="F53" s="20" t="s">
        <v>109</v>
      </c>
      <c r="G53" s="21" t="s">
        <v>23</v>
      </c>
      <c r="H53" s="21" t="s">
        <v>94</v>
      </c>
      <c r="I53" s="21" t="s">
        <v>95</v>
      </c>
      <c r="J53" s="17" t="s">
        <v>25</v>
      </c>
      <c r="K53" s="17" t="s">
        <v>63</v>
      </c>
      <c r="L53" s="17" t="s">
        <v>74</v>
      </c>
      <c r="M53" s="19" t="s">
        <v>75</v>
      </c>
      <c r="N53" s="17"/>
      <c r="O53" s="22" t="s">
        <v>110</v>
      </c>
      <c r="P53" s="20"/>
      <c r="Q53" s="31">
        <f t="shared" si="3"/>
        <v>1</v>
      </c>
      <c r="R53" s="32" t="str">
        <f t="shared" si="4"/>
        <v>P00.051</v>
      </c>
    </row>
    <row r="54" spans="1:18">
      <c r="A54" s="18"/>
      <c r="B54" s="18"/>
      <c r="C54" s="18"/>
      <c r="D54" s="17">
        <f t="shared" si="2"/>
        <v>52</v>
      </c>
      <c r="E54" s="19" t="s">
        <v>29</v>
      </c>
      <c r="F54" s="20" t="s">
        <v>111</v>
      </c>
      <c r="G54" s="21" t="s">
        <v>23</v>
      </c>
      <c r="H54" s="21" t="s">
        <v>23</v>
      </c>
      <c r="I54" s="21" t="s">
        <v>30</v>
      </c>
      <c r="J54" s="17" t="s">
        <v>25</v>
      </c>
      <c r="K54" s="17" t="s">
        <v>63</v>
      </c>
      <c r="L54" s="17" t="s">
        <v>74</v>
      </c>
      <c r="M54" s="19" t="s">
        <v>75</v>
      </c>
      <c r="N54" s="17"/>
      <c r="O54" s="22" t="s">
        <v>112</v>
      </c>
      <c r="P54" s="20"/>
      <c r="Q54" s="31">
        <f t="shared" si="3"/>
        <v>1</v>
      </c>
      <c r="R54" s="32" t="str">
        <f t="shared" si="4"/>
        <v>P00.052</v>
      </c>
    </row>
    <row r="55" spans="1:18">
      <c r="A55" s="18"/>
      <c r="B55" s="18"/>
      <c r="C55" s="18"/>
      <c r="D55" s="17">
        <f t="shared" si="2"/>
        <v>53</v>
      </c>
      <c r="E55" s="19" t="s">
        <v>29</v>
      </c>
      <c r="F55" s="20" t="s">
        <v>113</v>
      </c>
      <c r="G55" s="21" t="s">
        <v>89</v>
      </c>
      <c r="H55" s="21" t="s">
        <v>23</v>
      </c>
      <c r="I55" s="21" t="s">
        <v>30</v>
      </c>
      <c r="J55" s="17" t="s">
        <v>90</v>
      </c>
      <c r="K55" s="17" t="s">
        <v>63</v>
      </c>
      <c r="L55" s="17" t="s">
        <v>74</v>
      </c>
      <c r="M55" s="19" t="s">
        <v>75</v>
      </c>
      <c r="N55" s="17"/>
      <c r="O55" s="22" t="s">
        <v>114</v>
      </c>
      <c r="P55" s="20"/>
      <c r="Q55" s="31">
        <f t="shared" si="3"/>
        <v>1</v>
      </c>
      <c r="R55" s="32" t="str">
        <f t="shared" si="4"/>
        <v>P00.053</v>
      </c>
    </row>
    <row r="56" spans="1:18">
      <c r="A56" s="18"/>
      <c r="B56" s="18"/>
      <c r="C56" s="18"/>
      <c r="D56" s="17">
        <f t="shared" si="2"/>
        <v>54</v>
      </c>
      <c r="E56" s="19" t="s">
        <v>92</v>
      </c>
      <c r="F56" s="20" t="s">
        <v>115</v>
      </c>
      <c r="G56" s="21" t="s">
        <v>23</v>
      </c>
      <c r="H56" s="21" t="s">
        <v>94</v>
      </c>
      <c r="I56" s="21" t="s">
        <v>95</v>
      </c>
      <c r="J56" s="17" t="s">
        <v>25</v>
      </c>
      <c r="K56" s="17" t="s">
        <v>63</v>
      </c>
      <c r="L56" s="17" t="s">
        <v>74</v>
      </c>
      <c r="M56" s="19" t="s">
        <v>75</v>
      </c>
      <c r="N56" s="17"/>
      <c r="O56" s="22" t="s">
        <v>116</v>
      </c>
      <c r="P56" s="20"/>
      <c r="Q56" s="31">
        <f t="shared" si="3"/>
        <v>1</v>
      </c>
      <c r="R56" s="32" t="str">
        <f t="shared" si="4"/>
        <v>P00.054</v>
      </c>
    </row>
    <row r="57" spans="1:18">
      <c r="A57" s="18"/>
      <c r="B57" s="18"/>
      <c r="C57" s="18"/>
      <c r="D57" s="17">
        <f t="shared" si="2"/>
        <v>55</v>
      </c>
      <c r="E57" s="19" t="s">
        <v>29</v>
      </c>
      <c r="F57" s="20" t="s">
        <v>117</v>
      </c>
      <c r="G57" s="21" t="s">
        <v>23</v>
      </c>
      <c r="H57" s="21" t="s">
        <v>23</v>
      </c>
      <c r="I57" s="21" t="s">
        <v>30</v>
      </c>
      <c r="J57" s="17" t="s">
        <v>25</v>
      </c>
      <c r="K57" s="17" t="s">
        <v>63</v>
      </c>
      <c r="L57" s="17" t="s">
        <v>74</v>
      </c>
      <c r="M57" s="19" t="s">
        <v>75</v>
      </c>
      <c r="N57" s="17"/>
      <c r="O57" s="22" t="s">
        <v>118</v>
      </c>
      <c r="P57" s="20"/>
      <c r="Q57" s="31">
        <f t="shared" si="3"/>
        <v>1</v>
      </c>
      <c r="R57" s="32" t="str">
        <f t="shared" si="4"/>
        <v>P00.055</v>
      </c>
    </row>
    <row r="58" spans="1:18">
      <c r="A58" s="18"/>
      <c r="B58" s="18"/>
      <c r="C58" s="18"/>
      <c r="D58" s="17">
        <f t="shared" si="2"/>
        <v>56</v>
      </c>
      <c r="E58" s="19" t="s">
        <v>29</v>
      </c>
      <c r="F58" s="20"/>
      <c r="G58" s="21" t="s">
        <v>23</v>
      </c>
      <c r="H58" s="21" t="s">
        <v>23</v>
      </c>
      <c r="I58" s="21" t="s">
        <v>30</v>
      </c>
      <c r="J58" s="17" t="s">
        <v>25</v>
      </c>
      <c r="K58" s="17" t="s">
        <v>26</v>
      </c>
      <c r="L58" s="17" t="s">
        <v>32</v>
      </c>
      <c r="M58" s="19" t="s">
        <v>28</v>
      </c>
      <c r="N58" s="17"/>
      <c r="O58" s="20"/>
      <c r="P58" s="20"/>
      <c r="Q58" s="31">
        <f t="shared" si="3"/>
        <v>1</v>
      </c>
      <c r="R58" s="32" t="str">
        <f t="shared" si="4"/>
        <v>P00.056</v>
      </c>
    </row>
    <row r="59" spans="1:18">
      <c r="A59" s="18"/>
      <c r="B59" s="18"/>
      <c r="C59" s="18"/>
      <c r="D59" s="17">
        <f t="shared" si="2"/>
        <v>57</v>
      </c>
      <c r="E59" s="19" t="s">
        <v>29</v>
      </c>
      <c r="F59" s="20" t="s">
        <v>119</v>
      </c>
      <c r="G59" s="21" t="s">
        <v>89</v>
      </c>
      <c r="H59" s="21" t="s">
        <v>23</v>
      </c>
      <c r="I59" s="21" t="s">
        <v>30</v>
      </c>
      <c r="J59" s="17" t="s">
        <v>90</v>
      </c>
      <c r="K59" s="17" t="s">
        <v>63</v>
      </c>
      <c r="L59" s="17" t="s">
        <v>74</v>
      </c>
      <c r="M59" s="19" t="s">
        <v>75</v>
      </c>
      <c r="N59" s="17"/>
      <c r="O59" s="22" t="s">
        <v>120</v>
      </c>
      <c r="P59" s="20"/>
      <c r="Q59" s="31">
        <f t="shared" si="3"/>
        <v>1</v>
      </c>
      <c r="R59" s="32" t="str">
        <f t="shared" si="4"/>
        <v>P00.057</v>
      </c>
    </row>
    <row r="60" spans="1:18">
      <c r="A60" s="18"/>
      <c r="B60" s="18"/>
      <c r="C60" s="18"/>
      <c r="D60" s="17">
        <f t="shared" si="2"/>
        <v>58</v>
      </c>
      <c r="E60" s="19" t="s">
        <v>92</v>
      </c>
      <c r="F60" s="20" t="s">
        <v>121</v>
      </c>
      <c r="G60" s="21" t="s">
        <v>23</v>
      </c>
      <c r="H60" s="21" t="s">
        <v>94</v>
      </c>
      <c r="I60" s="21" t="s">
        <v>95</v>
      </c>
      <c r="J60" s="17" t="s">
        <v>25</v>
      </c>
      <c r="K60" s="17" t="s">
        <v>63</v>
      </c>
      <c r="L60" s="17" t="s">
        <v>74</v>
      </c>
      <c r="M60" s="19" t="s">
        <v>75</v>
      </c>
      <c r="N60" s="17"/>
      <c r="O60" s="22" t="s">
        <v>122</v>
      </c>
      <c r="P60" s="20"/>
      <c r="Q60" s="31">
        <f t="shared" si="3"/>
        <v>1</v>
      </c>
      <c r="R60" s="32" t="str">
        <f t="shared" si="4"/>
        <v>P00.058</v>
      </c>
    </row>
    <row r="61" spans="1:18">
      <c r="A61" s="18"/>
      <c r="B61" s="18"/>
      <c r="C61" s="18"/>
      <c r="D61" s="17">
        <f t="shared" si="2"/>
        <v>59</v>
      </c>
      <c r="E61" s="19" t="s">
        <v>29</v>
      </c>
      <c r="F61" s="20"/>
      <c r="G61" s="21" t="s">
        <v>23</v>
      </c>
      <c r="H61" s="21" t="s">
        <v>23</v>
      </c>
      <c r="I61" s="21" t="s">
        <v>30</v>
      </c>
      <c r="J61" s="17" t="s">
        <v>25</v>
      </c>
      <c r="K61" s="17" t="s">
        <v>26</v>
      </c>
      <c r="L61" s="17" t="s">
        <v>32</v>
      </c>
      <c r="M61" s="19" t="s">
        <v>28</v>
      </c>
      <c r="N61" s="17"/>
      <c r="O61" s="20"/>
      <c r="P61" s="20"/>
      <c r="Q61" s="31">
        <f t="shared" si="3"/>
        <v>1</v>
      </c>
      <c r="R61" s="32" t="str">
        <f t="shared" si="4"/>
        <v>P00.059</v>
      </c>
    </row>
    <row r="62" ht="36" spans="1:18">
      <c r="A62" s="18"/>
      <c r="B62" s="18"/>
      <c r="C62" s="18"/>
      <c r="D62" s="17">
        <f t="shared" si="2"/>
        <v>60</v>
      </c>
      <c r="E62" s="19" t="s">
        <v>29</v>
      </c>
      <c r="F62" s="20" t="s">
        <v>123</v>
      </c>
      <c r="G62" s="21" t="s">
        <v>124</v>
      </c>
      <c r="H62" s="21" t="s">
        <v>23</v>
      </c>
      <c r="I62" s="21" t="s">
        <v>30</v>
      </c>
      <c r="J62" s="17" t="s">
        <v>125</v>
      </c>
      <c r="K62" s="17" t="s">
        <v>26</v>
      </c>
      <c r="L62" s="17" t="s">
        <v>32</v>
      </c>
      <c r="M62" s="19" t="s">
        <v>28</v>
      </c>
      <c r="N62" s="17"/>
      <c r="O62" s="26" t="s">
        <v>126</v>
      </c>
      <c r="P62" s="43" t="s">
        <v>127</v>
      </c>
      <c r="Q62" s="31">
        <f t="shared" si="3"/>
        <v>1</v>
      </c>
      <c r="R62" s="32" t="str">
        <f t="shared" si="4"/>
        <v>P00.060</v>
      </c>
    </row>
    <row r="63" spans="1:18">
      <c r="A63" s="18"/>
      <c r="B63" s="18"/>
      <c r="C63" s="18"/>
      <c r="D63" s="17">
        <f t="shared" si="2"/>
        <v>61</v>
      </c>
      <c r="E63" s="19" t="s">
        <v>29</v>
      </c>
      <c r="F63" s="20"/>
      <c r="G63" s="21" t="s">
        <v>23</v>
      </c>
      <c r="H63" s="21" t="s">
        <v>23</v>
      </c>
      <c r="I63" s="21" t="s">
        <v>30</v>
      </c>
      <c r="J63" s="17" t="s">
        <v>25</v>
      </c>
      <c r="K63" s="17" t="s">
        <v>26</v>
      </c>
      <c r="L63" s="17" t="s">
        <v>32</v>
      </c>
      <c r="M63" s="19" t="s">
        <v>28</v>
      </c>
      <c r="N63" s="17"/>
      <c r="O63" s="20"/>
      <c r="P63" s="20"/>
      <c r="Q63" s="31">
        <f t="shared" si="3"/>
        <v>1</v>
      </c>
      <c r="R63" s="32" t="str">
        <f t="shared" si="4"/>
        <v>P00.061</v>
      </c>
    </row>
    <row r="64" spans="1:18">
      <c r="A64" s="18"/>
      <c r="B64" s="18"/>
      <c r="C64" s="18"/>
      <c r="D64" s="17">
        <f t="shared" si="2"/>
        <v>62</v>
      </c>
      <c r="E64" s="19" t="s">
        <v>29</v>
      </c>
      <c r="F64" s="20" t="s">
        <v>128</v>
      </c>
      <c r="G64" s="21" t="s">
        <v>129</v>
      </c>
      <c r="H64" s="21" t="s">
        <v>23</v>
      </c>
      <c r="I64" s="21" t="s">
        <v>30</v>
      </c>
      <c r="J64" s="17" t="s">
        <v>130</v>
      </c>
      <c r="K64" s="17" t="s">
        <v>26</v>
      </c>
      <c r="L64" s="17" t="s">
        <v>32</v>
      </c>
      <c r="M64" s="19" t="s">
        <v>28</v>
      </c>
      <c r="N64" s="17"/>
      <c r="O64" s="26" t="s">
        <v>131</v>
      </c>
      <c r="P64" s="20"/>
      <c r="Q64" s="31">
        <f t="shared" si="3"/>
        <v>1</v>
      </c>
      <c r="R64" s="32" t="str">
        <f t="shared" si="4"/>
        <v>P00.062</v>
      </c>
    </row>
    <row r="65" spans="1:18">
      <c r="A65" s="18"/>
      <c r="B65" s="18"/>
      <c r="C65" s="18"/>
      <c r="D65" s="17">
        <f t="shared" si="2"/>
        <v>63</v>
      </c>
      <c r="E65" s="19" t="s">
        <v>29</v>
      </c>
      <c r="F65" s="20" t="s">
        <v>132</v>
      </c>
      <c r="G65" s="21" t="s">
        <v>133</v>
      </c>
      <c r="H65" s="21" t="s">
        <v>23</v>
      </c>
      <c r="I65" s="21" t="s">
        <v>30</v>
      </c>
      <c r="J65" s="17" t="s">
        <v>130</v>
      </c>
      <c r="K65" s="17" t="s">
        <v>26</v>
      </c>
      <c r="L65" s="17" t="s">
        <v>32</v>
      </c>
      <c r="M65" s="19" t="s">
        <v>28</v>
      </c>
      <c r="N65" s="17"/>
      <c r="O65" s="26" t="s">
        <v>134</v>
      </c>
      <c r="P65" s="20"/>
      <c r="Q65" s="31">
        <f t="shared" si="3"/>
        <v>1</v>
      </c>
      <c r="R65" s="32" t="str">
        <f t="shared" si="4"/>
        <v>P00.063</v>
      </c>
    </row>
    <row r="66" spans="1:18">
      <c r="A66" s="18"/>
      <c r="B66" s="18"/>
      <c r="C66" s="18"/>
      <c r="D66" s="17">
        <f t="shared" si="2"/>
        <v>64</v>
      </c>
      <c r="E66" s="19" t="s">
        <v>29</v>
      </c>
      <c r="F66" s="20" t="s">
        <v>135</v>
      </c>
      <c r="G66" s="21" t="s">
        <v>136</v>
      </c>
      <c r="H66" s="21" t="s">
        <v>23</v>
      </c>
      <c r="I66" s="21" t="s">
        <v>30</v>
      </c>
      <c r="J66" s="17" t="s">
        <v>130</v>
      </c>
      <c r="K66" s="17" t="s">
        <v>26</v>
      </c>
      <c r="L66" s="17" t="s">
        <v>32</v>
      </c>
      <c r="M66" s="19" t="s">
        <v>28</v>
      </c>
      <c r="N66" s="17"/>
      <c r="O66" s="26" t="s">
        <v>137</v>
      </c>
      <c r="P66" s="20"/>
      <c r="Q66" s="31">
        <f t="shared" si="3"/>
        <v>1</v>
      </c>
      <c r="R66" s="32" t="str">
        <f t="shared" si="4"/>
        <v>P00.064</v>
      </c>
    </row>
    <row r="67" spans="1:18">
      <c r="A67" s="18"/>
      <c r="B67" s="18"/>
      <c r="C67" s="18"/>
      <c r="D67" s="17">
        <f t="shared" si="2"/>
        <v>65</v>
      </c>
      <c r="E67" s="19" t="s">
        <v>29</v>
      </c>
      <c r="F67" s="20" t="s">
        <v>138</v>
      </c>
      <c r="G67" s="21" t="s">
        <v>136</v>
      </c>
      <c r="H67" s="21" t="s">
        <v>23</v>
      </c>
      <c r="I67" s="21" t="s">
        <v>30</v>
      </c>
      <c r="J67" s="17" t="s">
        <v>130</v>
      </c>
      <c r="K67" s="17" t="s">
        <v>26</v>
      </c>
      <c r="L67" s="17" t="s">
        <v>32</v>
      </c>
      <c r="M67" s="19" t="s">
        <v>28</v>
      </c>
      <c r="N67" s="17"/>
      <c r="O67" s="26" t="s">
        <v>139</v>
      </c>
      <c r="P67" s="20"/>
      <c r="Q67" s="31">
        <f t="shared" si="3"/>
        <v>1</v>
      </c>
      <c r="R67" s="32" t="str">
        <f t="shared" si="4"/>
        <v>P00.065</v>
      </c>
    </row>
    <row r="68" spans="1:18">
      <c r="A68" s="18"/>
      <c r="B68" s="18"/>
      <c r="C68" s="18"/>
      <c r="D68" s="17">
        <f t="shared" si="2"/>
        <v>66</v>
      </c>
      <c r="E68" s="19" t="s">
        <v>29</v>
      </c>
      <c r="F68" s="20" t="s">
        <v>140</v>
      </c>
      <c r="G68" s="21" t="s">
        <v>141</v>
      </c>
      <c r="H68" s="21" t="s">
        <v>23</v>
      </c>
      <c r="I68" s="21" t="s">
        <v>30</v>
      </c>
      <c r="J68" s="17" t="s">
        <v>130</v>
      </c>
      <c r="K68" s="17" t="s">
        <v>26</v>
      </c>
      <c r="L68" s="17" t="s">
        <v>32</v>
      </c>
      <c r="M68" s="19" t="s">
        <v>28</v>
      </c>
      <c r="N68" s="17"/>
      <c r="O68" s="26" t="s">
        <v>142</v>
      </c>
      <c r="P68" s="20"/>
      <c r="Q68" s="31">
        <f t="shared" si="3"/>
        <v>1</v>
      </c>
      <c r="R68" s="32" t="str">
        <f t="shared" si="4"/>
        <v>P00.066</v>
      </c>
    </row>
    <row r="69" spans="1:18">
      <c r="A69" s="18"/>
      <c r="B69" s="18"/>
      <c r="C69" s="18"/>
      <c r="D69" s="17">
        <f t="shared" si="2"/>
        <v>67</v>
      </c>
      <c r="E69" s="19" t="s">
        <v>29</v>
      </c>
      <c r="F69" s="20"/>
      <c r="G69" s="21" t="s">
        <v>23</v>
      </c>
      <c r="H69" s="21" t="s">
        <v>23</v>
      </c>
      <c r="I69" s="21" t="s">
        <v>30</v>
      </c>
      <c r="J69" s="17" t="s">
        <v>25</v>
      </c>
      <c r="K69" s="17" t="s">
        <v>26</v>
      </c>
      <c r="L69" s="17" t="s">
        <v>32</v>
      </c>
      <c r="M69" s="19" t="s">
        <v>28</v>
      </c>
      <c r="N69" s="17"/>
      <c r="O69" s="20"/>
      <c r="P69" s="20"/>
      <c r="Q69" s="31">
        <f t="shared" si="3"/>
        <v>1</v>
      </c>
      <c r="R69" s="32" t="str">
        <f t="shared" si="4"/>
        <v>P00.067</v>
      </c>
    </row>
    <row r="70" spans="1:18">
      <c r="A70" s="18"/>
      <c r="B70" s="18"/>
      <c r="C70" s="18"/>
      <c r="D70" s="17">
        <f t="shared" si="2"/>
        <v>68</v>
      </c>
      <c r="E70" s="19" t="s">
        <v>29</v>
      </c>
      <c r="F70" s="22" t="s">
        <v>143</v>
      </c>
      <c r="G70" s="21" t="s">
        <v>144</v>
      </c>
      <c r="H70" s="21" t="s">
        <v>23</v>
      </c>
      <c r="I70" s="21" t="s">
        <v>30</v>
      </c>
      <c r="J70" s="17" t="s">
        <v>145</v>
      </c>
      <c r="K70" s="17" t="s">
        <v>26</v>
      </c>
      <c r="L70" s="17" t="s">
        <v>32</v>
      </c>
      <c r="M70" s="19" t="s">
        <v>28</v>
      </c>
      <c r="N70" s="22"/>
      <c r="O70" s="22" t="s">
        <v>146</v>
      </c>
      <c r="P70" s="20"/>
      <c r="Q70" s="31">
        <f t="shared" ref="Q70:Q133" si="5">IF(OR(F70="",LEFT(TRIM(F70),3)=E70),1,0)</f>
        <v>1</v>
      </c>
      <c r="R70" s="32" t="str">
        <f t="shared" ref="R70:R133" si="6">"P"&amp;TEXT(INT(D70/256),"00")&amp;"."&amp;TEXT(MOD(D70,256),"000")</f>
        <v>P00.068</v>
      </c>
    </row>
    <row r="71" spans="1:18">
      <c r="A71" s="18"/>
      <c r="B71" s="18"/>
      <c r="C71" s="18"/>
      <c r="D71" s="17">
        <f t="shared" ref="D71:D134" si="7">INDEX(D:D,ROW()-1)+_xlfn.IFS(INDEX(E:E,ROW()-1)="u16",1,INDEX(E:E,ROW()-1)="s16",1,INDEX(E:E,ROW()-1)="s32",2,INDEX(E:E,ROW()-1)="s64",4,INDEX(E:E,ROW()-1)="u16",1,INDEX(E:E,ROW()-1)="u32",2,INDEX(E:E,ROW()-1)="u64",4,INDEX(E:E,ROW()-1)="f32",2,INDEX(E:E,ROW()-1)="f64",4)</f>
        <v>69</v>
      </c>
      <c r="E71" s="19" t="s">
        <v>29</v>
      </c>
      <c r="F71" s="20" t="s">
        <v>147</v>
      </c>
      <c r="G71" s="21" t="s">
        <v>148</v>
      </c>
      <c r="H71" s="21" t="s">
        <v>23</v>
      </c>
      <c r="I71" s="21" t="s">
        <v>30</v>
      </c>
      <c r="J71" s="17" t="s">
        <v>145</v>
      </c>
      <c r="K71" s="17" t="s">
        <v>26</v>
      </c>
      <c r="L71" s="17" t="s">
        <v>32</v>
      </c>
      <c r="M71" s="19" t="s">
        <v>28</v>
      </c>
      <c r="N71" s="17"/>
      <c r="O71" s="22" t="s">
        <v>149</v>
      </c>
      <c r="P71" s="20"/>
      <c r="Q71" s="31">
        <f t="shared" si="5"/>
        <v>1</v>
      </c>
      <c r="R71" s="32" t="str">
        <f t="shared" si="6"/>
        <v>P00.069</v>
      </c>
    </row>
    <row r="72" spans="1:18">
      <c r="A72" s="18"/>
      <c r="B72" s="18"/>
      <c r="C72" s="18"/>
      <c r="D72" s="17">
        <f t="shared" si="7"/>
        <v>70</v>
      </c>
      <c r="E72" s="19" t="s">
        <v>29</v>
      </c>
      <c r="F72" s="20" t="s">
        <v>150</v>
      </c>
      <c r="G72" s="21" t="s">
        <v>144</v>
      </c>
      <c r="H72" s="21" t="s">
        <v>23</v>
      </c>
      <c r="I72" s="21" t="s">
        <v>30</v>
      </c>
      <c r="J72" s="17" t="s">
        <v>145</v>
      </c>
      <c r="K72" s="17" t="s">
        <v>26</v>
      </c>
      <c r="L72" s="17" t="s">
        <v>32</v>
      </c>
      <c r="M72" s="19" t="s">
        <v>28</v>
      </c>
      <c r="N72" s="17"/>
      <c r="O72" s="22" t="s">
        <v>151</v>
      </c>
      <c r="P72" s="20"/>
      <c r="Q72" s="31">
        <f t="shared" si="5"/>
        <v>1</v>
      </c>
      <c r="R72" s="32" t="str">
        <f t="shared" si="6"/>
        <v>P00.070</v>
      </c>
    </row>
    <row r="73" spans="1:18">
      <c r="A73" s="18"/>
      <c r="B73" s="18"/>
      <c r="C73" s="18"/>
      <c r="D73" s="17">
        <f t="shared" si="7"/>
        <v>71</v>
      </c>
      <c r="E73" s="19" t="s">
        <v>29</v>
      </c>
      <c r="F73" s="20" t="s">
        <v>152</v>
      </c>
      <c r="G73" s="21" t="s">
        <v>144</v>
      </c>
      <c r="H73" s="21" t="s">
        <v>23</v>
      </c>
      <c r="I73" s="21" t="s">
        <v>30</v>
      </c>
      <c r="J73" s="17" t="s">
        <v>145</v>
      </c>
      <c r="K73" s="17" t="s">
        <v>26</v>
      </c>
      <c r="L73" s="17" t="s">
        <v>32</v>
      </c>
      <c r="M73" s="19" t="s">
        <v>28</v>
      </c>
      <c r="N73" s="17"/>
      <c r="O73" s="22" t="s">
        <v>153</v>
      </c>
      <c r="P73" s="20"/>
      <c r="Q73" s="31">
        <f t="shared" si="5"/>
        <v>1</v>
      </c>
      <c r="R73" s="32" t="str">
        <f t="shared" si="6"/>
        <v>P00.071</v>
      </c>
    </row>
    <row r="74" spans="1:18">
      <c r="A74" s="18"/>
      <c r="B74" s="18"/>
      <c r="C74" s="18"/>
      <c r="D74" s="17">
        <f t="shared" si="7"/>
        <v>72</v>
      </c>
      <c r="E74" s="19" t="s">
        <v>29</v>
      </c>
      <c r="F74" s="20"/>
      <c r="G74" s="21" t="s">
        <v>23</v>
      </c>
      <c r="H74" s="21" t="s">
        <v>23</v>
      </c>
      <c r="I74" s="21" t="s">
        <v>30</v>
      </c>
      <c r="J74" s="17" t="s">
        <v>25</v>
      </c>
      <c r="K74" s="17" t="s">
        <v>26</v>
      </c>
      <c r="L74" s="17" t="s">
        <v>32</v>
      </c>
      <c r="M74" s="19" t="s">
        <v>28</v>
      </c>
      <c r="N74" s="17"/>
      <c r="O74" s="20"/>
      <c r="P74" s="20"/>
      <c r="Q74" s="31">
        <f t="shared" si="5"/>
        <v>1</v>
      </c>
      <c r="R74" s="32" t="str">
        <f t="shared" si="6"/>
        <v>P00.072</v>
      </c>
    </row>
    <row r="75" spans="1:18">
      <c r="A75" s="18"/>
      <c r="B75" s="18"/>
      <c r="C75" s="18"/>
      <c r="D75" s="17">
        <f t="shared" si="7"/>
        <v>73</v>
      </c>
      <c r="E75" s="19" t="s">
        <v>29</v>
      </c>
      <c r="F75" s="20"/>
      <c r="G75" s="21" t="s">
        <v>23</v>
      </c>
      <c r="H75" s="21" t="s">
        <v>23</v>
      </c>
      <c r="I75" s="21" t="s">
        <v>30</v>
      </c>
      <c r="J75" s="17" t="s">
        <v>25</v>
      </c>
      <c r="K75" s="17" t="s">
        <v>26</v>
      </c>
      <c r="L75" s="17" t="s">
        <v>32</v>
      </c>
      <c r="M75" s="19" t="s">
        <v>28</v>
      </c>
      <c r="N75" s="17"/>
      <c r="O75" s="20"/>
      <c r="P75" s="20"/>
      <c r="Q75" s="31">
        <f t="shared" si="5"/>
        <v>1</v>
      </c>
      <c r="R75" s="32" t="str">
        <f t="shared" si="6"/>
        <v>P00.073</v>
      </c>
    </row>
    <row r="76" spans="1:18">
      <c r="A76" s="18">
        <v>2</v>
      </c>
      <c r="B76" s="18" t="s">
        <v>154</v>
      </c>
      <c r="C76" s="18" t="s">
        <v>155</v>
      </c>
      <c r="D76" s="17">
        <f t="shared" si="7"/>
        <v>74</v>
      </c>
      <c r="E76" s="19" t="s">
        <v>29</v>
      </c>
      <c r="F76" s="20"/>
      <c r="G76" s="21" t="s">
        <v>23</v>
      </c>
      <c r="H76" s="21" t="s">
        <v>23</v>
      </c>
      <c r="I76" s="21" t="s">
        <v>30</v>
      </c>
      <c r="J76" s="17" t="s">
        <v>25</v>
      </c>
      <c r="K76" s="17" t="s">
        <v>26</v>
      </c>
      <c r="L76" s="17" t="s">
        <v>32</v>
      </c>
      <c r="M76" s="19" t="s">
        <v>28</v>
      </c>
      <c r="N76" s="17"/>
      <c r="O76" s="20"/>
      <c r="P76" s="20"/>
      <c r="Q76" s="31">
        <f t="shared" si="5"/>
        <v>1</v>
      </c>
      <c r="R76" s="32" t="str">
        <f t="shared" si="6"/>
        <v>P00.074</v>
      </c>
    </row>
    <row r="77" spans="1:18">
      <c r="A77" s="18"/>
      <c r="B77" s="18"/>
      <c r="C77" s="18"/>
      <c r="D77" s="17">
        <f t="shared" si="7"/>
        <v>75</v>
      </c>
      <c r="E77" s="19" t="s">
        <v>29</v>
      </c>
      <c r="F77" s="44" t="s">
        <v>156</v>
      </c>
      <c r="G77" s="21" t="s">
        <v>40</v>
      </c>
      <c r="H77" s="21" t="s">
        <v>40</v>
      </c>
      <c r="I77" s="21" t="s">
        <v>157</v>
      </c>
      <c r="J77" s="17" t="s">
        <v>25</v>
      </c>
      <c r="K77" s="17" t="s">
        <v>158</v>
      </c>
      <c r="L77" s="17" t="s">
        <v>27</v>
      </c>
      <c r="M77" s="19" t="s">
        <v>28</v>
      </c>
      <c r="N77" s="22"/>
      <c r="O77" s="22" t="s">
        <v>159</v>
      </c>
      <c r="P77" s="20"/>
      <c r="Q77" s="31">
        <f t="shared" si="5"/>
        <v>1</v>
      </c>
      <c r="R77" s="32" t="str">
        <f t="shared" si="6"/>
        <v>P00.075</v>
      </c>
    </row>
    <row r="78" spans="1:18">
      <c r="A78" s="18"/>
      <c r="B78" s="18"/>
      <c r="C78" s="18"/>
      <c r="D78" s="17">
        <f t="shared" si="7"/>
        <v>76</v>
      </c>
      <c r="E78" s="19" t="s">
        <v>20</v>
      </c>
      <c r="F78" s="44" t="s">
        <v>160</v>
      </c>
      <c r="G78" s="21" t="s">
        <v>161</v>
      </c>
      <c r="H78" s="21" t="s">
        <v>23</v>
      </c>
      <c r="I78" s="21" t="s">
        <v>162</v>
      </c>
      <c r="J78" s="17" t="s">
        <v>25</v>
      </c>
      <c r="K78" s="17" t="s">
        <v>158</v>
      </c>
      <c r="L78" s="17" t="s">
        <v>27</v>
      </c>
      <c r="M78" s="19" t="s">
        <v>28</v>
      </c>
      <c r="N78" s="22"/>
      <c r="O78" s="22" t="s">
        <v>163</v>
      </c>
      <c r="P78" s="20"/>
      <c r="Q78" s="31">
        <f t="shared" si="5"/>
        <v>1</v>
      </c>
      <c r="R78" s="32" t="str">
        <f t="shared" si="6"/>
        <v>P00.076</v>
      </c>
    </row>
    <row r="79" ht="39.6" spans="1:18">
      <c r="A79" s="18"/>
      <c r="B79" s="18"/>
      <c r="C79" s="18"/>
      <c r="D79" s="17">
        <f t="shared" si="7"/>
        <v>78</v>
      </c>
      <c r="E79" s="19" t="s">
        <v>29</v>
      </c>
      <c r="F79" s="44" t="s">
        <v>164</v>
      </c>
      <c r="G79" s="21" t="s">
        <v>43</v>
      </c>
      <c r="H79" s="21" t="s">
        <v>23</v>
      </c>
      <c r="I79" s="21" t="s">
        <v>43</v>
      </c>
      <c r="J79" s="17" t="s">
        <v>25</v>
      </c>
      <c r="K79" s="17" t="s">
        <v>158</v>
      </c>
      <c r="L79" s="17" t="s">
        <v>27</v>
      </c>
      <c r="M79" s="19" t="s">
        <v>28</v>
      </c>
      <c r="N79" s="22"/>
      <c r="O79" s="22" t="s">
        <v>165</v>
      </c>
      <c r="P79" s="25" t="s">
        <v>166</v>
      </c>
      <c r="Q79" s="31">
        <f t="shared" si="5"/>
        <v>1</v>
      </c>
      <c r="R79" s="32" t="str">
        <f t="shared" si="6"/>
        <v>P00.078</v>
      </c>
    </row>
    <row r="80" ht="26.4" spans="1:18">
      <c r="A80" s="18"/>
      <c r="B80" s="18"/>
      <c r="C80" s="18"/>
      <c r="D80" s="17">
        <f t="shared" si="7"/>
        <v>79</v>
      </c>
      <c r="E80" s="19" t="s">
        <v>29</v>
      </c>
      <c r="F80" s="44" t="s">
        <v>167</v>
      </c>
      <c r="G80" s="21" t="s">
        <v>23</v>
      </c>
      <c r="H80" s="21" t="s">
        <v>23</v>
      </c>
      <c r="I80" s="21" t="s">
        <v>40</v>
      </c>
      <c r="J80" s="17" t="s">
        <v>25</v>
      </c>
      <c r="K80" s="17" t="s">
        <v>63</v>
      </c>
      <c r="L80" s="17" t="s">
        <v>27</v>
      </c>
      <c r="M80" s="19" t="s">
        <v>28</v>
      </c>
      <c r="N80" s="22"/>
      <c r="O80" s="22" t="s">
        <v>168</v>
      </c>
      <c r="P80" s="25" t="s">
        <v>169</v>
      </c>
      <c r="Q80" s="31">
        <f t="shared" si="5"/>
        <v>1</v>
      </c>
      <c r="R80" s="32" t="str">
        <f t="shared" si="6"/>
        <v>P00.079</v>
      </c>
    </row>
    <row r="81" spans="1:18">
      <c r="A81" s="18"/>
      <c r="B81" s="18"/>
      <c r="C81" s="18"/>
      <c r="D81" s="17">
        <f t="shared" si="7"/>
        <v>80</v>
      </c>
      <c r="E81" s="19" t="s">
        <v>29</v>
      </c>
      <c r="F81" s="44" t="s">
        <v>170</v>
      </c>
      <c r="G81" s="21" t="s">
        <v>171</v>
      </c>
      <c r="H81" s="21" t="s">
        <v>172</v>
      </c>
      <c r="I81" s="21" t="s">
        <v>30</v>
      </c>
      <c r="J81" s="17" t="s">
        <v>173</v>
      </c>
      <c r="K81" s="17" t="s">
        <v>63</v>
      </c>
      <c r="L81" s="17" t="s">
        <v>27</v>
      </c>
      <c r="M81" s="19" t="s">
        <v>28</v>
      </c>
      <c r="N81" s="22"/>
      <c r="O81" s="22" t="s">
        <v>174</v>
      </c>
      <c r="P81" s="20"/>
      <c r="Q81" s="31">
        <f t="shared" si="5"/>
        <v>1</v>
      </c>
      <c r="R81" s="32" t="str">
        <f t="shared" si="6"/>
        <v>P00.080</v>
      </c>
    </row>
    <row r="82" spans="1:18">
      <c r="A82" s="18"/>
      <c r="B82" s="18"/>
      <c r="C82" s="18"/>
      <c r="D82" s="17">
        <f t="shared" si="7"/>
        <v>81</v>
      </c>
      <c r="E82" s="19" t="s">
        <v>29</v>
      </c>
      <c r="F82" s="44" t="s">
        <v>175</v>
      </c>
      <c r="G82" s="21" t="s">
        <v>23</v>
      </c>
      <c r="H82" s="21" t="s">
        <v>23</v>
      </c>
      <c r="I82" s="21" t="s">
        <v>30</v>
      </c>
      <c r="J82" s="17" t="s">
        <v>173</v>
      </c>
      <c r="K82" s="17" t="s">
        <v>63</v>
      </c>
      <c r="L82" s="17" t="s">
        <v>27</v>
      </c>
      <c r="M82" s="19" t="s">
        <v>28</v>
      </c>
      <c r="N82" s="22"/>
      <c r="O82" s="22" t="s">
        <v>176</v>
      </c>
      <c r="P82" s="20"/>
      <c r="Q82" s="31">
        <f t="shared" si="5"/>
        <v>1</v>
      </c>
      <c r="R82" s="32" t="str">
        <f t="shared" si="6"/>
        <v>P00.081</v>
      </c>
    </row>
    <row r="83" spans="1:18">
      <c r="A83" s="18"/>
      <c r="B83" s="18"/>
      <c r="C83" s="18"/>
      <c r="D83" s="17">
        <f t="shared" si="7"/>
        <v>82</v>
      </c>
      <c r="E83" s="19" t="s">
        <v>29</v>
      </c>
      <c r="F83" s="20"/>
      <c r="G83" s="21" t="s">
        <v>23</v>
      </c>
      <c r="H83" s="21" t="s">
        <v>23</v>
      </c>
      <c r="I83" s="21" t="s">
        <v>30</v>
      </c>
      <c r="J83" s="17" t="s">
        <v>25</v>
      </c>
      <c r="K83" s="17" t="s">
        <v>26</v>
      </c>
      <c r="L83" s="17" t="s">
        <v>32</v>
      </c>
      <c r="M83" s="19" t="s">
        <v>28</v>
      </c>
      <c r="N83" s="22"/>
      <c r="O83" s="20"/>
      <c r="P83" s="20"/>
      <c r="Q83" s="31">
        <f t="shared" si="5"/>
        <v>1</v>
      </c>
      <c r="R83" s="32" t="str">
        <f t="shared" si="6"/>
        <v>P00.082</v>
      </c>
    </row>
    <row r="84" spans="1:18">
      <c r="A84" s="18"/>
      <c r="B84" s="18"/>
      <c r="C84" s="18"/>
      <c r="D84" s="17">
        <f t="shared" si="7"/>
        <v>83</v>
      </c>
      <c r="E84" s="19" t="s">
        <v>29</v>
      </c>
      <c r="F84" s="22" t="s">
        <v>177</v>
      </c>
      <c r="G84" s="21" t="s">
        <v>40</v>
      </c>
      <c r="H84" s="21" t="s">
        <v>40</v>
      </c>
      <c r="I84" s="21" t="s">
        <v>178</v>
      </c>
      <c r="J84" s="17" t="s">
        <v>25</v>
      </c>
      <c r="K84" s="17" t="s">
        <v>158</v>
      </c>
      <c r="L84" s="17" t="s">
        <v>27</v>
      </c>
      <c r="M84" s="19" t="s">
        <v>28</v>
      </c>
      <c r="N84" s="22"/>
      <c r="O84" s="22" t="s">
        <v>179</v>
      </c>
      <c r="P84" s="20"/>
      <c r="Q84" s="31">
        <f t="shared" si="5"/>
        <v>1</v>
      </c>
      <c r="R84" s="32" t="str">
        <f t="shared" si="6"/>
        <v>P00.083</v>
      </c>
    </row>
    <row r="85" spans="1:18">
      <c r="A85" s="18"/>
      <c r="B85" s="18"/>
      <c r="C85" s="18"/>
      <c r="D85" s="17">
        <f t="shared" si="7"/>
        <v>84</v>
      </c>
      <c r="E85" s="19" t="s">
        <v>29</v>
      </c>
      <c r="F85" s="22" t="s">
        <v>180</v>
      </c>
      <c r="G85" s="21" t="s">
        <v>23</v>
      </c>
      <c r="H85" s="21" t="s">
        <v>23</v>
      </c>
      <c r="I85" s="21" t="s">
        <v>30</v>
      </c>
      <c r="J85" s="17" t="s">
        <v>25</v>
      </c>
      <c r="K85" s="17" t="s">
        <v>158</v>
      </c>
      <c r="L85" s="17" t="s">
        <v>27</v>
      </c>
      <c r="M85" s="19" t="s">
        <v>28</v>
      </c>
      <c r="N85" s="22"/>
      <c r="O85" s="22" t="s">
        <v>181</v>
      </c>
      <c r="P85" s="20"/>
      <c r="Q85" s="31">
        <f t="shared" si="5"/>
        <v>1</v>
      </c>
      <c r="R85" s="32" t="str">
        <f t="shared" si="6"/>
        <v>P00.084</v>
      </c>
    </row>
    <row r="86" spans="1:18">
      <c r="A86" s="18"/>
      <c r="B86" s="18"/>
      <c r="C86" s="18"/>
      <c r="D86" s="17">
        <f t="shared" si="7"/>
        <v>85</v>
      </c>
      <c r="E86" s="19" t="s">
        <v>29</v>
      </c>
      <c r="F86" s="22" t="s">
        <v>182</v>
      </c>
      <c r="G86" s="21" t="s">
        <v>183</v>
      </c>
      <c r="H86" s="21" t="s">
        <v>23</v>
      </c>
      <c r="I86" s="21" t="s">
        <v>30</v>
      </c>
      <c r="J86" s="17" t="s">
        <v>173</v>
      </c>
      <c r="K86" s="17" t="s">
        <v>63</v>
      </c>
      <c r="L86" s="17" t="s">
        <v>27</v>
      </c>
      <c r="M86" s="19" t="s">
        <v>28</v>
      </c>
      <c r="N86" s="22"/>
      <c r="O86" s="22" t="s">
        <v>184</v>
      </c>
      <c r="P86" s="20"/>
      <c r="Q86" s="31">
        <f t="shared" si="5"/>
        <v>1</v>
      </c>
      <c r="R86" s="32" t="str">
        <f t="shared" si="6"/>
        <v>P00.085</v>
      </c>
    </row>
    <row r="87" spans="1:18">
      <c r="A87" s="18"/>
      <c r="B87" s="18"/>
      <c r="C87" s="18"/>
      <c r="D87" s="17">
        <f t="shared" si="7"/>
        <v>86</v>
      </c>
      <c r="E87" s="19" t="s">
        <v>29</v>
      </c>
      <c r="F87" s="22" t="s">
        <v>185</v>
      </c>
      <c r="G87" s="21" t="s">
        <v>23</v>
      </c>
      <c r="H87" s="21" t="s">
        <v>23</v>
      </c>
      <c r="I87" s="21" t="s">
        <v>30</v>
      </c>
      <c r="J87" s="17" t="s">
        <v>25</v>
      </c>
      <c r="K87" s="17" t="s">
        <v>26</v>
      </c>
      <c r="L87" s="17" t="s">
        <v>32</v>
      </c>
      <c r="M87" s="19" t="s">
        <v>28</v>
      </c>
      <c r="N87" s="22"/>
      <c r="O87" s="22" t="s">
        <v>186</v>
      </c>
      <c r="P87" s="20"/>
      <c r="Q87" s="31">
        <f t="shared" si="5"/>
        <v>1</v>
      </c>
      <c r="R87" s="32" t="str">
        <f t="shared" si="6"/>
        <v>P00.086</v>
      </c>
    </row>
    <row r="88" spans="1:18">
      <c r="A88" s="18"/>
      <c r="B88" s="18"/>
      <c r="C88" s="18"/>
      <c r="D88" s="17">
        <f t="shared" si="7"/>
        <v>87</v>
      </c>
      <c r="E88" s="19" t="s">
        <v>29</v>
      </c>
      <c r="F88" s="20"/>
      <c r="G88" s="21" t="s">
        <v>23</v>
      </c>
      <c r="H88" s="21" t="s">
        <v>23</v>
      </c>
      <c r="I88" s="21" t="s">
        <v>30</v>
      </c>
      <c r="J88" s="17" t="s">
        <v>25</v>
      </c>
      <c r="K88" s="17" t="s">
        <v>26</v>
      </c>
      <c r="L88" s="17" t="s">
        <v>32</v>
      </c>
      <c r="M88" s="19" t="s">
        <v>28</v>
      </c>
      <c r="N88" s="22"/>
      <c r="O88" s="20"/>
      <c r="P88" s="20"/>
      <c r="Q88" s="31">
        <f t="shared" si="5"/>
        <v>1</v>
      </c>
      <c r="R88" s="32" t="str">
        <f t="shared" si="6"/>
        <v>P00.087</v>
      </c>
    </row>
    <row r="89" spans="1:18">
      <c r="A89" s="18"/>
      <c r="B89" s="18"/>
      <c r="C89" s="18"/>
      <c r="D89" s="17">
        <f t="shared" si="7"/>
        <v>88</v>
      </c>
      <c r="E89" s="19" t="s">
        <v>29</v>
      </c>
      <c r="F89" s="22" t="s">
        <v>187</v>
      </c>
      <c r="G89" s="21" t="s">
        <v>43</v>
      </c>
      <c r="H89" s="21" t="s">
        <v>40</v>
      </c>
      <c r="I89" s="21" t="s">
        <v>89</v>
      </c>
      <c r="J89" s="17" t="s">
        <v>173</v>
      </c>
      <c r="K89" s="17" t="s">
        <v>158</v>
      </c>
      <c r="L89" s="17" t="s">
        <v>27</v>
      </c>
      <c r="M89" s="19" t="s">
        <v>28</v>
      </c>
      <c r="N89" s="22"/>
      <c r="O89" s="22" t="s">
        <v>188</v>
      </c>
      <c r="P89" s="20"/>
      <c r="Q89" s="31">
        <f t="shared" si="5"/>
        <v>1</v>
      </c>
      <c r="R89" s="32" t="str">
        <f t="shared" si="6"/>
        <v>P00.088</v>
      </c>
    </row>
    <row r="90" spans="1:18">
      <c r="A90" s="18"/>
      <c r="B90" s="18"/>
      <c r="C90" s="18"/>
      <c r="D90" s="17">
        <f t="shared" si="7"/>
        <v>89</v>
      </c>
      <c r="E90" s="19" t="s">
        <v>29</v>
      </c>
      <c r="F90" s="22" t="s">
        <v>189</v>
      </c>
      <c r="G90" s="21" t="s">
        <v>23</v>
      </c>
      <c r="H90" s="21" t="s">
        <v>23</v>
      </c>
      <c r="I90" s="21" t="s">
        <v>30</v>
      </c>
      <c r="J90" s="17" t="s">
        <v>25</v>
      </c>
      <c r="K90" s="17" t="s">
        <v>26</v>
      </c>
      <c r="L90" s="17" t="s">
        <v>32</v>
      </c>
      <c r="M90" s="19" t="s">
        <v>28</v>
      </c>
      <c r="N90" s="22"/>
      <c r="O90" s="22" t="s">
        <v>190</v>
      </c>
      <c r="P90" s="20"/>
      <c r="Q90" s="31">
        <f t="shared" si="5"/>
        <v>1</v>
      </c>
      <c r="R90" s="32" t="str">
        <f t="shared" si="6"/>
        <v>P00.089</v>
      </c>
    </row>
    <row r="91" spans="1:18">
      <c r="A91" s="18"/>
      <c r="B91" s="18"/>
      <c r="C91" s="18"/>
      <c r="D91" s="17">
        <f t="shared" si="7"/>
        <v>90</v>
      </c>
      <c r="E91" s="19" t="s">
        <v>29</v>
      </c>
      <c r="F91" s="22" t="s">
        <v>191</v>
      </c>
      <c r="G91" s="21" t="s">
        <v>23</v>
      </c>
      <c r="H91" s="21" t="s">
        <v>23</v>
      </c>
      <c r="I91" s="21" t="s">
        <v>30</v>
      </c>
      <c r="J91" s="17" t="s">
        <v>25</v>
      </c>
      <c r="K91" s="17" t="s">
        <v>26</v>
      </c>
      <c r="L91" s="17" t="s">
        <v>32</v>
      </c>
      <c r="M91" s="19" t="s">
        <v>28</v>
      </c>
      <c r="N91" s="22"/>
      <c r="O91" s="22" t="s">
        <v>192</v>
      </c>
      <c r="P91" s="20"/>
      <c r="Q91" s="31">
        <f t="shared" si="5"/>
        <v>1</v>
      </c>
      <c r="R91" s="32" t="str">
        <f t="shared" si="6"/>
        <v>P00.090</v>
      </c>
    </row>
    <row r="92" spans="1:18">
      <c r="A92" s="18"/>
      <c r="B92" s="18"/>
      <c r="C92" s="18"/>
      <c r="D92" s="17">
        <f t="shared" si="7"/>
        <v>91</v>
      </c>
      <c r="E92" s="19" t="s">
        <v>29</v>
      </c>
      <c r="F92" s="22" t="s">
        <v>193</v>
      </c>
      <c r="G92" s="21" t="s">
        <v>23</v>
      </c>
      <c r="H92" s="21" t="s">
        <v>23</v>
      </c>
      <c r="I92" s="21" t="s">
        <v>30</v>
      </c>
      <c r="J92" s="17" t="s">
        <v>25</v>
      </c>
      <c r="K92" s="17" t="s">
        <v>26</v>
      </c>
      <c r="L92" s="17" t="s">
        <v>32</v>
      </c>
      <c r="M92" s="19" t="s">
        <v>28</v>
      </c>
      <c r="N92" s="22"/>
      <c r="O92" s="22" t="s">
        <v>194</v>
      </c>
      <c r="P92" s="20"/>
      <c r="Q92" s="31">
        <f t="shared" si="5"/>
        <v>1</v>
      </c>
      <c r="R92" s="32" t="str">
        <f t="shared" si="6"/>
        <v>P00.091</v>
      </c>
    </row>
    <row r="93" spans="1:18">
      <c r="A93" s="18"/>
      <c r="B93" s="18"/>
      <c r="C93" s="18"/>
      <c r="D93" s="17">
        <f t="shared" si="7"/>
        <v>92</v>
      </c>
      <c r="E93" s="19" t="s">
        <v>29</v>
      </c>
      <c r="F93" s="22" t="s">
        <v>195</v>
      </c>
      <c r="G93" s="21" t="s">
        <v>23</v>
      </c>
      <c r="H93" s="21" t="s">
        <v>23</v>
      </c>
      <c r="I93" s="21" t="s">
        <v>30</v>
      </c>
      <c r="J93" s="17" t="s">
        <v>25</v>
      </c>
      <c r="K93" s="17" t="s">
        <v>26</v>
      </c>
      <c r="L93" s="17" t="s">
        <v>32</v>
      </c>
      <c r="M93" s="19" t="s">
        <v>28</v>
      </c>
      <c r="N93" s="22"/>
      <c r="O93" s="22" t="s">
        <v>196</v>
      </c>
      <c r="P93" s="20"/>
      <c r="Q93" s="31">
        <f t="shared" si="5"/>
        <v>1</v>
      </c>
      <c r="R93" s="32" t="str">
        <f t="shared" si="6"/>
        <v>P00.092</v>
      </c>
    </row>
    <row r="94" spans="1:18">
      <c r="A94" s="18"/>
      <c r="B94" s="18"/>
      <c r="C94" s="18"/>
      <c r="D94" s="17">
        <f t="shared" si="7"/>
        <v>93</v>
      </c>
      <c r="E94" s="19" t="s">
        <v>29</v>
      </c>
      <c r="F94" s="22" t="s">
        <v>197</v>
      </c>
      <c r="G94" s="21" t="s">
        <v>23</v>
      </c>
      <c r="H94" s="21" t="s">
        <v>23</v>
      </c>
      <c r="I94" s="21" t="s">
        <v>30</v>
      </c>
      <c r="J94" s="17" t="s">
        <v>25</v>
      </c>
      <c r="K94" s="17" t="s">
        <v>26</v>
      </c>
      <c r="L94" s="17" t="s">
        <v>32</v>
      </c>
      <c r="M94" s="19" t="s">
        <v>28</v>
      </c>
      <c r="N94" s="17"/>
      <c r="O94" s="20"/>
      <c r="P94" s="20"/>
      <c r="Q94" s="31">
        <f t="shared" si="5"/>
        <v>1</v>
      </c>
      <c r="R94" s="32" t="str">
        <f t="shared" si="6"/>
        <v>P00.093</v>
      </c>
    </row>
    <row r="95" spans="1:18">
      <c r="A95" s="18"/>
      <c r="B95" s="18"/>
      <c r="C95" s="18"/>
      <c r="D95" s="17">
        <f t="shared" si="7"/>
        <v>94</v>
      </c>
      <c r="E95" s="19" t="s">
        <v>29</v>
      </c>
      <c r="F95" s="20"/>
      <c r="G95" s="21" t="s">
        <v>23</v>
      </c>
      <c r="H95" s="21" t="s">
        <v>23</v>
      </c>
      <c r="I95" s="21" t="s">
        <v>30</v>
      </c>
      <c r="J95" s="17" t="s">
        <v>25</v>
      </c>
      <c r="K95" s="17" t="s">
        <v>26</v>
      </c>
      <c r="L95" s="17" t="s">
        <v>32</v>
      </c>
      <c r="M95" s="19" t="s">
        <v>28</v>
      </c>
      <c r="N95" s="17"/>
      <c r="O95" s="20"/>
      <c r="P95" s="20"/>
      <c r="Q95" s="31">
        <f t="shared" si="5"/>
        <v>1</v>
      </c>
      <c r="R95" s="32" t="str">
        <f t="shared" si="6"/>
        <v>P00.094</v>
      </c>
    </row>
    <row r="96" spans="1:18">
      <c r="A96" s="18"/>
      <c r="B96" s="18"/>
      <c r="C96" s="18"/>
      <c r="D96" s="17">
        <f t="shared" si="7"/>
        <v>95</v>
      </c>
      <c r="E96" s="19" t="s">
        <v>29</v>
      </c>
      <c r="F96" s="20"/>
      <c r="G96" s="21" t="s">
        <v>23</v>
      </c>
      <c r="H96" s="21" t="s">
        <v>23</v>
      </c>
      <c r="I96" s="21" t="s">
        <v>30</v>
      </c>
      <c r="J96" s="17" t="s">
        <v>25</v>
      </c>
      <c r="K96" s="17" t="s">
        <v>26</v>
      </c>
      <c r="L96" s="17" t="s">
        <v>32</v>
      </c>
      <c r="M96" s="19" t="s">
        <v>28</v>
      </c>
      <c r="N96" s="17"/>
      <c r="O96" s="20"/>
      <c r="P96" s="20"/>
      <c r="Q96" s="31">
        <f t="shared" si="5"/>
        <v>1</v>
      </c>
      <c r="R96" s="32" t="str">
        <f t="shared" si="6"/>
        <v>P00.095</v>
      </c>
    </row>
    <row r="97" ht="79.2" spans="1:18">
      <c r="A97" s="18"/>
      <c r="B97" s="18"/>
      <c r="C97" s="18"/>
      <c r="D97" s="17">
        <f t="shared" si="7"/>
        <v>96</v>
      </c>
      <c r="E97" s="19" t="s">
        <v>29</v>
      </c>
      <c r="F97" s="20" t="s">
        <v>198</v>
      </c>
      <c r="G97" s="21" t="s">
        <v>23</v>
      </c>
      <c r="H97" s="21" t="s">
        <v>23</v>
      </c>
      <c r="I97" s="21" t="s">
        <v>199</v>
      </c>
      <c r="J97" s="17" t="s">
        <v>25</v>
      </c>
      <c r="K97" s="17" t="s">
        <v>158</v>
      </c>
      <c r="L97" s="17" t="s">
        <v>27</v>
      </c>
      <c r="M97" s="19" t="s">
        <v>28</v>
      </c>
      <c r="N97" s="17"/>
      <c r="O97" s="20" t="s">
        <v>200</v>
      </c>
      <c r="P97" s="45" t="s">
        <v>201</v>
      </c>
      <c r="Q97" s="31">
        <f t="shared" si="5"/>
        <v>1</v>
      </c>
      <c r="R97" s="32" t="str">
        <f t="shared" si="6"/>
        <v>P00.096</v>
      </c>
    </row>
    <row r="98" spans="1:18">
      <c r="A98" s="18"/>
      <c r="B98" s="18"/>
      <c r="C98" s="18"/>
      <c r="D98" s="17">
        <f t="shared" si="7"/>
        <v>97</v>
      </c>
      <c r="E98" s="19" t="s">
        <v>29</v>
      </c>
      <c r="F98" s="20" t="s">
        <v>202</v>
      </c>
      <c r="G98" s="21" t="s">
        <v>23</v>
      </c>
      <c r="H98" s="21" t="s">
        <v>23</v>
      </c>
      <c r="I98" s="21" t="s">
        <v>30</v>
      </c>
      <c r="J98" s="17" t="s">
        <v>25</v>
      </c>
      <c r="K98" s="17" t="s">
        <v>26</v>
      </c>
      <c r="L98" s="17" t="s">
        <v>32</v>
      </c>
      <c r="M98" s="19" t="s">
        <v>28</v>
      </c>
      <c r="N98" s="17"/>
      <c r="O98" s="20" t="s">
        <v>203</v>
      </c>
      <c r="P98" s="20"/>
      <c r="Q98" s="31">
        <f t="shared" si="5"/>
        <v>1</v>
      </c>
      <c r="R98" s="32" t="str">
        <f t="shared" si="6"/>
        <v>P00.097</v>
      </c>
    </row>
    <row r="99" spans="1:18">
      <c r="A99" s="18"/>
      <c r="B99" s="18"/>
      <c r="C99" s="18"/>
      <c r="D99" s="17">
        <f t="shared" si="7"/>
        <v>98</v>
      </c>
      <c r="E99" s="19" t="s">
        <v>29</v>
      </c>
      <c r="F99" s="20"/>
      <c r="G99" s="21" t="s">
        <v>23</v>
      </c>
      <c r="H99" s="21" t="s">
        <v>23</v>
      </c>
      <c r="I99" s="21" t="s">
        <v>30</v>
      </c>
      <c r="J99" s="17" t="s">
        <v>25</v>
      </c>
      <c r="K99" s="17" t="s">
        <v>26</v>
      </c>
      <c r="L99" s="17" t="s">
        <v>32</v>
      </c>
      <c r="M99" s="19" t="s">
        <v>28</v>
      </c>
      <c r="N99" s="17"/>
      <c r="O99" s="20"/>
      <c r="P99" s="20"/>
      <c r="Q99" s="31">
        <f t="shared" si="5"/>
        <v>1</v>
      </c>
      <c r="R99" s="32" t="str">
        <f t="shared" si="6"/>
        <v>P00.098</v>
      </c>
    </row>
    <row r="100" spans="1:18">
      <c r="A100" s="18"/>
      <c r="B100" s="18"/>
      <c r="C100" s="18"/>
      <c r="D100" s="17">
        <f t="shared" si="7"/>
        <v>99</v>
      </c>
      <c r="E100" s="19" t="s">
        <v>29</v>
      </c>
      <c r="F100" s="20"/>
      <c r="G100" s="21" t="s">
        <v>23</v>
      </c>
      <c r="H100" s="21" t="s">
        <v>23</v>
      </c>
      <c r="I100" s="21" t="s">
        <v>30</v>
      </c>
      <c r="J100" s="17" t="s">
        <v>25</v>
      </c>
      <c r="K100" s="17" t="s">
        <v>26</v>
      </c>
      <c r="L100" s="17" t="s">
        <v>32</v>
      </c>
      <c r="M100" s="19" t="s">
        <v>28</v>
      </c>
      <c r="N100" s="17"/>
      <c r="O100" s="20"/>
      <c r="P100" s="20"/>
      <c r="Q100" s="31">
        <f t="shared" si="5"/>
        <v>1</v>
      </c>
      <c r="R100" s="32" t="str">
        <f t="shared" si="6"/>
        <v>P00.099</v>
      </c>
    </row>
    <row r="101" spans="1:18">
      <c r="A101" s="18"/>
      <c r="B101" s="18"/>
      <c r="C101" s="18"/>
      <c r="D101" s="17">
        <f t="shared" si="7"/>
        <v>100</v>
      </c>
      <c r="E101" s="19" t="s">
        <v>29</v>
      </c>
      <c r="F101" s="20"/>
      <c r="G101" s="21" t="s">
        <v>23</v>
      </c>
      <c r="H101" s="21" t="s">
        <v>23</v>
      </c>
      <c r="I101" s="21" t="s">
        <v>30</v>
      </c>
      <c r="J101" s="17" t="s">
        <v>25</v>
      </c>
      <c r="K101" s="17" t="s">
        <v>26</v>
      </c>
      <c r="L101" s="17" t="s">
        <v>32</v>
      </c>
      <c r="M101" s="19" t="s">
        <v>28</v>
      </c>
      <c r="N101" s="17"/>
      <c r="O101" s="20"/>
      <c r="P101" s="20"/>
      <c r="Q101" s="31">
        <f t="shared" si="5"/>
        <v>1</v>
      </c>
      <c r="R101" s="32" t="str">
        <f t="shared" si="6"/>
        <v>P00.100</v>
      </c>
    </row>
    <row r="102" spans="1:18">
      <c r="A102" s="18"/>
      <c r="B102" s="18"/>
      <c r="C102" s="18"/>
      <c r="D102" s="17">
        <f t="shared" si="7"/>
        <v>101</v>
      </c>
      <c r="E102" s="19" t="s">
        <v>29</v>
      </c>
      <c r="F102" s="20"/>
      <c r="G102" s="21" t="s">
        <v>23</v>
      </c>
      <c r="H102" s="21" t="s">
        <v>23</v>
      </c>
      <c r="I102" s="21" t="s">
        <v>30</v>
      </c>
      <c r="J102" s="17" t="s">
        <v>25</v>
      </c>
      <c r="K102" s="17" t="s">
        <v>26</v>
      </c>
      <c r="L102" s="17" t="s">
        <v>32</v>
      </c>
      <c r="M102" s="19" t="s">
        <v>28</v>
      </c>
      <c r="N102" s="17"/>
      <c r="O102" s="20"/>
      <c r="P102" s="20"/>
      <c r="Q102" s="31">
        <f t="shared" si="5"/>
        <v>1</v>
      </c>
      <c r="R102" s="32" t="str">
        <f t="shared" si="6"/>
        <v>P00.101</v>
      </c>
    </row>
    <row r="103" spans="1:18">
      <c r="A103" s="18"/>
      <c r="B103" s="18"/>
      <c r="C103" s="18"/>
      <c r="D103" s="17">
        <f t="shared" si="7"/>
        <v>102</v>
      </c>
      <c r="E103" s="19" t="s">
        <v>29</v>
      </c>
      <c r="F103" s="20"/>
      <c r="G103" s="21" t="s">
        <v>23</v>
      </c>
      <c r="H103" s="21" t="s">
        <v>23</v>
      </c>
      <c r="I103" s="21" t="s">
        <v>30</v>
      </c>
      <c r="J103" s="17" t="s">
        <v>25</v>
      </c>
      <c r="K103" s="17" t="s">
        <v>26</v>
      </c>
      <c r="L103" s="17" t="s">
        <v>32</v>
      </c>
      <c r="M103" s="19" t="s">
        <v>28</v>
      </c>
      <c r="N103" s="17"/>
      <c r="O103" s="20"/>
      <c r="P103" s="20"/>
      <c r="Q103" s="31">
        <f t="shared" si="5"/>
        <v>1</v>
      </c>
      <c r="R103" s="32" t="str">
        <f t="shared" si="6"/>
        <v>P00.102</v>
      </c>
    </row>
    <row r="104" spans="1:18">
      <c r="A104" s="18"/>
      <c r="B104" s="18"/>
      <c r="C104" s="18"/>
      <c r="D104" s="17">
        <f t="shared" si="7"/>
        <v>103</v>
      </c>
      <c r="E104" s="19" t="s">
        <v>29</v>
      </c>
      <c r="F104" s="20"/>
      <c r="G104" s="21" t="s">
        <v>23</v>
      </c>
      <c r="H104" s="21" t="s">
        <v>23</v>
      </c>
      <c r="I104" s="21" t="s">
        <v>30</v>
      </c>
      <c r="J104" s="17" t="s">
        <v>25</v>
      </c>
      <c r="K104" s="17" t="s">
        <v>26</v>
      </c>
      <c r="L104" s="17" t="s">
        <v>32</v>
      </c>
      <c r="M104" s="19" t="s">
        <v>28</v>
      </c>
      <c r="N104" s="17"/>
      <c r="O104" s="20"/>
      <c r="P104" s="20"/>
      <c r="Q104" s="31">
        <f t="shared" si="5"/>
        <v>1</v>
      </c>
      <c r="R104" s="32" t="str">
        <f t="shared" si="6"/>
        <v>P00.103</v>
      </c>
    </row>
    <row r="105" spans="1:18">
      <c r="A105" s="18"/>
      <c r="B105" s="18"/>
      <c r="C105" s="18"/>
      <c r="D105" s="17">
        <f t="shared" si="7"/>
        <v>104</v>
      </c>
      <c r="E105" s="19" t="s">
        <v>29</v>
      </c>
      <c r="F105" s="20"/>
      <c r="G105" s="21" t="s">
        <v>23</v>
      </c>
      <c r="H105" s="21" t="s">
        <v>23</v>
      </c>
      <c r="I105" s="21" t="s">
        <v>30</v>
      </c>
      <c r="J105" s="17" t="s">
        <v>25</v>
      </c>
      <c r="K105" s="17" t="s">
        <v>26</v>
      </c>
      <c r="L105" s="17" t="s">
        <v>32</v>
      </c>
      <c r="M105" s="19" t="s">
        <v>28</v>
      </c>
      <c r="N105" s="17"/>
      <c r="O105" s="20"/>
      <c r="P105" s="20"/>
      <c r="Q105" s="31">
        <f t="shared" si="5"/>
        <v>1</v>
      </c>
      <c r="R105" s="32" t="str">
        <f t="shared" si="6"/>
        <v>P00.104</v>
      </c>
    </row>
    <row r="106" spans="1:18">
      <c r="A106" s="18"/>
      <c r="B106" s="18"/>
      <c r="C106" s="18"/>
      <c r="D106" s="17">
        <f t="shared" si="7"/>
        <v>105</v>
      </c>
      <c r="E106" s="19" t="s">
        <v>29</v>
      </c>
      <c r="F106" s="20"/>
      <c r="G106" s="21" t="s">
        <v>23</v>
      </c>
      <c r="H106" s="21" t="s">
        <v>23</v>
      </c>
      <c r="I106" s="21" t="s">
        <v>30</v>
      </c>
      <c r="J106" s="17" t="s">
        <v>25</v>
      </c>
      <c r="K106" s="17" t="s">
        <v>26</v>
      </c>
      <c r="L106" s="17" t="s">
        <v>32</v>
      </c>
      <c r="M106" s="19" t="s">
        <v>28</v>
      </c>
      <c r="N106" s="17"/>
      <c r="O106" s="20"/>
      <c r="P106" s="20"/>
      <c r="Q106" s="31">
        <f t="shared" si="5"/>
        <v>1</v>
      </c>
      <c r="R106" s="32" t="str">
        <f t="shared" si="6"/>
        <v>P00.105</v>
      </c>
    </row>
    <row r="107" spans="1:18">
      <c r="A107" s="18"/>
      <c r="B107" s="18"/>
      <c r="C107" s="18"/>
      <c r="D107" s="17">
        <f t="shared" si="7"/>
        <v>106</v>
      </c>
      <c r="E107" s="19" t="s">
        <v>29</v>
      </c>
      <c r="F107" s="20"/>
      <c r="G107" s="21" t="s">
        <v>23</v>
      </c>
      <c r="H107" s="21" t="s">
        <v>23</v>
      </c>
      <c r="I107" s="21" t="s">
        <v>30</v>
      </c>
      <c r="J107" s="17" t="s">
        <v>25</v>
      </c>
      <c r="K107" s="17" t="s">
        <v>26</v>
      </c>
      <c r="L107" s="17" t="s">
        <v>32</v>
      </c>
      <c r="M107" s="19" t="s">
        <v>28</v>
      </c>
      <c r="N107" s="17"/>
      <c r="O107" s="20"/>
      <c r="P107" s="20"/>
      <c r="Q107" s="31">
        <f t="shared" si="5"/>
        <v>1</v>
      </c>
      <c r="R107" s="32" t="str">
        <f t="shared" si="6"/>
        <v>P00.106</v>
      </c>
    </row>
    <row r="108" spans="1:18">
      <c r="A108" s="18"/>
      <c r="B108" s="18"/>
      <c r="C108" s="18"/>
      <c r="D108" s="17">
        <f t="shared" si="7"/>
        <v>107</v>
      </c>
      <c r="E108" s="19" t="s">
        <v>29</v>
      </c>
      <c r="F108" s="22" t="s">
        <v>204</v>
      </c>
      <c r="G108" s="21" t="s">
        <v>40</v>
      </c>
      <c r="H108" s="21" t="s">
        <v>40</v>
      </c>
      <c r="I108" s="21" t="s">
        <v>205</v>
      </c>
      <c r="J108" s="17" t="s">
        <v>25</v>
      </c>
      <c r="K108" s="17" t="s">
        <v>63</v>
      </c>
      <c r="L108" s="17" t="s">
        <v>206</v>
      </c>
      <c r="M108" s="19" t="s">
        <v>28</v>
      </c>
      <c r="N108" s="17"/>
      <c r="O108" s="24" t="s">
        <v>207</v>
      </c>
      <c r="P108" s="20"/>
      <c r="Q108" s="31">
        <f t="shared" si="5"/>
        <v>1</v>
      </c>
      <c r="R108" s="32" t="str">
        <f t="shared" si="6"/>
        <v>P00.107</v>
      </c>
    </row>
    <row r="109" spans="1:18">
      <c r="A109" s="18"/>
      <c r="B109" s="18"/>
      <c r="C109" s="18"/>
      <c r="D109" s="17">
        <f t="shared" si="7"/>
        <v>108</v>
      </c>
      <c r="E109" s="19" t="s">
        <v>29</v>
      </c>
      <c r="F109" s="22" t="s">
        <v>208</v>
      </c>
      <c r="G109" s="21" t="s">
        <v>40</v>
      </c>
      <c r="H109" s="21" t="s">
        <v>40</v>
      </c>
      <c r="I109" s="21" t="s">
        <v>89</v>
      </c>
      <c r="J109" s="17" t="s">
        <v>25</v>
      </c>
      <c r="K109" s="17" t="s">
        <v>63</v>
      </c>
      <c r="L109" s="17" t="s">
        <v>206</v>
      </c>
      <c r="M109" s="19" t="s">
        <v>28</v>
      </c>
      <c r="N109" s="17"/>
      <c r="O109" s="24" t="s">
        <v>209</v>
      </c>
      <c r="P109" s="20"/>
      <c r="Q109" s="31">
        <f t="shared" si="5"/>
        <v>1</v>
      </c>
      <c r="R109" s="32" t="str">
        <f t="shared" si="6"/>
        <v>P00.108</v>
      </c>
    </row>
    <row r="110" ht="409.5" spans="1:18">
      <c r="A110" s="18"/>
      <c r="B110" s="18"/>
      <c r="C110" s="18"/>
      <c r="D110" s="17">
        <f>INDEX(D:D,ROW()-1)+_xlfn.IFS(INDEX(E:E,ROW()-1)="u16",1,INDEX(E:E,ROW()-1)="s16",1,INDEX(E:E,ROW()-1)="s32",2,INDEX(E:E,ROW()-1)="s64",4,INDEX(E:E,ROW()-1)="u16",1,INDEX(E:E,ROW()-1)="u32",2,INDEX(E:E,ROW()-1)="u64",4,INDEX(E:E,ROW()-1)="f32",2,INDEX(E:E,ROW()-1)="f64",4)</f>
        <v>109</v>
      </c>
      <c r="E110" s="19" t="s">
        <v>29</v>
      </c>
      <c r="F110" s="22" t="s">
        <v>210</v>
      </c>
      <c r="G110" s="21" t="s">
        <v>23</v>
      </c>
      <c r="H110" s="21" t="s">
        <v>23</v>
      </c>
      <c r="I110" s="21" t="s">
        <v>30</v>
      </c>
      <c r="J110" s="17" t="s">
        <v>25</v>
      </c>
      <c r="K110" s="46" t="s">
        <v>63</v>
      </c>
      <c r="L110" s="17" t="s">
        <v>206</v>
      </c>
      <c r="M110" s="19" t="s">
        <v>28</v>
      </c>
      <c r="N110" s="17"/>
      <c r="O110" s="43" t="s">
        <v>211</v>
      </c>
      <c r="P110" s="45" t="s">
        <v>212</v>
      </c>
      <c r="Q110" s="31">
        <f t="shared" si="5"/>
        <v>1</v>
      </c>
      <c r="R110" s="32" t="str">
        <f t="shared" si="6"/>
        <v>P00.109</v>
      </c>
    </row>
    <row r="111" spans="1:18">
      <c r="A111" s="18"/>
      <c r="B111" s="18"/>
      <c r="C111" s="18"/>
      <c r="D111" s="17">
        <f>INDEX(D:D,ROW()-1)+_xlfn.IFS(INDEX(E:E,ROW()-1)="u16",1,INDEX(E:E,ROW()-1)="s16",1,INDEX(E:E,ROW()-1)="s32",2,INDEX(E:E,ROW()-1)="s64",4,INDEX(E:E,ROW()-1)="u16",1,INDEX(E:E,ROW()-1)="u32",2,INDEX(E:E,ROW()-1)="u64",4,INDEX(E:E,ROW()-1)="f32",2,INDEX(E:E,ROW()-1)="f64",4)</f>
        <v>110</v>
      </c>
      <c r="E111" s="19" t="s">
        <v>29</v>
      </c>
      <c r="F111" s="22" t="s">
        <v>213</v>
      </c>
      <c r="G111" s="21" t="s">
        <v>23</v>
      </c>
      <c r="H111" s="21" t="s">
        <v>23</v>
      </c>
      <c r="I111" s="21" t="s">
        <v>30</v>
      </c>
      <c r="J111" s="17" t="s">
        <v>25</v>
      </c>
      <c r="K111" s="17" t="s">
        <v>63</v>
      </c>
      <c r="L111" s="17" t="s">
        <v>206</v>
      </c>
      <c r="M111" s="19" t="s">
        <v>28</v>
      </c>
      <c r="N111" s="17"/>
      <c r="O111" s="45" t="s">
        <v>214</v>
      </c>
      <c r="P111" s="45"/>
      <c r="Q111" s="31">
        <f t="shared" si="5"/>
        <v>1</v>
      </c>
      <c r="R111" s="32" t="str">
        <f t="shared" si="6"/>
        <v>P00.110</v>
      </c>
    </row>
    <row r="112" spans="1:18">
      <c r="A112" s="18"/>
      <c r="B112" s="18"/>
      <c r="C112" s="18"/>
      <c r="D112" s="17">
        <f>INDEX(D:D,ROW()-1)+_xlfn.IFS(INDEX(E:E,ROW()-1)="u16",1,INDEX(E:E,ROW()-1)="s16",1,INDEX(E:E,ROW()-1)="s32",2,INDEX(E:E,ROW()-1)="s64",4,INDEX(E:E,ROW()-1)="u16",1,INDEX(E:E,ROW()-1)="u32",2,INDEX(E:E,ROW()-1)="u64",4,INDEX(E:E,ROW()-1)="f32",2,INDEX(E:E,ROW()-1)="f64",4)</f>
        <v>111</v>
      </c>
      <c r="E112" s="19" t="s">
        <v>29</v>
      </c>
      <c r="F112" s="22" t="s">
        <v>215</v>
      </c>
      <c r="G112" s="21" t="s">
        <v>23</v>
      </c>
      <c r="H112" s="21" t="s">
        <v>23</v>
      </c>
      <c r="I112" s="21" t="s">
        <v>30</v>
      </c>
      <c r="J112" s="17" t="s">
        <v>25</v>
      </c>
      <c r="K112" s="17" t="s">
        <v>63</v>
      </c>
      <c r="L112" s="17" t="s">
        <v>206</v>
      </c>
      <c r="M112" s="19" t="s">
        <v>28</v>
      </c>
      <c r="N112" s="17"/>
      <c r="O112" s="45" t="s">
        <v>216</v>
      </c>
      <c r="P112" s="45"/>
      <c r="Q112" s="31">
        <f t="shared" si="5"/>
        <v>1</v>
      </c>
      <c r="R112" s="32" t="str">
        <f t="shared" si="6"/>
        <v>P00.111</v>
      </c>
    </row>
    <row r="113" spans="1:18">
      <c r="A113" s="18"/>
      <c r="B113" s="18"/>
      <c r="C113" s="18"/>
      <c r="D113" s="17">
        <f>INDEX(D:D,ROW()-1)+_xlfn.IFS(INDEX(E:E,ROW()-1)="u16",1,INDEX(E:E,ROW()-1)="s16",1,INDEX(E:E,ROW()-1)="s32",2,INDEX(E:E,ROW()-1)="s64",4,INDEX(E:E,ROW()-1)="u16",1,INDEX(E:E,ROW()-1)="u32",2,INDEX(E:E,ROW()-1)="u64",4,INDEX(E:E,ROW()-1)="f32",2,INDEX(E:E,ROW()-1)="f64",4)</f>
        <v>112</v>
      </c>
      <c r="E113" s="19" t="s">
        <v>29</v>
      </c>
      <c r="F113" s="22" t="s">
        <v>217</v>
      </c>
      <c r="G113" s="21" t="s">
        <v>23</v>
      </c>
      <c r="H113" s="21" t="s">
        <v>23</v>
      </c>
      <c r="I113" s="21" t="s">
        <v>30</v>
      </c>
      <c r="J113" s="17" t="s">
        <v>25</v>
      </c>
      <c r="K113" s="17" t="s">
        <v>63</v>
      </c>
      <c r="L113" s="17" t="s">
        <v>206</v>
      </c>
      <c r="M113" s="19" t="s">
        <v>28</v>
      </c>
      <c r="N113" s="17"/>
      <c r="O113" s="45" t="s">
        <v>218</v>
      </c>
      <c r="P113" s="45"/>
      <c r="Q113" s="31">
        <f t="shared" si="5"/>
        <v>1</v>
      </c>
      <c r="R113" s="32" t="str">
        <f t="shared" si="6"/>
        <v>P00.112</v>
      </c>
    </row>
    <row r="114" spans="1:18">
      <c r="A114" s="18"/>
      <c r="B114" s="18"/>
      <c r="C114" s="18"/>
      <c r="D114" s="17">
        <f>INDEX(D:D,ROW()-1)+_xlfn.IFS(INDEX(E:E,ROW()-1)="u16",1,INDEX(E:E,ROW()-1)="s16",1,INDEX(E:E,ROW()-1)="s32",2,INDEX(E:E,ROW()-1)="s64",4,INDEX(E:E,ROW()-1)="u16",1,INDEX(E:E,ROW()-1)="u32",2,INDEX(E:E,ROW()-1)="u64",4,INDEX(E:E,ROW()-1)="f32",2,INDEX(E:E,ROW()-1)="f64",4)</f>
        <v>113</v>
      </c>
      <c r="E114" s="19" t="s">
        <v>29</v>
      </c>
      <c r="F114" s="22" t="s">
        <v>219</v>
      </c>
      <c r="G114" s="21" t="s">
        <v>23</v>
      </c>
      <c r="H114" s="21" t="s">
        <v>23</v>
      </c>
      <c r="I114" s="21" t="s">
        <v>30</v>
      </c>
      <c r="J114" s="17" t="s">
        <v>25</v>
      </c>
      <c r="K114" s="17" t="s">
        <v>63</v>
      </c>
      <c r="L114" s="17" t="s">
        <v>206</v>
      </c>
      <c r="M114" s="19" t="s">
        <v>28</v>
      </c>
      <c r="N114" s="17"/>
      <c r="O114" s="45" t="s">
        <v>220</v>
      </c>
      <c r="P114" s="45"/>
      <c r="Q114" s="31">
        <f t="shared" si="5"/>
        <v>1</v>
      </c>
      <c r="R114" s="32" t="str">
        <f t="shared" si="6"/>
        <v>P00.113</v>
      </c>
    </row>
    <row r="115" spans="1:18">
      <c r="A115" s="18"/>
      <c r="B115" s="18"/>
      <c r="C115" s="18"/>
      <c r="D115" s="17">
        <f>INDEX(D:D,ROW()-1)+_xlfn.IFS(INDEX(E:E,ROW()-1)="u16",1,INDEX(E:E,ROW()-1)="s16",1,INDEX(E:E,ROW()-1)="s32",2,INDEX(E:E,ROW()-1)="s64",4,INDEX(E:E,ROW()-1)="u16",1,INDEX(E:E,ROW()-1)="u32",2,INDEX(E:E,ROW()-1)="u64",4,INDEX(E:E,ROW()-1)="f32",2,INDEX(E:E,ROW()-1)="f64",4)</f>
        <v>114</v>
      </c>
      <c r="E115" s="19" t="s">
        <v>29</v>
      </c>
      <c r="F115" s="22" t="s">
        <v>221</v>
      </c>
      <c r="G115" s="21" t="s">
        <v>23</v>
      </c>
      <c r="H115" s="21" t="s">
        <v>23</v>
      </c>
      <c r="I115" s="21" t="s">
        <v>30</v>
      </c>
      <c r="J115" s="17" t="s">
        <v>25</v>
      </c>
      <c r="K115" s="17" t="s">
        <v>63</v>
      </c>
      <c r="L115" s="17" t="s">
        <v>206</v>
      </c>
      <c r="M115" s="19" t="s">
        <v>28</v>
      </c>
      <c r="N115" s="24"/>
      <c r="O115" s="45" t="s">
        <v>222</v>
      </c>
      <c r="P115" s="45"/>
      <c r="Q115" s="31">
        <f t="shared" si="5"/>
        <v>1</v>
      </c>
      <c r="R115" s="32" t="str">
        <f t="shared" si="6"/>
        <v>P00.114</v>
      </c>
    </row>
    <row r="116" spans="1:18">
      <c r="A116" s="18"/>
      <c r="B116" s="18"/>
      <c r="C116" s="18"/>
      <c r="D116" s="17">
        <f>INDEX(D:D,ROW()-1)+_xlfn.IFS(INDEX(E:E,ROW()-1)="u16",1,INDEX(E:E,ROW()-1)="s16",1,INDEX(E:E,ROW()-1)="s32",2,INDEX(E:E,ROW()-1)="s64",4,INDEX(E:E,ROW()-1)="u16",1,INDEX(E:E,ROW()-1)="u32",2,INDEX(E:E,ROW()-1)="u64",4,INDEX(E:E,ROW()-1)="f32",2,INDEX(E:E,ROW()-1)="f64",4)</f>
        <v>115</v>
      </c>
      <c r="E116" s="19" t="s">
        <v>29</v>
      </c>
      <c r="F116" s="22" t="s">
        <v>223</v>
      </c>
      <c r="G116" s="21" t="s">
        <v>23</v>
      </c>
      <c r="H116" s="21" t="s">
        <v>23</v>
      </c>
      <c r="I116" s="21" t="s">
        <v>30</v>
      </c>
      <c r="J116" s="17" t="s">
        <v>25</v>
      </c>
      <c r="K116" s="17" t="s">
        <v>63</v>
      </c>
      <c r="L116" s="17" t="s">
        <v>206</v>
      </c>
      <c r="M116" s="19" t="s">
        <v>28</v>
      </c>
      <c r="N116" s="24"/>
      <c r="O116" s="45" t="s">
        <v>224</v>
      </c>
      <c r="P116" s="45"/>
      <c r="Q116" s="31">
        <f t="shared" si="5"/>
        <v>1</v>
      </c>
      <c r="R116" s="32" t="str">
        <f t="shared" si="6"/>
        <v>P00.115</v>
      </c>
    </row>
    <row r="117" spans="1:18">
      <c r="A117" s="18"/>
      <c r="B117" s="18"/>
      <c r="C117" s="18"/>
      <c r="D117" s="17">
        <f>INDEX(D:D,ROW()-1)+_xlfn.IFS(INDEX(E:E,ROW()-1)="u16",1,INDEX(E:E,ROW()-1)="s16",1,INDEX(E:E,ROW()-1)="s32",2,INDEX(E:E,ROW()-1)="s64",4,INDEX(E:E,ROW()-1)="u16",1,INDEX(E:E,ROW()-1)="u32",2,INDEX(E:E,ROW()-1)="u64",4,INDEX(E:E,ROW()-1)="f32",2,INDEX(E:E,ROW()-1)="f64",4)</f>
        <v>116</v>
      </c>
      <c r="E117" s="19" t="s">
        <v>29</v>
      </c>
      <c r="F117" s="22" t="s">
        <v>225</v>
      </c>
      <c r="G117" s="21" t="s">
        <v>23</v>
      </c>
      <c r="H117" s="21" t="s">
        <v>23</v>
      </c>
      <c r="I117" s="21" t="s">
        <v>30</v>
      </c>
      <c r="J117" s="17" t="s">
        <v>25</v>
      </c>
      <c r="K117" s="17" t="s">
        <v>63</v>
      </c>
      <c r="L117" s="17" t="s">
        <v>206</v>
      </c>
      <c r="M117" s="19" t="s">
        <v>28</v>
      </c>
      <c r="N117" s="24"/>
      <c r="O117" s="45" t="s">
        <v>226</v>
      </c>
      <c r="P117" s="45"/>
      <c r="Q117" s="31">
        <f t="shared" si="5"/>
        <v>1</v>
      </c>
      <c r="R117" s="32" t="str">
        <f t="shared" si="6"/>
        <v>P00.116</v>
      </c>
    </row>
    <row r="118" ht="158.4" spans="1:18">
      <c r="A118" s="18"/>
      <c r="B118" s="18"/>
      <c r="C118" s="18"/>
      <c r="D118" s="17">
        <f>INDEX(D:D,ROW()-1)+_xlfn.IFS(INDEX(E:E,ROW()-1)="u16",1,INDEX(E:E,ROW()-1)="s16",1,INDEX(E:E,ROW()-1)="s32",2,INDEX(E:E,ROW()-1)="s64",4,INDEX(E:E,ROW()-1)="u16",1,INDEX(E:E,ROW()-1)="u32",2,INDEX(E:E,ROW()-1)="u64",4,INDEX(E:E,ROW()-1)="f32",2,INDEX(E:E,ROW()-1)="f64",4)</f>
        <v>117</v>
      </c>
      <c r="E118" s="19" t="s">
        <v>29</v>
      </c>
      <c r="F118" s="20" t="s">
        <v>227</v>
      </c>
      <c r="G118" s="21" t="s">
        <v>23</v>
      </c>
      <c r="H118" s="21" t="s">
        <v>23</v>
      </c>
      <c r="I118" s="21" t="s">
        <v>30</v>
      </c>
      <c r="J118" s="17" t="s">
        <v>25</v>
      </c>
      <c r="K118" s="17" t="s">
        <v>63</v>
      </c>
      <c r="L118" s="17" t="s">
        <v>206</v>
      </c>
      <c r="M118" s="19" t="s">
        <v>28</v>
      </c>
      <c r="N118" s="24"/>
      <c r="O118" s="45" t="s">
        <v>228</v>
      </c>
      <c r="P118" s="45" t="s">
        <v>229</v>
      </c>
      <c r="Q118" s="31">
        <f t="shared" si="5"/>
        <v>1</v>
      </c>
      <c r="R118" s="32" t="str">
        <f t="shared" si="6"/>
        <v>P00.117</v>
      </c>
    </row>
    <row r="119" spans="1:18">
      <c r="A119" s="18"/>
      <c r="B119" s="18"/>
      <c r="C119" s="18"/>
      <c r="D119" s="17">
        <f>INDEX(D:D,ROW()-1)+_xlfn.IFS(INDEX(E:E,ROW()-1)="u16",1,INDEX(E:E,ROW()-1)="s16",1,INDEX(E:E,ROW()-1)="s32",2,INDEX(E:E,ROW()-1)="s64",4,INDEX(E:E,ROW()-1)="u16",1,INDEX(E:E,ROW()-1)="u32",2,INDEX(E:E,ROW()-1)="u64",4,INDEX(E:E,ROW()-1)="f32",2,INDEX(E:E,ROW()-1)="f64",4)</f>
        <v>118</v>
      </c>
      <c r="E119" s="19" t="s">
        <v>29</v>
      </c>
      <c r="F119" s="20" t="s">
        <v>230</v>
      </c>
      <c r="G119" s="21" t="s">
        <v>23</v>
      </c>
      <c r="H119" s="21" t="s">
        <v>23</v>
      </c>
      <c r="I119" s="21" t="s">
        <v>30</v>
      </c>
      <c r="J119" s="17" t="s">
        <v>25</v>
      </c>
      <c r="K119" s="17" t="s">
        <v>63</v>
      </c>
      <c r="L119" s="17" t="s">
        <v>206</v>
      </c>
      <c r="M119" s="19" t="s">
        <v>28</v>
      </c>
      <c r="N119" s="24"/>
      <c r="O119" s="45" t="s">
        <v>231</v>
      </c>
      <c r="P119" s="45"/>
      <c r="Q119" s="31">
        <f t="shared" si="5"/>
        <v>1</v>
      </c>
      <c r="R119" s="32" t="str">
        <f t="shared" si="6"/>
        <v>P00.118</v>
      </c>
    </row>
    <row r="120" spans="1:18">
      <c r="A120" s="18"/>
      <c r="B120" s="18"/>
      <c r="C120" s="18"/>
      <c r="D120" s="17">
        <f>INDEX(D:D,ROW()-1)+_xlfn.IFS(INDEX(E:E,ROW()-1)="u16",1,INDEX(E:E,ROW()-1)="s16",1,INDEX(E:E,ROW()-1)="s32",2,INDEX(E:E,ROW()-1)="s64",4,INDEX(E:E,ROW()-1)="u16",1,INDEX(E:E,ROW()-1)="u32",2,INDEX(E:E,ROW()-1)="u64",4,INDEX(E:E,ROW()-1)="f32",2,INDEX(E:E,ROW()-1)="f64",4)</f>
        <v>119</v>
      </c>
      <c r="E120" s="19" t="s">
        <v>29</v>
      </c>
      <c r="F120" s="20" t="s">
        <v>232</v>
      </c>
      <c r="G120" s="21" t="s">
        <v>23</v>
      </c>
      <c r="H120" s="21" t="s">
        <v>23</v>
      </c>
      <c r="I120" s="21" t="s">
        <v>30</v>
      </c>
      <c r="J120" s="17" t="s">
        <v>25</v>
      </c>
      <c r="K120" s="17" t="s">
        <v>63</v>
      </c>
      <c r="L120" s="17" t="s">
        <v>206</v>
      </c>
      <c r="M120" s="19" t="s">
        <v>28</v>
      </c>
      <c r="N120" s="24"/>
      <c r="O120" s="45" t="s">
        <v>233</v>
      </c>
      <c r="P120" s="45"/>
      <c r="Q120" s="31">
        <f t="shared" si="5"/>
        <v>1</v>
      </c>
      <c r="R120" s="32" t="str">
        <f t="shared" si="6"/>
        <v>P00.119</v>
      </c>
    </row>
    <row r="121" spans="1:18">
      <c r="A121" s="18"/>
      <c r="B121" s="18"/>
      <c r="C121" s="18"/>
      <c r="D121" s="17">
        <f>INDEX(D:D,ROW()-1)+_xlfn.IFS(INDEX(E:E,ROW()-1)="u16",1,INDEX(E:E,ROW()-1)="s16",1,INDEX(E:E,ROW()-1)="s32",2,INDEX(E:E,ROW()-1)="s64",4,INDEX(E:E,ROW()-1)="u16",1,INDEX(E:E,ROW()-1)="u32",2,INDEX(E:E,ROW()-1)="u64",4,INDEX(E:E,ROW()-1)="f32",2,INDEX(E:E,ROW()-1)="f64",4)</f>
        <v>120</v>
      </c>
      <c r="E121" s="19" t="s">
        <v>29</v>
      </c>
      <c r="F121" s="20" t="s">
        <v>234</v>
      </c>
      <c r="G121" s="21" t="s">
        <v>23</v>
      </c>
      <c r="H121" s="21" t="s">
        <v>23</v>
      </c>
      <c r="I121" s="21" t="s">
        <v>30</v>
      </c>
      <c r="J121" s="17" t="s">
        <v>25</v>
      </c>
      <c r="K121" s="17" t="s">
        <v>63</v>
      </c>
      <c r="L121" s="17" t="s">
        <v>206</v>
      </c>
      <c r="M121" s="19" t="s">
        <v>28</v>
      </c>
      <c r="N121" s="24"/>
      <c r="O121" s="45" t="s">
        <v>235</v>
      </c>
      <c r="P121" s="45"/>
      <c r="Q121" s="31">
        <f t="shared" si="5"/>
        <v>1</v>
      </c>
      <c r="R121" s="32" t="str">
        <f t="shared" si="6"/>
        <v>P00.120</v>
      </c>
    </row>
    <row r="122" spans="1:18">
      <c r="A122" s="18"/>
      <c r="B122" s="18"/>
      <c r="C122" s="18"/>
      <c r="D122" s="17">
        <f>INDEX(D:D,ROW()-1)+_xlfn.IFS(INDEX(E:E,ROW()-1)="u16",1,INDEX(E:E,ROW()-1)="s16",1,INDEX(E:E,ROW()-1)="s32",2,INDEX(E:E,ROW()-1)="s64",4,INDEX(E:E,ROW()-1)="u16",1,INDEX(E:E,ROW()-1)="u32",2,INDEX(E:E,ROW()-1)="u64",4,INDEX(E:E,ROW()-1)="f32",2,INDEX(E:E,ROW()-1)="f64",4)</f>
        <v>121</v>
      </c>
      <c r="E122" s="19" t="s">
        <v>236</v>
      </c>
      <c r="F122" s="20" t="s">
        <v>237</v>
      </c>
      <c r="G122" s="21" t="s">
        <v>23</v>
      </c>
      <c r="H122" s="21" t="s">
        <v>23</v>
      </c>
      <c r="I122" s="21" t="s">
        <v>238</v>
      </c>
      <c r="J122" s="17" t="s">
        <v>25</v>
      </c>
      <c r="K122" s="17" t="s">
        <v>63</v>
      </c>
      <c r="L122" s="17" t="s">
        <v>206</v>
      </c>
      <c r="M122" s="19" t="s">
        <v>28</v>
      </c>
      <c r="N122" s="24"/>
      <c r="O122" s="45" t="s">
        <v>239</v>
      </c>
      <c r="P122" s="45"/>
      <c r="Q122" s="31">
        <f t="shared" si="5"/>
        <v>1</v>
      </c>
      <c r="R122" s="32" t="str">
        <f t="shared" si="6"/>
        <v>P00.121</v>
      </c>
    </row>
    <row r="123" spans="1:18">
      <c r="A123" s="18"/>
      <c r="B123" s="18"/>
      <c r="C123" s="18"/>
      <c r="D123" s="17">
        <f>INDEX(D:D,ROW()-1)+_xlfn.IFS(INDEX(E:E,ROW()-1)="u16",1,INDEX(E:E,ROW()-1)="s16",1,INDEX(E:E,ROW()-1)="s32",2,INDEX(E:E,ROW()-1)="s64",4,INDEX(E:E,ROW()-1)="u16",1,INDEX(E:E,ROW()-1)="u32",2,INDEX(E:E,ROW()-1)="u64",4,INDEX(E:E,ROW()-1)="f32",2,INDEX(E:E,ROW()-1)="f64",4)</f>
        <v>125</v>
      </c>
      <c r="E123" s="19" t="s">
        <v>236</v>
      </c>
      <c r="F123" s="20" t="s">
        <v>240</v>
      </c>
      <c r="G123" s="21" t="s">
        <v>23</v>
      </c>
      <c r="H123" s="21" t="s">
        <v>23</v>
      </c>
      <c r="I123" s="21" t="s">
        <v>238</v>
      </c>
      <c r="J123" s="17" t="s">
        <v>25</v>
      </c>
      <c r="K123" s="17" t="s">
        <v>63</v>
      </c>
      <c r="L123" s="17" t="s">
        <v>206</v>
      </c>
      <c r="M123" s="19" t="s">
        <v>28</v>
      </c>
      <c r="N123" s="24"/>
      <c r="O123" s="45" t="s">
        <v>241</v>
      </c>
      <c r="P123" s="45"/>
      <c r="Q123" s="31">
        <f t="shared" si="5"/>
        <v>1</v>
      </c>
      <c r="R123" s="32" t="str">
        <f t="shared" si="6"/>
        <v>P00.125</v>
      </c>
    </row>
    <row r="124" ht="39.6" spans="1:18">
      <c r="A124" s="18"/>
      <c r="B124" s="18"/>
      <c r="C124" s="18"/>
      <c r="D124" s="17">
        <f>INDEX(D:D,ROW()-1)+_xlfn.IFS(INDEX(E:E,ROW()-1)="u16",1,INDEX(E:E,ROW()-1)="s16",1,INDEX(E:E,ROW()-1)="s32",2,INDEX(E:E,ROW()-1)="s64",4,INDEX(E:E,ROW()-1)="u16",1,INDEX(E:E,ROW()-1)="u32",2,INDEX(E:E,ROW()-1)="u64",4,INDEX(E:E,ROW()-1)="f32",2,INDEX(E:E,ROW()-1)="f64",4)</f>
        <v>129</v>
      </c>
      <c r="E124" s="19" t="s">
        <v>29</v>
      </c>
      <c r="F124" s="20" t="s">
        <v>242</v>
      </c>
      <c r="G124" s="21" t="s">
        <v>23</v>
      </c>
      <c r="H124" s="21" t="s">
        <v>23</v>
      </c>
      <c r="I124" s="21" t="s">
        <v>43</v>
      </c>
      <c r="J124" s="17" t="s">
        <v>25</v>
      </c>
      <c r="K124" s="17" t="s">
        <v>63</v>
      </c>
      <c r="L124" s="17" t="s">
        <v>206</v>
      </c>
      <c r="M124" s="19" t="s">
        <v>28</v>
      </c>
      <c r="N124" s="24"/>
      <c r="O124" s="45" t="s">
        <v>243</v>
      </c>
      <c r="P124" s="45" t="s">
        <v>244</v>
      </c>
      <c r="Q124" s="31">
        <f t="shared" si="5"/>
        <v>1</v>
      </c>
      <c r="R124" s="32" t="str">
        <f t="shared" si="6"/>
        <v>P00.129</v>
      </c>
    </row>
    <row r="125" ht="158.4" spans="1:18">
      <c r="A125" s="18"/>
      <c r="B125" s="18"/>
      <c r="C125" s="18"/>
      <c r="D125" s="17">
        <f>INDEX(D:D,ROW()-1)+_xlfn.IFS(INDEX(E:E,ROW()-1)="u16",1,INDEX(E:E,ROW()-1)="s16",1,INDEX(E:E,ROW()-1)="s32",2,INDEX(E:E,ROW()-1)="s64",4,INDEX(E:E,ROW()-1)="u16",1,INDEX(E:E,ROW()-1)="u32",2,INDEX(E:E,ROW()-1)="u64",4,INDEX(E:E,ROW()-1)="f32",2,INDEX(E:E,ROW()-1)="f64",4)</f>
        <v>130</v>
      </c>
      <c r="E125" s="19" t="s">
        <v>29</v>
      </c>
      <c r="F125" s="20" t="s">
        <v>245</v>
      </c>
      <c r="G125" s="21" t="s">
        <v>23</v>
      </c>
      <c r="H125" s="21" t="s">
        <v>23</v>
      </c>
      <c r="I125" s="21" t="s">
        <v>246</v>
      </c>
      <c r="J125" s="17" t="s">
        <v>25</v>
      </c>
      <c r="K125" s="17" t="s">
        <v>63</v>
      </c>
      <c r="L125" s="17" t="s">
        <v>206</v>
      </c>
      <c r="M125" s="19" t="s">
        <v>28</v>
      </c>
      <c r="N125" s="24"/>
      <c r="O125" s="45" t="s">
        <v>247</v>
      </c>
      <c r="P125" s="45" t="s">
        <v>248</v>
      </c>
      <c r="Q125" s="31">
        <f t="shared" si="5"/>
        <v>1</v>
      </c>
      <c r="R125" s="32" t="str">
        <f t="shared" si="6"/>
        <v>P00.130</v>
      </c>
    </row>
    <row r="126" spans="1:18">
      <c r="A126" s="18"/>
      <c r="B126" s="18"/>
      <c r="C126" s="18"/>
      <c r="D126" s="17">
        <f>INDEX(D:D,ROW()-1)+_xlfn.IFS(INDEX(E:E,ROW()-1)="u16",1,INDEX(E:E,ROW()-1)="s16",1,INDEX(E:E,ROW()-1)="s32",2,INDEX(E:E,ROW()-1)="s64",4,INDEX(E:E,ROW()-1)="u16",1,INDEX(E:E,ROW()-1)="u32",2,INDEX(E:E,ROW()-1)="u64",4,INDEX(E:E,ROW()-1)="f32",2,INDEX(E:E,ROW()-1)="f64",4)</f>
        <v>131</v>
      </c>
      <c r="E126" s="19" t="s">
        <v>29</v>
      </c>
      <c r="F126" s="20" t="s">
        <v>249</v>
      </c>
      <c r="G126" s="21" t="s">
        <v>23</v>
      </c>
      <c r="H126" s="21" t="s">
        <v>23</v>
      </c>
      <c r="I126" s="21" t="s">
        <v>30</v>
      </c>
      <c r="J126" s="17" t="s">
        <v>25</v>
      </c>
      <c r="K126" s="17" t="s">
        <v>63</v>
      </c>
      <c r="L126" s="17" t="s">
        <v>206</v>
      </c>
      <c r="M126" s="19" t="s">
        <v>28</v>
      </c>
      <c r="N126" s="24"/>
      <c r="O126" s="45" t="s">
        <v>250</v>
      </c>
      <c r="P126" s="45"/>
      <c r="Q126" s="31">
        <f t="shared" si="5"/>
        <v>1</v>
      </c>
      <c r="R126" s="32" t="str">
        <f t="shared" si="6"/>
        <v>P00.131</v>
      </c>
    </row>
    <row r="127" spans="1:18">
      <c r="A127" s="18"/>
      <c r="B127" s="18"/>
      <c r="C127" s="18"/>
      <c r="D127" s="17">
        <f>INDEX(D:D,ROW()-1)+_xlfn.IFS(INDEX(E:E,ROW()-1)="u16",1,INDEX(E:E,ROW()-1)="s16",1,INDEX(E:E,ROW()-1)="s32",2,INDEX(E:E,ROW()-1)="s64",4,INDEX(E:E,ROW()-1)="u16",1,INDEX(E:E,ROW()-1)="u32",2,INDEX(E:E,ROW()-1)="u64",4,INDEX(E:E,ROW()-1)="f32",2,INDEX(E:E,ROW()-1)="f64",4)</f>
        <v>132</v>
      </c>
      <c r="E127" s="19" t="s">
        <v>29</v>
      </c>
      <c r="F127" s="20" t="s">
        <v>251</v>
      </c>
      <c r="G127" s="21" t="s">
        <v>252</v>
      </c>
      <c r="H127" s="21" t="s">
        <v>23</v>
      </c>
      <c r="I127" s="21" t="s">
        <v>253</v>
      </c>
      <c r="J127" s="17" t="s">
        <v>254</v>
      </c>
      <c r="K127" s="17" t="s">
        <v>63</v>
      </c>
      <c r="L127" s="17" t="s">
        <v>206</v>
      </c>
      <c r="M127" s="19" t="s">
        <v>28</v>
      </c>
      <c r="N127" s="24"/>
      <c r="O127" s="43" t="s">
        <v>255</v>
      </c>
      <c r="P127" s="45"/>
      <c r="Q127" s="31">
        <f t="shared" si="5"/>
        <v>1</v>
      </c>
      <c r="R127" s="32" t="str">
        <f t="shared" si="6"/>
        <v>P00.132</v>
      </c>
    </row>
    <row r="128" spans="1:18">
      <c r="A128" s="18"/>
      <c r="B128" s="18"/>
      <c r="C128" s="18"/>
      <c r="D128" s="17">
        <f>INDEX(D:D,ROW()-1)+_xlfn.IFS(INDEX(E:E,ROW()-1)="u16",1,INDEX(E:E,ROW()-1)="s16",1,INDEX(E:E,ROW()-1)="s32",2,INDEX(E:E,ROW()-1)="s64",4,INDEX(E:E,ROW()-1)="u16",1,INDEX(E:E,ROW()-1)="u32",2,INDEX(E:E,ROW()-1)="u64",4,INDEX(E:E,ROW()-1)="f32",2,INDEX(E:E,ROW()-1)="f64",4)</f>
        <v>133</v>
      </c>
      <c r="E128" s="19" t="s">
        <v>29</v>
      </c>
      <c r="F128" s="22" t="s">
        <v>256</v>
      </c>
      <c r="G128" s="21" t="s">
        <v>23</v>
      </c>
      <c r="H128" s="21" t="s">
        <v>23</v>
      </c>
      <c r="I128" s="21" t="s">
        <v>30</v>
      </c>
      <c r="J128" s="17" t="s">
        <v>25</v>
      </c>
      <c r="K128" s="17" t="s">
        <v>257</v>
      </c>
      <c r="L128" s="17" t="s">
        <v>206</v>
      </c>
      <c r="M128" s="19" t="s">
        <v>28</v>
      </c>
      <c r="N128" s="24"/>
      <c r="O128" s="43" t="s">
        <v>258</v>
      </c>
      <c r="P128" s="43" t="s">
        <v>259</v>
      </c>
      <c r="Q128" s="31">
        <f t="shared" si="5"/>
        <v>1</v>
      </c>
      <c r="R128" s="32" t="str">
        <f t="shared" si="6"/>
        <v>P00.133</v>
      </c>
    </row>
    <row r="129" spans="1:18">
      <c r="A129" s="18"/>
      <c r="B129" s="18"/>
      <c r="C129" s="18"/>
      <c r="D129" s="17">
        <f>INDEX(D:D,ROW()-1)+_xlfn.IFS(INDEX(E:E,ROW()-1)="u16",1,INDEX(E:E,ROW()-1)="s16",1,INDEX(E:E,ROW()-1)="s32",2,INDEX(E:E,ROW()-1)="s64",4,INDEX(E:E,ROW()-1)="u16",1,INDEX(E:E,ROW()-1)="u32",2,INDEX(E:E,ROW()-1)="u64",4,INDEX(E:E,ROW()-1)="f32",2,INDEX(E:E,ROW()-1)="f64",4)</f>
        <v>134</v>
      </c>
      <c r="E129" s="19" t="s">
        <v>29</v>
      </c>
      <c r="F129" s="22" t="s">
        <v>260</v>
      </c>
      <c r="G129" s="21" t="s">
        <v>23</v>
      </c>
      <c r="H129" s="21" t="s">
        <v>23</v>
      </c>
      <c r="I129" s="21" t="s">
        <v>30</v>
      </c>
      <c r="J129" s="17" t="s">
        <v>25</v>
      </c>
      <c r="K129" s="17" t="s">
        <v>63</v>
      </c>
      <c r="L129" s="17" t="s">
        <v>206</v>
      </c>
      <c r="M129" s="19" t="s">
        <v>28</v>
      </c>
      <c r="N129" s="24"/>
      <c r="O129" s="45" t="s">
        <v>261</v>
      </c>
      <c r="P129" s="45"/>
      <c r="Q129" s="31">
        <f t="shared" si="5"/>
        <v>1</v>
      </c>
      <c r="R129" s="32" t="str">
        <f t="shared" si="6"/>
        <v>P00.134</v>
      </c>
    </row>
    <row r="130" spans="1:18">
      <c r="A130" s="18"/>
      <c r="B130" s="18"/>
      <c r="C130" s="18"/>
      <c r="D130" s="17">
        <f>INDEX(D:D,ROW()-1)+_xlfn.IFS(INDEX(E:E,ROW()-1)="u16",1,INDEX(E:E,ROW()-1)="s16",1,INDEX(E:E,ROW()-1)="s32",2,INDEX(E:E,ROW()-1)="s64",4,INDEX(E:E,ROW()-1)="u16",1,INDEX(E:E,ROW()-1)="u32",2,INDEX(E:E,ROW()-1)="u64",4,INDEX(E:E,ROW()-1)="f32",2,INDEX(E:E,ROW()-1)="f64",4)</f>
        <v>135</v>
      </c>
      <c r="E130" s="19" t="s">
        <v>29</v>
      </c>
      <c r="F130" s="22" t="s">
        <v>262</v>
      </c>
      <c r="G130" s="21" t="s">
        <v>23</v>
      </c>
      <c r="H130" s="21" t="s">
        <v>23</v>
      </c>
      <c r="I130" s="21" t="s">
        <v>30</v>
      </c>
      <c r="J130" s="17" t="s">
        <v>25</v>
      </c>
      <c r="K130" s="17" t="s">
        <v>63</v>
      </c>
      <c r="L130" s="17" t="s">
        <v>206</v>
      </c>
      <c r="M130" s="19" t="s">
        <v>28</v>
      </c>
      <c r="N130" s="24"/>
      <c r="O130" s="43" t="s">
        <v>263</v>
      </c>
      <c r="P130" s="20"/>
      <c r="Q130" s="31">
        <f t="shared" si="5"/>
        <v>1</v>
      </c>
      <c r="R130" s="32" t="str">
        <f t="shared" si="6"/>
        <v>P00.135</v>
      </c>
    </row>
    <row r="131" spans="1:18">
      <c r="A131" s="18"/>
      <c r="B131" s="18"/>
      <c r="C131" s="18"/>
      <c r="D131" s="17">
        <f>INDEX(D:D,ROW()-1)+_xlfn.IFS(INDEX(E:E,ROW()-1)="u16",1,INDEX(E:E,ROW()-1)="s16",1,INDEX(E:E,ROW()-1)="s32",2,INDEX(E:E,ROW()-1)="s64",4,INDEX(E:E,ROW()-1)="u16",1,INDEX(E:E,ROW()-1)="u32",2,INDEX(E:E,ROW()-1)="u64",4,INDEX(E:E,ROW()-1)="f32",2,INDEX(E:E,ROW()-1)="f64",4)</f>
        <v>136</v>
      </c>
      <c r="E131" s="19" t="s">
        <v>29</v>
      </c>
      <c r="F131" s="20"/>
      <c r="G131" s="21" t="s">
        <v>23</v>
      </c>
      <c r="H131" s="21" t="s">
        <v>23</v>
      </c>
      <c r="I131" s="21" t="s">
        <v>30</v>
      </c>
      <c r="J131" s="17" t="s">
        <v>25</v>
      </c>
      <c r="K131" s="17" t="s">
        <v>26</v>
      </c>
      <c r="L131" s="17" t="s">
        <v>32</v>
      </c>
      <c r="M131" s="19" t="s">
        <v>28</v>
      </c>
      <c r="N131" s="17"/>
      <c r="O131" s="20"/>
      <c r="P131" s="20"/>
      <c r="Q131" s="31">
        <f t="shared" si="5"/>
        <v>1</v>
      </c>
      <c r="R131" s="32" t="str">
        <f t="shared" si="6"/>
        <v>P00.136</v>
      </c>
    </row>
    <row r="132" spans="1:18">
      <c r="A132" s="18"/>
      <c r="B132" s="18"/>
      <c r="C132" s="18"/>
      <c r="D132" s="17">
        <f>INDEX(D:D,ROW()-1)+_xlfn.IFS(INDEX(E:E,ROW()-1)="u16",1,INDEX(E:E,ROW()-1)="s16",1,INDEX(E:E,ROW()-1)="s32",2,INDEX(E:E,ROW()-1)="s64",4,INDEX(E:E,ROW()-1)="u16",1,INDEX(E:E,ROW()-1)="u32",2,INDEX(E:E,ROW()-1)="u64",4,INDEX(E:E,ROW()-1)="f32",2,INDEX(E:E,ROW()-1)="f64",4)</f>
        <v>137</v>
      </c>
      <c r="E132" s="19" t="s">
        <v>92</v>
      </c>
      <c r="F132" s="20" t="s">
        <v>264</v>
      </c>
      <c r="G132" s="21" t="s">
        <v>23</v>
      </c>
      <c r="H132" s="21" t="s">
        <v>94</v>
      </c>
      <c r="I132" s="21" t="s">
        <v>95</v>
      </c>
      <c r="J132" s="17" t="s">
        <v>25</v>
      </c>
      <c r="K132" s="17" t="s">
        <v>63</v>
      </c>
      <c r="L132" s="17" t="s">
        <v>32</v>
      </c>
      <c r="M132" s="19" t="s">
        <v>28</v>
      </c>
      <c r="N132" s="17"/>
      <c r="O132" s="26" t="s">
        <v>265</v>
      </c>
      <c r="P132" s="20"/>
      <c r="Q132" s="31">
        <f t="shared" si="5"/>
        <v>1</v>
      </c>
      <c r="R132" s="32" t="str">
        <f t="shared" si="6"/>
        <v>P00.137</v>
      </c>
    </row>
    <row r="133" spans="1:18">
      <c r="A133" s="18"/>
      <c r="B133" s="18"/>
      <c r="C133" s="18"/>
      <c r="D133" s="17">
        <f>INDEX(D:D,ROW()-1)+_xlfn.IFS(INDEX(E:E,ROW()-1)="u16",1,INDEX(E:E,ROW()-1)="s16",1,INDEX(E:E,ROW()-1)="s32",2,INDEX(E:E,ROW()-1)="s64",4,INDEX(E:E,ROW()-1)="u16",1,INDEX(E:E,ROW()-1)="u32",2,INDEX(E:E,ROW()-1)="u64",4,INDEX(E:E,ROW()-1)="f32",2,INDEX(E:E,ROW()-1)="f64",4)</f>
        <v>138</v>
      </c>
      <c r="E133" s="19" t="s">
        <v>92</v>
      </c>
      <c r="F133" s="20" t="s">
        <v>266</v>
      </c>
      <c r="G133" s="21" t="s">
        <v>23</v>
      </c>
      <c r="H133" s="21" t="s">
        <v>94</v>
      </c>
      <c r="I133" s="21" t="s">
        <v>95</v>
      </c>
      <c r="J133" s="17" t="s">
        <v>25</v>
      </c>
      <c r="K133" s="17" t="s">
        <v>63</v>
      </c>
      <c r="L133" s="17" t="s">
        <v>32</v>
      </c>
      <c r="M133" s="19" t="s">
        <v>28</v>
      </c>
      <c r="N133" s="17"/>
      <c r="O133" s="26" t="s">
        <v>265</v>
      </c>
      <c r="P133" s="20"/>
      <c r="Q133" s="31">
        <f t="shared" si="5"/>
        <v>1</v>
      </c>
      <c r="R133" s="32" t="str">
        <f t="shared" si="6"/>
        <v>P00.138</v>
      </c>
    </row>
    <row r="134" spans="1:18">
      <c r="A134" s="18"/>
      <c r="B134" s="18"/>
      <c r="C134" s="18"/>
      <c r="D134" s="17">
        <f>INDEX(D:D,ROW()-1)+_xlfn.IFS(INDEX(E:E,ROW()-1)="u16",1,INDEX(E:E,ROW()-1)="s16",1,INDEX(E:E,ROW()-1)="s32",2,INDEX(E:E,ROW()-1)="s64",4,INDEX(E:E,ROW()-1)="u16",1,INDEX(E:E,ROW()-1)="u32",2,INDEX(E:E,ROW()-1)="u64",4,INDEX(E:E,ROW()-1)="f32",2,INDEX(E:E,ROW()-1)="f64",4)</f>
        <v>139</v>
      </c>
      <c r="E134" s="19" t="s">
        <v>92</v>
      </c>
      <c r="F134" s="20" t="s">
        <v>267</v>
      </c>
      <c r="G134" s="21" t="s">
        <v>23</v>
      </c>
      <c r="H134" s="21" t="s">
        <v>94</v>
      </c>
      <c r="I134" s="21" t="s">
        <v>95</v>
      </c>
      <c r="J134" s="17" t="s">
        <v>25</v>
      </c>
      <c r="K134" s="17" t="s">
        <v>63</v>
      </c>
      <c r="L134" s="17" t="s">
        <v>32</v>
      </c>
      <c r="M134" s="19" t="s">
        <v>28</v>
      </c>
      <c r="N134" s="17"/>
      <c r="O134" s="26" t="s">
        <v>265</v>
      </c>
      <c r="P134" s="20"/>
      <c r="Q134" s="31">
        <f>IF(OR(F134="",LEFT(TRIM(F134),3)=E134),1,0)</f>
        <v>1</v>
      </c>
      <c r="R134" s="32" t="str">
        <f>"P"&amp;TEXT(INT(D134/256),"00")&amp;"."&amp;TEXT(MOD(D134,256),"000")</f>
        <v>P00.139</v>
      </c>
    </row>
    <row r="135" spans="1:18">
      <c r="A135" s="18"/>
      <c r="B135" s="18"/>
      <c r="C135" s="18"/>
      <c r="D135" s="17">
        <f>INDEX(D:D,ROW()-1)+_xlfn.IFS(INDEX(E:E,ROW()-1)="u16",1,INDEX(E:E,ROW()-1)="s16",1,INDEX(E:E,ROW()-1)="s32",2,INDEX(E:E,ROW()-1)="s64",4,INDEX(E:E,ROW()-1)="u16",1,INDEX(E:E,ROW()-1)="u32",2,INDEX(E:E,ROW()-1)="u64",4,INDEX(E:E,ROW()-1)="f32",2,INDEX(E:E,ROW()-1)="f64",4)</f>
        <v>140</v>
      </c>
      <c r="E135" s="19" t="s">
        <v>92</v>
      </c>
      <c r="F135" s="20" t="s">
        <v>268</v>
      </c>
      <c r="G135" s="21" t="s">
        <v>23</v>
      </c>
      <c r="H135" s="21" t="s">
        <v>94</v>
      </c>
      <c r="I135" s="21" t="s">
        <v>95</v>
      </c>
      <c r="J135" s="17" t="s">
        <v>25</v>
      </c>
      <c r="K135" s="17" t="s">
        <v>63</v>
      </c>
      <c r="L135" s="17" t="s">
        <v>32</v>
      </c>
      <c r="M135" s="19" t="s">
        <v>28</v>
      </c>
      <c r="N135" s="17"/>
      <c r="O135" s="26" t="s">
        <v>265</v>
      </c>
      <c r="P135" s="20"/>
      <c r="Q135" s="31">
        <f t="shared" ref="Q135:Q198" si="8">IF(OR(F135="",LEFT(TRIM(F135),3)=E135),1,0)</f>
        <v>1</v>
      </c>
      <c r="R135" s="32" t="str">
        <f t="shared" ref="R135:R198" si="9">"P"&amp;TEXT(INT(D135/256),"00")&amp;"."&amp;TEXT(MOD(D135,256),"000")</f>
        <v>P00.140</v>
      </c>
    </row>
    <row r="136" spans="1:18">
      <c r="A136" s="18"/>
      <c r="B136" s="18"/>
      <c r="C136" s="18"/>
      <c r="D136" s="17">
        <f t="shared" ref="D136:D199" si="10">INDEX(D:D,ROW()-1)+_xlfn.IFS(INDEX(E:E,ROW()-1)="u16",1,INDEX(E:E,ROW()-1)="s16",1,INDEX(E:E,ROW()-1)="s32",2,INDEX(E:E,ROW()-1)="s64",4,INDEX(E:E,ROW()-1)="u16",1,INDEX(E:E,ROW()-1)="u32",2,INDEX(E:E,ROW()-1)="u64",4,INDEX(E:E,ROW()-1)="f32",2,INDEX(E:E,ROW()-1)="f64",4)</f>
        <v>141</v>
      </c>
      <c r="E136" s="19" t="s">
        <v>29</v>
      </c>
      <c r="F136" s="20" t="s">
        <v>269</v>
      </c>
      <c r="G136" s="21" t="s">
        <v>23</v>
      </c>
      <c r="H136" s="21" t="s">
        <v>23</v>
      </c>
      <c r="I136" s="21" t="s">
        <v>30</v>
      </c>
      <c r="J136" s="17" t="s">
        <v>25</v>
      </c>
      <c r="K136" s="17" t="s">
        <v>63</v>
      </c>
      <c r="L136" s="17" t="s">
        <v>32</v>
      </c>
      <c r="M136" s="19" t="s">
        <v>28</v>
      </c>
      <c r="N136" s="17"/>
      <c r="O136" s="26" t="s">
        <v>265</v>
      </c>
      <c r="P136" s="20"/>
      <c r="Q136" s="31">
        <f t="shared" si="8"/>
        <v>1</v>
      </c>
      <c r="R136" s="32" t="str">
        <f t="shared" si="9"/>
        <v>P00.141</v>
      </c>
    </row>
    <row r="137" spans="1:18">
      <c r="A137" s="18"/>
      <c r="B137" s="18"/>
      <c r="C137" s="18"/>
      <c r="D137" s="17">
        <f t="shared" si="10"/>
        <v>142</v>
      </c>
      <c r="E137" s="19" t="s">
        <v>29</v>
      </c>
      <c r="F137" s="20" t="s">
        <v>270</v>
      </c>
      <c r="G137" s="21" t="s">
        <v>23</v>
      </c>
      <c r="H137" s="21" t="s">
        <v>23</v>
      </c>
      <c r="I137" s="21" t="s">
        <v>30</v>
      </c>
      <c r="J137" s="17" t="s">
        <v>25</v>
      </c>
      <c r="K137" s="17" t="s">
        <v>63</v>
      </c>
      <c r="L137" s="17" t="s">
        <v>32</v>
      </c>
      <c r="M137" s="19" t="s">
        <v>28</v>
      </c>
      <c r="N137" s="17"/>
      <c r="O137" s="26" t="s">
        <v>265</v>
      </c>
      <c r="P137" s="20"/>
      <c r="Q137" s="31">
        <f t="shared" si="8"/>
        <v>1</v>
      </c>
      <c r="R137" s="32" t="str">
        <f t="shared" si="9"/>
        <v>P00.142</v>
      </c>
    </row>
    <row r="138" spans="1:18">
      <c r="A138" s="18"/>
      <c r="B138" s="18"/>
      <c r="C138" s="18"/>
      <c r="D138" s="17">
        <f t="shared" si="10"/>
        <v>143</v>
      </c>
      <c r="E138" s="19" t="s">
        <v>29</v>
      </c>
      <c r="F138" s="20" t="s">
        <v>271</v>
      </c>
      <c r="G138" s="21" t="s">
        <v>23</v>
      </c>
      <c r="H138" s="21" t="s">
        <v>23</v>
      </c>
      <c r="I138" s="21" t="s">
        <v>30</v>
      </c>
      <c r="J138" s="17" t="s">
        <v>25</v>
      </c>
      <c r="K138" s="17" t="s">
        <v>63</v>
      </c>
      <c r="L138" s="17" t="s">
        <v>32</v>
      </c>
      <c r="M138" s="19" t="s">
        <v>28</v>
      </c>
      <c r="N138" s="17"/>
      <c r="O138" s="26" t="s">
        <v>265</v>
      </c>
      <c r="P138" s="20"/>
      <c r="Q138" s="31">
        <f t="shared" si="8"/>
        <v>1</v>
      </c>
      <c r="R138" s="32" t="str">
        <f t="shared" si="9"/>
        <v>P00.143</v>
      </c>
    </row>
    <row r="139" spans="1:18">
      <c r="A139" s="18"/>
      <c r="B139" s="18"/>
      <c r="C139" s="18"/>
      <c r="D139" s="17">
        <f t="shared" si="10"/>
        <v>144</v>
      </c>
      <c r="E139" s="19" t="s">
        <v>29</v>
      </c>
      <c r="F139" s="20" t="s">
        <v>272</v>
      </c>
      <c r="G139" s="21" t="s">
        <v>23</v>
      </c>
      <c r="H139" s="21" t="s">
        <v>23</v>
      </c>
      <c r="I139" s="21" t="s">
        <v>30</v>
      </c>
      <c r="J139" s="17" t="s">
        <v>25</v>
      </c>
      <c r="K139" s="17" t="s">
        <v>63</v>
      </c>
      <c r="L139" s="17" t="s">
        <v>32</v>
      </c>
      <c r="M139" s="19" t="s">
        <v>28</v>
      </c>
      <c r="N139" s="17"/>
      <c r="O139" s="26" t="s">
        <v>265</v>
      </c>
      <c r="P139" s="20"/>
      <c r="Q139" s="31">
        <f t="shared" si="8"/>
        <v>1</v>
      </c>
      <c r="R139" s="32" t="str">
        <f t="shared" si="9"/>
        <v>P00.144</v>
      </c>
    </row>
    <row r="140" spans="1:18">
      <c r="A140" s="18"/>
      <c r="B140" s="18"/>
      <c r="C140" s="18"/>
      <c r="D140" s="17">
        <f t="shared" si="10"/>
        <v>145</v>
      </c>
      <c r="E140" s="19" t="s">
        <v>273</v>
      </c>
      <c r="F140" s="20" t="s">
        <v>274</v>
      </c>
      <c r="G140" s="21" t="s">
        <v>23</v>
      </c>
      <c r="H140" s="21" t="s">
        <v>275</v>
      </c>
      <c r="I140" s="21" t="s">
        <v>276</v>
      </c>
      <c r="J140" s="17" t="s">
        <v>25</v>
      </c>
      <c r="K140" s="17" t="s">
        <v>63</v>
      </c>
      <c r="L140" s="17" t="s">
        <v>32</v>
      </c>
      <c r="M140" s="19" t="s">
        <v>28</v>
      </c>
      <c r="N140" s="17"/>
      <c r="O140" s="26" t="s">
        <v>265</v>
      </c>
      <c r="P140" s="20"/>
      <c r="Q140" s="31">
        <f t="shared" si="8"/>
        <v>1</v>
      </c>
      <c r="R140" s="32" t="str">
        <f t="shared" si="9"/>
        <v>P00.145</v>
      </c>
    </row>
    <row r="141" spans="1:18">
      <c r="A141" s="18"/>
      <c r="B141" s="18"/>
      <c r="C141" s="18"/>
      <c r="D141" s="17">
        <f t="shared" si="10"/>
        <v>147</v>
      </c>
      <c r="E141" s="19" t="s">
        <v>273</v>
      </c>
      <c r="F141" s="20" t="s">
        <v>277</v>
      </c>
      <c r="G141" s="21" t="s">
        <v>23</v>
      </c>
      <c r="H141" s="21" t="s">
        <v>275</v>
      </c>
      <c r="I141" s="21" t="s">
        <v>276</v>
      </c>
      <c r="J141" s="17" t="s">
        <v>25</v>
      </c>
      <c r="K141" s="17" t="s">
        <v>63</v>
      </c>
      <c r="L141" s="17" t="s">
        <v>32</v>
      </c>
      <c r="M141" s="19" t="s">
        <v>28</v>
      </c>
      <c r="N141" s="17"/>
      <c r="O141" s="26" t="s">
        <v>265</v>
      </c>
      <c r="P141" s="20"/>
      <c r="Q141" s="31">
        <f t="shared" si="8"/>
        <v>1</v>
      </c>
      <c r="R141" s="32" t="str">
        <f t="shared" si="9"/>
        <v>P00.147</v>
      </c>
    </row>
    <row r="142" spans="1:18">
      <c r="A142" s="18"/>
      <c r="B142" s="18"/>
      <c r="C142" s="18"/>
      <c r="D142" s="17">
        <f t="shared" si="10"/>
        <v>149</v>
      </c>
      <c r="E142" s="19" t="s">
        <v>273</v>
      </c>
      <c r="F142" s="20" t="s">
        <v>278</v>
      </c>
      <c r="G142" s="21" t="s">
        <v>23</v>
      </c>
      <c r="H142" s="21" t="s">
        <v>275</v>
      </c>
      <c r="I142" s="21" t="s">
        <v>276</v>
      </c>
      <c r="J142" s="17" t="s">
        <v>25</v>
      </c>
      <c r="K142" s="17" t="s">
        <v>63</v>
      </c>
      <c r="L142" s="17" t="s">
        <v>32</v>
      </c>
      <c r="M142" s="19" t="s">
        <v>28</v>
      </c>
      <c r="N142" s="17"/>
      <c r="O142" s="26" t="s">
        <v>265</v>
      </c>
      <c r="P142" s="20"/>
      <c r="Q142" s="31">
        <f t="shared" si="8"/>
        <v>1</v>
      </c>
      <c r="R142" s="32" t="str">
        <f t="shared" si="9"/>
        <v>P00.149</v>
      </c>
    </row>
    <row r="143" spans="1:18">
      <c r="A143" s="18"/>
      <c r="B143" s="18"/>
      <c r="C143" s="18"/>
      <c r="D143" s="17">
        <f t="shared" si="10"/>
        <v>151</v>
      </c>
      <c r="E143" s="19" t="s">
        <v>273</v>
      </c>
      <c r="F143" s="20" t="s">
        <v>279</v>
      </c>
      <c r="G143" s="21" t="s">
        <v>23</v>
      </c>
      <c r="H143" s="21" t="s">
        <v>275</v>
      </c>
      <c r="I143" s="21" t="s">
        <v>276</v>
      </c>
      <c r="J143" s="17" t="s">
        <v>25</v>
      </c>
      <c r="K143" s="17" t="s">
        <v>63</v>
      </c>
      <c r="L143" s="17" t="s">
        <v>32</v>
      </c>
      <c r="M143" s="19" t="s">
        <v>28</v>
      </c>
      <c r="N143" s="17"/>
      <c r="O143" s="26" t="s">
        <v>265</v>
      </c>
      <c r="P143" s="20"/>
      <c r="Q143" s="31">
        <f t="shared" si="8"/>
        <v>1</v>
      </c>
      <c r="R143" s="32" t="str">
        <f t="shared" si="9"/>
        <v>P00.151</v>
      </c>
    </row>
    <row r="144" spans="1:18">
      <c r="A144" s="18"/>
      <c r="B144" s="18"/>
      <c r="C144" s="18"/>
      <c r="D144" s="17">
        <f t="shared" si="10"/>
        <v>153</v>
      </c>
      <c r="E144" s="19" t="s">
        <v>20</v>
      </c>
      <c r="F144" s="20" t="s">
        <v>280</v>
      </c>
      <c r="G144" s="21" t="s">
        <v>23</v>
      </c>
      <c r="H144" s="21" t="s">
        <v>23</v>
      </c>
      <c r="I144" s="21" t="s">
        <v>24</v>
      </c>
      <c r="J144" s="17" t="s">
        <v>25</v>
      </c>
      <c r="K144" s="17" t="s">
        <v>63</v>
      </c>
      <c r="L144" s="17" t="s">
        <v>32</v>
      </c>
      <c r="M144" s="19" t="s">
        <v>28</v>
      </c>
      <c r="N144" s="17"/>
      <c r="O144" s="26" t="s">
        <v>265</v>
      </c>
      <c r="P144" s="20"/>
      <c r="Q144" s="31">
        <f t="shared" si="8"/>
        <v>1</v>
      </c>
      <c r="R144" s="32" t="str">
        <f t="shared" si="9"/>
        <v>P00.153</v>
      </c>
    </row>
    <row r="145" spans="1:18">
      <c r="A145" s="18"/>
      <c r="B145" s="18"/>
      <c r="C145" s="18"/>
      <c r="D145" s="17">
        <f t="shared" si="10"/>
        <v>155</v>
      </c>
      <c r="E145" s="19" t="s">
        <v>20</v>
      </c>
      <c r="F145" s="20" t="s">
        <v>281</v>
      </c>
      <c r="G145" s="21" t="s">
        <v>23</v>
      </c>
      <c r="H145" s="21" t="s">
        <v>23</v>
      </c>
      <c r="I145" s="21" t="s">
        <v>24</v>
      </c>
      <c r="J145" s="17" t="s">
        <v>25</v>
      </c>
      <c r="K145" s="17" t="s">
        <v>63</v>
      </c>
      <c r="L145" s="17" t="s">
        <v>32</v>
      </c>
      <c r="M145" s="19" t="s">
        <v>28</v>
      </c>
      <c r="N145" s="17"/>
      <c r="O145" s="26" t="s">
        <v>265</v>
      </c>
      <c r="P145" s="20"/>
      <c r="Q145" s="31">
        <f t="shared" si="8"/>
        <v>1</v>
      </c>
      <c r="R145" s="32" t="str">
        <f t="shared" si="9"/>
        <v>P00.155</v>
      </c>
    </row>
    <row r="146" spans="1:18">
      <c r="A146" s="18"/>
      <c r="B146" s="18"/>
      <c r="C146" s="18"/>
      <c r="D146" s="17">
        <f t="shared" si="10"/>
        <v>157</v>
      </c>
      <c r="E146" s="19" t="s">
        <v>20</v>
      </c>
      <c r="F146" s="20" t="s">
        <v>282</v>
      </c>
      <c r="G146" s="21" t="s">
        <v>23</v>
      </c>
      <c r="H146" s="21" t="s">
        <v>23</v>
      </c>
      <c r="I146" s="21" t="s">
        <v>24</v>
      </c>
      <c r="J146" s="17" t="s">
        <v>25</v>
      </c>
      <c r="K146" s="17" t="s">
        <v>63</v>
      </c>
      <c r="L146" s="17" t="s">
        <v>32</v>
      </c>
      <c r="M146" s="19" t="s">
        <v>28</v>
      </c>
      <c r="N146" s="17"/>
      <c r="O146" s="26" t="s">
        <v>265</v>
      </c>
      <c r="P146" s="20"/>
      <c r="Q146" s="31">
        <f t="shared" si="8"/>
        <v>1</v>
      </c>
      <c r="R146" s="32" t="str">
        <f t="shared" si="9"/>
        <v>P00.157</v>
      </c>
    </row>
    <row r="147" spans="1:18">
      <c r="A147" s="18"/>
      <c r="B147" s="18"/>
      <c r="C147" s="18"/>
      <c r="D147" s="17">
        <f t="shared" si="10"/>
        <v>159</v>
      </c>
      <c r="E147" s="19" t="s">
        <v>20</v>
      </c>
      <c r="F147" s="20" t="s">
        <v>283</v>
      </c>
      <c r="G147" s="21" t="s">
        <v>23</v>
      </c>
      <c r="H147" s="21" t="s">
        <v>23</v>
      </c>
      <c r="I147" s="21" t="s">
        <v>24</v>
      </c>
      <c r="J147" s="17" t="s">
        <v>25</v>
      </c>
      <c r="K147" s="17" t="s">
        <v>63</v>
      </c>
      <c r="L147" s="17" t="s">
        <v>32</v>
      </c>
      <c r="M147" s="19" t="s">
        <v>28</v>
      </c>
      <c r="N147" s="17"/>
      <c r="O147" s="26" t="s">
        <v>265</v>
      </c>
      <c r="P147" s="20"/>
      <c r="Q147" s="31">
        <f t="shared" si="8"/>
        <v>1</v>
      </c>
      <c r="R147" s="32" t="str">
        <f t="shared" si="9"/>
        <v>P00.159</v>
      </c>
    </row>
    <row r="148" spans="1:18">
      <c r="A148" s="18"/>
      <c r="B148" s="18"/>
      <c r="C148" s="18"/>
      <c r="D148" s="17">
        <f t="shared" si="10"/>
        <v>161</v>
      </c>
      <c r="E148" s="19" t="s">
        <v>284</v>
      </c>
      <c r="F148" s="20" t="s">
        <v>285</v>
      </c>
      <c r="G148" s="21" t="s">
        <v>23</v>
      </c>
      <c r="H148" s="21" t="s">
        <v>286</v>
      </c>
      <c r="I148" s="21" t="s">
        <v>287</v>
      </c>
      <c r="J148" s="17" t="s">
        <v>25</v>
      </c>
      <c r="K148" s="17" t="s">
        <v>63</v>
      </c>
      <c r="L148" s="17" t="s">
        <v>32</v>
      </c>
      <c r="M148" s="19" t="s">
        <v>28</v>
      </c>
      <c r="N148" s="17"/>
      <c r="O148" s="26" t="s">
        <v>265</v>
      </c>
      <c r="P148" s="20"/>
      <c r="Q148" s="31">
        <f t="shared" si="8"/>
        <v>1</v>
      </c>
      <c r="R148" s="32" t="str">
        <f t="shared" si="9"/>
        <v>P00.161</v>
      </c>
    </row>
    <row r="149" spans="1:18">
      <c r="A149" s="18"/>
      <c r="B149" s="18"/>
      <c r="C149" s="18"/>
      <c r="D149" s="17">
        <f t="shared" si="10"/>
        <v>165</v>
      </c>
      <c r="E149" s="19" t="s">
        <v>284</v>
      </c>
      <c r="F149" s="20" t="s">
        <v>288</v>
      </c>
      <c r="G149" s="21" t="s">
        <v>23</v>
      </c>
      <c r="H149" s="21" t="s">
        <v>286</v>
      </c>
      <c r="I149" s="21" t="s">
        <v>287</v>
      </c>
      <c r="J149" s="17" t="s">
        <v>25</v>
      </c>
      <c r="K149" s="17" t="s">
        <v>63</v>
      </c>
      <c r="L149" s="17" t="s">
        <v>32</v>
      </c>
      <c r="M149" s="19" t="s">
        <v>28</v>
      </c>
      <c r="N149" s="17"/>
      <c r="O149" s="26" t="s">
        <v>265</v>
      </c>
      <c r="P149" s="20"/>
      <c r="Q149" s="31">
        <f t="shared" si="8"/>
        <v>1</v>
      </c>
      <c r="R149" s="32" t="str">
        <f t="shared" si="9"/>
        <v>P00.165</v>
      </c>
    </row>
    <row r="150" spans="1:18">
      <c r="A150" s="18"/>
      <c r="B150" s="18"/>
      <c r="C150" s="18"/>
      <c r="D150" s="17">
        <f t="shared" si="10"/>
        <v>169</v>
      </c>
      <c r="E150" s="19" t="s">
        <v>284</v>
      </c>
      <c r="F150" s="20" t="s">
        <v>289</v>
      </c>
      <c r="G150" s="21" t="s">
        <v>23</v>
      </c>
      <c r="H150" s="21" t="s">
        <v>286</v>
      </c>
      <c r="I150" s="21" t="s">
        <v>287</v>
      </c>
      <c r="J150" s="17" t="s">
        <v>25</v>
      </c>
      <c r="K150" s="17" t="s">
        <v>63</v>
      </c>
      <c r="L150" s="17" t="s">
        <v>32</v>
      </c>
      <c r="M150" s="19" t="s">
        <v>28</v>
      </c>
      <c r="N150" s="17"/>
      <c r="O150" s="26" t="s">
        <v>265</v>
      </c>
      <c r="P150" s="20"/>
      <c r="Q150" s="31">
        <f t="shared" si="8"/>
        <v>1</v>
      </c>
      <c r="R150" s="32" t="str">
        <f t="shared" si="9"/>
        <v>P00.169</v>
      </c>
    </row>
    <row r="151" spans="1:18">
      <c r="A151" s="18"/>
      <c r="B151" s="18"/>
      <c r="C151" s="18"/>
      <c r="D151" s="17">
        <f t="shared" si="10"/>
        <v>173</v>
      </c>
      <c r="E151" s="19" t="s">
        <v>284</v>
      </c>
      <c r="F151" s="20" t="s">
        <v>290</v>
      </c>
      <c r="G151" s="21" t="s">
        <v>23</v>
      </c>
      <c r="H151" s="21" t="s">
        <v>286</v>
      </c>
      <c r="I151" s="21" t="s">
        <v>287</v>
      </c>
      <c r="J151" s="17" t="s">
        <v>25</v>
      </c>
      <c r="K151" s="17" t="s">
        <v>63</v>
      </c>
      <c r="L151" s="17" t="s">
        <v>32</v>
      </c>
      <c r="M151" s="19" t="s">
        <v>28</v>
      </c>
      <c r="N151" s="17"/>
      <c r="O151" s="26" t="s">
        <v>265</v>
      </c>
      <c r="P151" s="20"/>
      <c r="Q151" s="31">
        <f t="shared" si="8"/>
        <v>1</v>
      </c>
      <c r="R151" s="32" t="str">
        <f t="shared" si="9"/>
        <v>P00.173</v>
      </c>
    </row>
    <row r="152" spans="1:18">
      <c r="A152" s="18"/>
      <c r="B152" s="18"/>
      <c r="C152" s="18"/>
      <c r="D152" s="17">
        <f t="shared" si="10"/>
        <v>177</v>
      </c>
      <c r="E152" s="19" t="s">
        <v>236</v>
      </c>
      <c r="F152" s="20" t="s">
        <v>291</v>
      </c>
      <c r="G152" s="21" t="s">
        <v>23</v>
      </c>
      <c r="H152" s="21" t="s">
        <v>23</v>
      </c>
      <c r="I152" s="21" t="s">
        <v>238</v>
      </c>
      <c r="J152" s="17" t="s">
        <v>25</v>
      </c>
      <c r="K152" s="17" t="s">
        <v>63</v>
      </c>
      <c r="L152" s="17" t="s">
        <v>32</v>
      </c>
      <c r="M152" s="19" t="s">
        <v>28</v>
      </c>
      <c r="N152" s="17"/>
      <c r="O152" s="26" t="s">
        <v>265</v>
      </c>
      <c r="P152" s="20"/>
      <c r="Q152" s="31">
        <f t="shared" si="8"/>
        <v>1</v>
      </c>
      <c r="R152" s="32" t="str">
        <f t="shared" si="9"/>
        <v>P00.177</v>
      </c>
    </row>
    <row r="153" spans="1:18">
      <c r="A153" s="18"/>
      <c r="B153" s="18"/>
      <c r="C153" s="18"/>
      <c r="D153" s="17">
        <f t="shared" si="10"/>
        <v>181</v>
      </c>
      <c r="E153" s="19" t="s">
        <v>236</v>
      </c>
      <c r="F153" s="20" t="s">
        <v>292</v>
      </c>
      <c r="G153" s="21" t="s">
        <v>23</v>
      </c>
      <c r="H153" s="21" t="s">
        <v>23</v>
      </c>
      <c r="I153" s="21" t="s">
        <v>238</v>
      </c>
      <c r="J153" s="17" t="s">
        <v>25</v>
      </c>
      <c r="K153" s="17" t="s">
        <v>63</v>
      </c>
      <c r="L153" s="17" t="s">
        <v>32</v>
      </c>
      <c r="M153" s="19" t="s">
        <v>28</v>
      </c>
      <c r="N153" s="17"/>
      <c r="O153" s="26" t="s">
        <v>265</v>
      </c>
      <c r="P153" s="20"/>
      <c r="Q153" s="31">
        <f t="shared" si="8"/>
        <v>1</v>
      </c>
      <c r="R153" s="32" t="str">
        <f t="shared" si="9"/>
        <v>P00.181</v>
      </c>
    </row>
    <row r="154" spans="1:18">
      <c r="A154" s="18"/>
      <c r="B154" s="18"/>
      <c r="C154" s="18"/>
      <c r="D154" s="17">
        <f t="shared" si="10"/>
        <v>185</v>
      </c>
      <c r="E154" s="19" t="s">
        <v>236</v>
      </c>
      <c r="F154" s="20" t="s">
        <v>293</v>
      </c>
      <c r="G154" s="21" t="s">
        <v>23</v>
      </c>
      <c r="H154" s="21" t="s">
        <v>23</v>
      </c>
      <c r="I154" s="21" t="s">
        <v>238</v>
      </c>
      <c r="J154" s="17" t="s">
        <v>25</v>
      </c>
      <c r="K154" s="17" t="s">
        <v>63</v>
      </c>
      <c r="L154" s="17" t="s">
        <v>32</v>
      </c>
      <c r="M154" s="19" t="s">
        <v>28</v>
      </c>
      <c r="N154" s="17"/>
      <c r="O154" s="26" t="s">
        <v>265</v>
      </c>
      <c r="P154" s="20"/>
      <c r="Q154" s="31">
        <f t="shared" si="8"/>
        <v>1</v>
      </c>
      <c r="R154" s="32" t="str">
        <f t="shared" si="9"/>
        <v>P00.185</v>
      </c>
    </row>
    <row r="155" spans="1:18">
      <c r="A155" s="18"/>
      <c r="B155" s="18"/>
      <c r="C155" s="18"/>
      <c r="D155" s="17">
        <f t="shared" si="10"/>
        <v>189</v>
      </c>
      <c r="E155" s="19" t="s">
        <v>236</v>
      </c>
      <c r="F155" s="20" t="s">
        <v>294</v>
      </c>
      <c r="G155" s="21" t="s">
        <v>23</v>
      </c>
      <c r="H155" s="21" t="s">
        <v>23</v>
      </c>
      <c r="I155" s="21" t="s">
        <v>238</v>
      </c>
      <c r="J155" s="17" t="s">
        <v>25</v>
      </c>
      <c r="K155" s="17" t="s">
        <v>63</v>
      </c>
      <c r="L155" s="17" t="s">
        <v>32</v>
      </c>
      <c r="M155" s="19" t="s">
        <v>28</v>
      </c>
      <c r="N155" s="17"/>
      <c r="O155" s="26" t="s">
        <v>265</v>
      </c>
      <c r="P155" s="20"/>
      <c r="Q155" s="31">
        <f t="shared" si="8"/>
        <v>1</v>
      </c>
      <c r="R155" s="32" t="str">
        <f t="shared" si="9"/>
        <v>P00.189</v>
      </c>
    </row>
    <row r="156" spans="1:18">
      <c r="A156" s="18"/>
      <c r="B156" s="18"/>
      <c r="C156" s="18"/>
      <c r="D156" s="17">
        <f t="shared" si="10"/>
        <v>193</v>
      </c>
      <c r="E156" s="19" t="s">
        <v>29</v>
      </c>
      <c r="F156" s="20"/>
      <c r="G156" s="21" t="s">
        <v>23</v>
      </c>
      <c r="H156" s="21" t="s">
        <v>23</v>
      </c>
      <c r="I156" s="21" t="s">
        <v>30</v>
      </c>
      <c r="J156" s="17" t="s">
        <v>25</v>
      </c>
      <c r="K156" s="17" t="s">
        <v>26</v>
      </c>
      <c r="L156" s="17" t="s">
        <v>32</v>
      </c>
      <c r="M156" s="19" t="s">
        <v>28</v>
      </c>
      <c r="N156" s="17"/>
      <c r="O156" s="20"/>
      <c r="P156" s="20"/>
      <c r="Q156" s="31">
        <f t="shared" si="8"/>
        <v>1</v>
      </c>
      <c r="R156" s="32" t="str">
        <f t="shared" si="9"/>
        <v>P00.193</v>
      </c>
    </row>
    <row r="157" spans="1:18">
      <c r="A157" s="18"/>
      <c r="B157" s="18"/>
      <c r="C157" s="18"/>
      <c r="D157" s="17">
        <f t="shared" si="10"/>
        <v>194</v>
      </c>
      <c r="E157" s="19" t="s">
        <v>29</v>
      </c>
      <c r="F157" s="20" t="s">
        <v>295</v>
      </c>
      <c r="G157" s="21" t="s">
        <v>23</v>
      </c>
      <c r="H157" s="21" t="s">
        <v>23</v>
      </c>
      <c r="I157" s="21" t="s">
        <v>30</v>
      </c>
      <c r="J157" s="17" t="s">
        <v>25</v>
      </c>
      <c r="K157" s="46" t="s">
        <v>31</v>
      </c>
      <c r="L157" s="17" t="s">
        <v>32</v>
      </c>
      <c r="M157" s="19" t="s">
        <v>28</v>
      </c>
      <c r="N157" s="17"/>
      <c r="O157" s="26"/>
      <c r="P157" s="20"/>
      <c r="Q157" s="31">
        <f t="shared" si="8"/>
        <v>1</v>
      </c>
      <c r="R157" s="32" t="str">
        <f t="shared" si="9"/>
        <v>P00.194</v>
      </c>
    </row>
    <row r="158" spans="1:18">
      <c r="A158" s="18"/>
      <c r="B158" s="18"/>
      <c r="C158" s="18"/>
      <c r="D158" s="17">
        <f t="shared" si="10"/>
        <v>195</v>
      </c>
      <c r="E158" s="19" t="s">
        <v>29</v>
      </c>
      <c r="F158" s="20" t="s">
        <v>296</v>
      </c>
      <c r="G158" s="21" t="s">
        <v>23</v>
      </c>
      <c r="H158" s="21" t="s">
        <v>23</v>
      </c>
      <c r="I158" s="21" t="s">
        <v>30</v>
      </c>
      <c r="J158" s="17" t="s">
        <v>25</v>
      </c>
      <c r="K158" s="46" t="s">
        <v>31</v>
      </c>
      <c r="L158" s="17" t="s">
        <v>32</v>
      </c>
      <c r="M158" s="19" t="s">
        <v>28</v>
      </c>
      <c r="N158" s="17"/>
      <c r="O158" s="20"/>
      <c r="P158" s="20"/>
      <c r="Q158" s="31">
        <f t="shared" si="8"/>
        <v>1</v>
      </c>
      <c r="R158" s="32" t="str">
        <f t="shared" si="9"/>
        <v>P00.195</v>
      </c>
    </row>
    <row r="159" spans="1:18">
      <c r="A159" s="18"/>
      <c r="B159" s="18"/>
      <c r="C159" s="18"/>
      <c r="D159" s="17">
        <f t="shared" si="10"/>
        <v>196</v>
      </c>
      <c r="E159" s="19" t="s">
        <v>29</v>
      </c>
      <c r="F159" s="20" t="s">
        <v>297</v>
      </c>
      <c r="G159" s="21" t="s">
        <v>23</v>
      </c>
      <c r="H159" s="21" t="s">
        <v>23</v>
      </c>
      <c r="I159" s="21" t="s">
        <v>30</v>
      </c>
      <c r="J159" s="17" t="s">
        <v>25</v>
      </c>
      <c r="K159" s="46" t="s">
        <v>31</v>
      </c>
      <c r="L159" s="17" t="s">
        <v>32</v>
      </c>
      <c r="M159" s="19" t="s">
        <v>28</v>
      </c>
      <c r="N159" s="17"/>
      <c r="O159" s="20"/>
      <c r="P159" s="20"/>
      <c r="Q159" s="31">
        <f t="shared" si="8"/>
        <v>1</v>
      </c>
      <c r="R159" s="32" t="str">
        <f t="shared" si="9"/>
        <v>P00.196</v>
      </c>
    </row>
    <row r="160" spans="1:18">
      <c r="A160" s="18"/>
      <c r="B160" s="18"/>
      <c r="C160" s="18"/>
      <c r="D160" s="17">
        <f t="shared" si="10"/>
        <v>197</v>
      </c>
      <c r="E160" s="19" t="s">
        <v>29</v>
      </c>
      <c r="F160" s="20" t="s">
        <v>298</v>
      </c>
      <c r="G160" s="21" t="s">
        <v>23</v>
      </c>
      <c r="H160" s="21" t="s">
        <v>23</v>
      </c>
      <c r="I160" s="21" t="s">
        <v>30</v>
      </c>
      <c r="J160" s="17" t="s">
        <v>25</v>
      </c>
      <c r="K160" s="46" t="s">
        <v>31</v>
      </c>
      <c r="L160" s="17" t="s">
        <v>32</v>
      </c>
      <c r="M160" s="19" t="s">
        <v>28</v>
      </c>
      <c r="N160" s="17"/>
      <c r="O160" s="20"/>
      <c r="P160" s="20"/>
      <c r="Q160" s="31">
        <f t="shared" si="8"/>
        <v>1</v>
      </c>
      <c r="R160" s="32" t="str">
        <f t="shared" si="9"/>
        <v>P00.197</v>
      </c>
    </row>
    <row r="161" spans="1:18">
      <c r="A161" s="18"/>
      <c r="B161" s="18"/>
      <c r="C161" s="18"/>
      <c r="D161" s="17">
        <f t="shared" si="10"/>
        <v>198</v>
      </c>
      <c r="E161" s="19" t="s">
        <v>29</v>
      </c>
      <c r="F161" s="20" t="s">
        <v>299</v>
      </c>
      <c r="G161" s="21" t="s">
        <v>23</v>
      </c>
      <c r="H161" s="21" t="s">
        <v>23</v>
      </c>
      <c r="I161" s="21" t="s">
        <v>30</v>
      </c>
      <c r="J161" s="17" t="s">
        <v>25</v>
      </c>
      <c r="K161" s="46" t="s">
        <v>31</v>
      </c>
      <c r="L161" s="17" t="s">
        <v>32</v>
      </c>
      <c r="M161" s="19" t="s">
        <v>28</v>
      </c>
      <c r="N161" s="17"/>
      <c r="O161" s="20"/>
      <c r="P161" s="20"/>
      <c r="Q161" s="31">
        <f t="shared" si="8"/>
        <v>1</v>
      </c>
      <c r="R161" s="32" t="str">
        <f t="shared" si="9"/>
        <v>P00.198</v>
      </c>
    </row>
    <row r="162" spans="1:18">
      <c r="A162" s="18"/>
      <c r="B162" s="18"/>
      <c r="C162" s="18"/>
      <c r="D162" s="17">
        <f t="shared" si="10"/>
        <v>199</v>
      </c>
      <c r="E162" s="19" t="s">
        <v>29</v>
      </c>
      <c r="F162" s="20" t="s">
        <v>300</v>
      </c>
      <c r="G162" s="21" t="s">
        <v>23</v>
      </c>
      <c r="H162" s="21" t="s">
        <v>23</v>
      </c>
      <c r="I162" s="21" t="s">
        <v>30</v>
      </c>
      <c r="J162" s="17" t="s">
        <v>25</v>
      </c>
      <c r="K162" s="46" t="s">
        <v>31</v>
      </c>
      <c r="L162" s="17" t="s">
        <v>32</v>
      </c>
      <c r="M162" s="19" t="s">
        <v>28</v>
      </c>
      <c r="N162" s="17"/>
      <c r="O162" s="20"/>
      <c r="P162" s="20"/>
      <c r="Q162" s="31">
        <f t="shared" si="8"/>
        <v>1</v>
      </c>
      <c r="R162" s="32" t="str">
        <f t="shared" si="9"/>
        <v>P00.199</v>
      </c>
    </row>
    <row r="163" spans="1:18">
      <c r="A163" s="18"/>
      <c r="B163" s="18"/>
      <c r="C163" s="18"/>
      <c r="D163" s="17">
        <f t="shared" si="10"/>
        <v>200</v>
      </c>
      <c r="E163" s="19" t="s">
        <v>29</v>
      </c>
      <c r="F163" s="20" t="s">
        <v>301</v>
      </c>
      <c r="G163" s="21" t="s">
        <v>23</v>
      </c>
      <c r="H163" s="21" t="s">
        <v>23</v>
      </c>
      <c r="I163" s="21" t="s">
        <v>30</v>
      </c>
      <c r="J163" s="17" t="s">
        <v>25</v>
      </c>
      <c r="K163" s="46" t="s">
        <v>31</v>
      </c>
      <c r="L163" s="17" t="s">
        <v>32</v>
      </c>
      <c r="M163" s="19" t="s">
        <v>28</v>
      </c>
      <c r="N163" s="17"/>
      <c r="O163" s="20"/>
      <c r="P163" s="20"/>
      <c r="Q163" s="31">
        <f t="shared" si="8"/>
        <v>1</v>
      </c>
      <c r="R163" s="32" t="str">
        <f t="shared" si="9"/>
        <v>P00.200</v>
      </c>
    </row>
    <row r="164" spans="1:18">
      <c r="A164" s="18"/>
      <c r="B164" s="18"/>
      <c r="C164" s="18"/>
      <c r="D164" s="17">
        <f t="shared" si="10"/>
        <v>201</v>
      </c>
      <c r="E164" s="19" t="s">
        <v>29</v>
      </c>
      <c r="F164" s="20" t="s">
        <v>302</v>
      </c>
      <c r="G164" s="21" t="s">
        <v>23</v>
      </c>
      <c r="H164" s="21" t="s">
        <v>23</v>
      </c>
      <c r="I164" s="21" t="s">
        <v>30</v>
      </c>
      <c r="J164" s="17" t="s">
        <v>25</v>
      </c>
      <c r="K164" s="46" t="s">
        <v>31</v>
      </c>
      <c r="L164" s="17" t="s">
        <v>32</v>
      </c>
      <c r="M164" s="19" t="s">
        <v>28</v>
      </c>
      <c r="N164" s="17"/>
      <c r="O164" s="20"/>
      <c r="P164" s="20"/>
      <c r="Q164" s="31">
        <f t="shared" si="8"/>
        <v>1</v>
      </c>
      <c r="R164" s="32" t="str">
        <f t="shared" si="9"/>
        <v>P00.201</v>
      </c>
    </row>
    <row r="165" spans="1:18">
      <c r="A165" s="18"/>
      <c r="B165" s="18"/>
      <c r="C165" s="18"/>
      <c r="D165" s="17">
        <f t="shared" si="10"/>
        <v>202</v>
      </c>
      <c r="E165" s="19" t="s">
        <v>29</v>
      </c>
      <c r="F165" s="20" t="s">
        <v>303</v>
      </c>
      <c r="G165" s="21" t="s">
        <v>23</v>
      </c>
      <c r="H165" s="21" t="s">
        <v>23</v>
      </c>
      <c r="I165" s="21" t="s">
        <v>30</v>
      </c>
      <c r="J165" s="17" t="s">
        <v>25</v>
      </c>
      <c r="K165" s="46" t="s">
        <v>31</v>
      </c>
      <c r="L165" s="17" t="s">
        <v>32</v>
      </c>
      <c r="M165" s="19" t="s">
        <v>28</v>
      </c>
      <c r="N165" s="17"/>
      <c r="O165" s="20"/>
      <c r="P165" s="20"/>
      <c r="Q165" s="31">
        <f t="shared" si="8"/>
        <v>1</v>
      </c>
      <c r="R165" s="32" t="str">
        <f t="shared" si="9"/>
        <v>P00.202</v>
      </c>
    </row>
    <row r="166" spans="1:18">
      <c r="A166" s="18"/>
      <c r="B166" s="18"/>
      <c r="C166" s="18"/>
      <c r="D166" s="17">
        <f t="shared" si="10"/>
        <v>203</v>
      </c>
      <c r="E166" s="19" t="s">
        <v>29</v>
      </c>
      <c r="F166" s="20" t="s">
        <v>304</v>
      </c>
      <c r="G166" s="21" t="s">
        <v>23</v>
      </c>
      <c r="H166" s="21" t="s">
        <v>23</v>
      </c>
      <c r="I166" s="21" t="s">
        <v>30</v>
      </c>
      <c r="J166" s="17" t="s">
        <v>25</v>
      </c>
      <c r="K166" s="46" t="s">
        <v>31</v>
      </c>
      <c r="L166" s="17" t="s">
        <v>32</v>
      </c>
      <c r="M166" s="19" t="s">
        <v>28</v>
      </c>
      <c r="N166" s="17"/>
      <c r="O166" s="20"/>
      <c r="P166" s="20"/>
      <c r="Q166" s="31">
        <f t="shared" si="8"/>
        <v>1</v>
      </c>
      <c r="R166" s="32" t="str">
        <f t="shared" si="9"/>
        <v>P00.203</v>
      </c>
    </row>
    <row r="167" spans="1:18">
      <c r="A167" s="18"/>
      <c r="B167" s="18"/>
      <c r="C167" s="18"/>
      <c r="D167" s="17">
        <f t="shared" si="10"/>
        <v>204</v>
      </c>
      <c r="E167" s="19" t="s">
        <v>29</v>
      </c>
      <c r="F167" s="20" t="s">
        <v>305</v>
      </c>
      <c r="G167" s="21" t="s">
        <v>23</v>
      </c>
      <c r="H167" s="21" t="s">
        <v>23</v>
      </c>
      <c r="I167" s="21" t="s">
        <v>30</v>
      </c>
      <c r="J167" s="17" t="s">
        <v>25</v>
      </c>
      <c r="K167" s="46" t="s">
        <v>31</v>
      </c>
      <c r="L167" s="17" t="s">
        <v>32</v>
      </c>
      <c r="M167" s="19" t="s">
        <v>28</v>
      </c>
      <c r="N167" s="17"/>
      <c r="O167" s="20"/>
      <c r="P167" s="20"/>
      <c r="Q167" s="31">
        <f t="shared" si="8"/>
        <v>1</v>
      </c>
      <c r="R167" s="32" t="str">
        <f t="shared" si="9"/>
        <v>P00.204</v>
      </c>
    </row>
    <row r="168" spans="1:18">
      <c r="A168" s="18"/>
      <c r="B168" s="18"/>
      <c r="C168" s="18"/>
      <c r="D168" s="17">
        <f t="shared" si="10"/>
        <v>205</v>
      </c>
      <c r="E168" s="19" t="s">
        <v>29</v>
      </c>
      <c r="F168" s="20" t="s">
        <v>306</v>
      </c>
      <c r="G168" s="21" t="s">
        <v>23</v>
      </c>
      <c r="H168" s="21" t="s">
        <v>23</v>
      </c>
      <c r="I168" s="21" t="s">
        <v>30</v>
      </c>
      <c r="J168" s="17" t="s">
        <v>25</v>
      </c>
      <c r="K168" s="46" t="s">
        <v>31</v>
      </c>
      <c r="L168" s="17" t="s">
        <v>32</v>
      </c>
      <c r="M168" s="19" t="s">
        <v>28</v>
      </c>
      <c r="N168" s="17"/>
      <c r="O168" s="20"/>
      <c r="P168" s="20"/>
      <c r="Q168" s="31">
        <f t="shared" si="8"/>
        <v>1</v>
      </c>
      <c r="R168" s="32" t="str">
        <f t="shared" si="9"/>
        <v>P00.205</v>
      </c>
    </row>
    <row r="169" spans="1:18">
      <c r="A169" s="18"/>
      <c r="B169" s="18"/>
      <c r="C169" s="18"/>
      <c r="D169" s="17">
        <f t="shared" si="10"/>
        <v>206</v>
      </c>
      <c r="E169" s="19" t="s">
        <v>29</v>
      </c>
      <c r="F169" s="20" t="s">
        <v>307</v>
      </c>
      <c r="G169" s="21" t="s">
        <v>23</v>
      </c>
      <c r="H169" s="21" t="s">
        <v>23</v>
      </c>
      <c r="I169" s="21" t="s">
        <v>30</v>
      </c>
      <c r="J169" s="17" t="s">
        <v>25</v>
      </c>
      <c r="K169" s="46" t="s">
        <v>31</v>
      </c>
      <c r="L169" s="17" t="s">
        <v>32</v>
      </c>
      <c r="M169" s="19" t="s">
        <v>28</v>
      </c>
      <c r="N169" s="17"/>
      <c r="O169" s="20"/>
      <c r="P169" s="20"/>
      <c r="Q169" s="31">
        <f t="shared" si="8"/>
        <v>1</v>
      </c>
      <c r="R169" s="32" t="str">
        <f t="shared" si="9"/>
        <v>P00.206</v>
      </c>
    </row>
    <row r="170" spans="1:18">
      <c r="A170" s="18"/>
      <c r="B170" s="18"/>
      <c r="C170" s="18"/>
      <c r="D170" s="17">
        <f t="shared" si="10"/>
        <v>207</v>
      </c>
      <c r="E170" s="19" t="s">
        <v>29</v>
      </c>
      <c r="F170" s="20" t="s">
        <v>308</v>
      </c>
      <c r="G170" s="21" t="s">
        <v>23</v>
      </c>
      <c r="H170" s="21" t="s">
        <v>23</v>
      </c>
      <c r="I170" s="21" t="s">
        <v>30</v>
      </c>
      <c r="J170" s="17" t="s">
        <v>25</v>
      </c>
      <c r="K170" s="46" t="s">
        <v>31</v>
      </c>
      <c r="L170" s="17" t="s">
        <v>32</v>
      </c>
      <c r="M170" s="19" t="s">
        <v>28</v>
      </c>
      <c r="N170" s="17"/>
      <c r="O170" s="20"/>
      <c r="P170" s="20"/>
      <c r="Q170" s="31">
        <f t="shared" si="8"/>
        <v>1</v>
      </c>
      <c r="R170" s="32" t="str">
        <f t="shared" si="9"/>
        <v>P00.207</v>
      </c>
    </row>
    <row r="171" spans="1:18">
      <c r="A171" s="18"/>
      <c r="B171" s="18"/>
      <c r="C171" s="18"/>
      <c r="D171" s="17">
        <f t="shared" si="10"/>
        <v>208</v>
      </c>
      <c r="E171" s="19" t="s">
        <v>29</v>
      </c>
      <c r="F171" s="20" t="s">
        <v>309</v>
      </c>
      <c r="G171" s="21" t="s">
        <v>23</v>
      </c>
      <c r="H171" s="21" t="s">
        <v>23</v>
      </c>
      <c r="I171" s="21" t="s">
        <v>30</v>
      </c>
      <c r="J171" s="17" t="s">
        <v>25</v>
      </c>
      <c r="K171" s="46" t="s">
        <v>31</v>
      </c>
      <c r="L171" s="17" t="s">
        <v>32</v>
      </c>
      <c r="M171" s="19" t="s">
        <v>28</v>
      </c>
      <c r="N171" s="17"/>
      <c r="O171" s="20"/>
      <c r="P171" s="20"/>
      <c r="Q171" s="31">
        <f t="shared" si="8"/>
        <v>1</v>
      </c>
      <c r="R171" s="32" t="str">
        <f t="shared" si="9"/>
        <v>P00.208</v>
      </c>
    </row>
    <row r="172" spans="1:18">
      <c r="A172" s="18"/>
      <c r="B172" s="18"/>
      <c r="C172" s="18"/>
      <c r="D172" s="17">
        <f t="shared" si="10"/>
        <v>209</v>
      </c>
      <c r="E172" s="19" t="s">
        <v>29</v>
      </c>
      <c r="F172" s="20" t="s">
        <v>310</v>
      </c>
      <c r="G172" s="21" t="s">
        <v>23</v>
      </c>
      <c r="H172" s="21" t="s">
        <v>23</v>
      </c>
      <c r="I172" s="21" t="s">
        <v>30</v>
      </c>
      <c r="J172" s="17" t="s">
        <v>25</v>
      </c>
      <c r="K172" s="46" t="s">
        <v>31</v>
      </c>
      <c r="L172" s="17" t="s">
        <v>32</v>
      </c>
      <c r="M172" s="19" t="s">
        <v>28</v>
      </c>
      <c r="N172" s="17"/>
      <c r="O172" s="20"/>
      <c r="P172" s="20"/>
      <c r="Q172" s="31">
        <f t="shared" si="8"/>
        <v>1</v>
      </c>
      <c r="R172" s="32" t="str">
        <f t="shared" si="9"/>
        <v>P00.209</v>
      </c>
    </row>
    <row r="173" spans="1:18">
      <c r="A173" s="18"/>
      <c r="B173" s="18"/>
      <c r="C173" s="18"/>
      <c r="D173" s="17">
        <f t="shared" si="10"/>
        <v>210</v>
      </c>
      <c r="E173" s="19" t="s">
        <v>29</v>
      </c>
      <c r="F173" s="20" t="s">
        <v>311</v>
      </c>
      <c r="G173" s="21" t="s">
        <v>23</v>
      </c>
      <c r="H173" s="21" t="s">
        <v>23</v>
      </c>
      <c r="I173" s="21" t="s">
        <v>30</v>
      </c>
      <c r="J173" s="17" t="s">
        <v>25</v>
      </c>
      <c r="K173" s="46" t="s">
        <v>31</v>
      </c>
      <c r="L173" s="17" t="s">
        <v>32</v>
      </c>
      <c r="M173" s="19" t="s">
        <v>28</v>
      </c>
      <c r="N173" s="17"/>
      <c r="O173" s="20"/>
      <c r="P173" s="20"/>
      <c r="Q173" s="31">
        <f t="shared" si="8"/>
        <v>1</v>
      </c>
      <c r="R173" s="32" t="str">
        <f t="shared" si="9"/>
        <v>P00.210</v>
      </c>
    </row>
    <row r="174" spans="1:18">
      <c r="A174" s="18">
        <v>3</v>
      </c>
      <c r="B174" s="18" t="s">
        <v>312</v>
      </c>
      <c r="C174" s="47" t="s">
        <v>313</v>
      </c>
      <c r="D174" s="17">
        <f t="shared" si="10"/>
        <v>211</v>
      </c>
      <c r="E174" s="19" t="s">
        <v>29</v>
      </c>
      <c r="F174" s="20" t="s">
        <v>314</v>
      </c>
      <c r="G174" s="21" t="s">
        <v>23</v>
      </c>
      <c r="H174" s="21" t="s">
        <v>23</v>
      </c>
      <c r="I174" s="21" t="s">
        <v>30</v>
      </c>
      <c r="J174" s="17" t="s">
        <v>25</v>
      </c>
      <c r="K174" s="46" t="s">
        <v>31</v>
      </c>
      <c r="L174" s="17" t="s">
        <v>32</v>
      </c>
      <c r="M174" s="19" t="s">
        <v>28</v>
      </c>
      <c r="N174" s="17"/>
      <c r="O174" s="20"/>
      <c r="P174" s="20"/>
      <c r="Q174" s="31">
        <f t="shared" si="8"/>
        <v>1</v>
      </c>
      <c r="R174" s="32" t="str">
        <f t="shared" si="9"/>
        <v>P00.211</v>
      </c>
    </row>
    <row r="175" spans="1:18">
      <c r="A175" s="18"/>
      <c r="B175" s="18"/>
      <c r="C175" s="47"/>
      <c r="D175" s="17">
        <f t="shared" si="10"/>
        <v>212</v>
      </c>
      <c r="E175" s="19" t="s">
        <v>29</v>
      </c>
      <c r="F175" s="20" t="s">
        <v>315</v>
      </c>
      <c r="G175" s="21" t="s">
        <v>23</v>
      </c>
      <c r="H175" s="21" t="s">
        <v>23</v>
      </c>
      <c r="I175" s="21" t="s">
        <v>30</v>
      </c>
      <c r="J175" s="17" t="s">
        <v>25</v>
      </c>
      <c r="K175" s="46" t="s">
        <v>31</v>
      </c>
      <c r="L175" s="17" t="s">
        <v>32</v>
      </c>
      <c r="M175" s="19" t="s">
        <v>28</v>
      </c>
      <c r="N175" s="17"/>
      <c r="O175" s="20"/>
      <c r="P175" s="20"/>
      <c r="Q175" s="31">
        <f t="shared" si="8"/>
        <v>1</v>
      </c>
      <c r="R175" s="32" t="str">
        <f t="shared" si="9"/>
        <v>P00.212</v>
      </c>
    </row>
    <row r="176" spans="1:18">
      <c r="A176" s="18"/>
      <c r="B176" s="18"/>
      <c r="C176" s="47"/>
      <c r="D176" s="17">
        <f t="shared" si="10"/>
        <v>213</v>
      </c>
      <c r="E176" s="19" t="s">
        <v>29</v>
      </c>
      <c r="F176" s="20" t="s">
        <v>316</v>
      </c>
      <c r="G176" s="21" t="s">
        <v>23</v>
      </c>
      <c r="H176" s="21" t="s">
        <v>23</v>
      </c>
      <c r="I176" s="21" t="s">
        <v>30</v>
      </c>
      <c r="J176" s="17" t="s">
        <v>25</v>
      </c>
      <c r="K176" s="46" t="s">
        <v>31</v>
      </c>
      <c r="L176" s="17" t="s">
        <v>32</v>
      </c>
      <c r="M176" s="19" t="s">
        <v>28</v>
      </c>
      <c r="N176" s="17"/>
      <c r="O176" s="20"/>
      <c r="P176" s="20"/>
      <c r="Q176" s="31">
        <f t="shared" si="8"/>
        <v>1</v>
      </c>
      <c r="R176" s="32" t="str">
        <f t="shared" si="9"/>
        <v>P00.213</v>
      </c>
    </row>
    <row r="177" spans="1:18">
      <c r="A177" s="18"/>
      <c r="B177" s="18"/>
      <c r="C177" s="47"/>
      <c r="D177" s="17">
        <f t="shared" si="10"/>
        <v>214</v>
      </c>
      <c r="E177" s="19" t="s">
        <v>29</v>
      </c>
      <c r="F177" s="20" t="s">
        <v>317</v>
      </c>
      <c r="G177" s="21" t="s">
        <v>23</v>
      </c>
      <c r="H177" s="21" t="s">
        <v>23</v>
      </c>
      <c r="I177" s="21" t="s">
        <v>30</v>
      </c>
      <c r="J177" s="17" t="s">
        <v>25</v>
      </c>
      <c r="K177" s="46" t="s">
        <v>31</v>
      </c>
      <c r="L177" s="17" t="s">
        <v>32</v>
      </c>
      <c r="M177" s="19" t="s">
        <v>28</v>
      </c>
      <c r="N177" s="17"/>
      <c r="O177" s="20"/>
      <c r="P177" s="20"/>
      <c r="Q177" s="31">
        <f t="shared" si="8"/>
        <v>1</v>
      </c>
      <c r="R177" s="32" t="str">
        <f t="shared" si="9"/>
        <v>P00.214</v>
      </c>
    </row>
    <row r="178" spans="1:18">
      <c r="A178" s="18"/>
      <c r="B178" s="18"/>
      <c r="C178" s="47"/>
      <c r="D178" s="17">
        <f t="shared" si="10"/>
        <v>215</v>
      </c>
      <c r="E178" s="19" t="s">
        <v>29</v>
      </c>
      <c r="F178" s="20" t="s">
        <v>318</v>
      </c>
      <c r="G178" s="21" t="s">
        <v>23</v>
      </c>
      <c r="H178" s="21" t="s">
        <v>23</v>
      </c>
      <c r="I178" s="21" t="s">
        <v>30</v>
      </c>
      <c r="J178" s="17" t="s">
        <v>25</v>
      </c>
      <c r="K178" s="46" t="s">
        <v>31</v>
      </c>
      <c r="L178" s="17" t="s">
        <v>32</v>
      </c>
      <c r="M178" s="19" t="s">
        <v>28</v>
      </c>
      <c r="N178" s="17"/>
      <c r="O178" s="20"/>
      <c r="P178" s="20"/>
      <c r="Q178" s="31">
        <f t="shared" si="8"/>
        <v>1</v>
      </c>
      <c r="R178" s="32" t="str">
        <f t="shared" si="9"/>
        <v>P00.215</v>
      </c>
    </row>
    <row r="179" spans="1:18">
      <c r="A179" s="18"/>
      <c r="B179" s="18"/>
      <c r="C179" s="47"/>
      <c r="D179" s="17">
        <f t="shared" si="10"/>
        <v>216</v>
      </c>
      <c r="E179" s="19" t="s">
        <v>29</v>
      </c>
      <c r="F179" s="20" t="s">
        <v>319</v>
      </c>
      <c r="G179" s="21" t="s">
        <v>23</v>
      </c>
      <c r="H179" s="21" t="s">
        <v>23</v>
      </c>
      <c r="I179" s="21" t="s">
        <v>30</v>
      </c>
      <c r="J179" s="17" t="s">
        <v>25</v>
      </c>
      <c r="K179" s="46" t="s">
        <v>31</v>
      </c>
      <c r="L179" s="17" t="s">
        <v>32</v>
      </c>
      <c r="M179" s="19" t="s">
        <v>28</v>
      </c>
      <c r="N179" s="17"/>
      <c r="O179" s="20"/>
      <c r="P179" s="20"/>
      <c r="Q179" s="31">
        <f t="shared" si="8"/>
        <v>1</v>
      </c>
      <c r="R179" s="32" t="str">
        <f t="shared" si="9"/>
        <v>P00.216</v>
      </c>
    </row>
    <row r="180" spans="1:18">
      <c r="A180" s="18"/>
      <c r="B180" s="18"/>
      <c r="C180" s="47"/>
      <c r="D180" s="17">
        <f t="shared" si="10"/>
        <v>217</v>
      </c>
      <c r="E180" s="19" t="s">
        <v>29</v>
      </c>
      <c r="F180" s="20" t="s">
        <v>320</v>
      </c>
      <c r="G180" s="21" t="s">
        <v>23</v>
      </c>
      <c r="H180" s="21" t="s">
        <v>23</v>
      </c>
      <c r="I180" s="21" t="s">
        <v>30</v>
      </c>
      <c r="J180" s="17" t="s">
        <v>25</v>
      </c>
      <c r="K180" s="46" t="s">
        <v>31</v>
      </c>
      <c r="L180" s="17" t="s">
        <v>32</v>
      </c>
      <c r="M180" s="19" t="s">
        <v>28</v>
      </c>
      <c r="N180" s="17"/>
      <c r="O180" s="20"/>
      <c r="P180" s="20"/>
      <c r="Q180" s="31">
        <f t="shared" si="8"/>
        <v>1</v>
      </c>
      <c r="R180" s="32" t="str">
        <f t="shared" si="9"/>
        <v>P00.217</v>
      </c>
    </row>
    <row r="181" spans="1:18">
      <c r="A181" s="18"/>
      <c r="B181" s="18"/>
      <c r="C181" s="47"/>
      <c r="D181" s="17">
        <f t="shared" si="10"/>
        <v>218</v>
      </c>
      <c r="E181" s="19" t="s">
        <v>29</v>
      </c>
      <c r="F181" s="20" t="s">
        <v>321</v>
      </c>
      <c r="G181" s="21" t="s">
        <v>23</v>
      </c>
      <c r="H181" s="21" t="s">
        <v>23</v>
      </c>
      <c r="I181" s="21" t="s">
        <v>30</v>
      </c>
      <c r="J181" s="17" t="s">
        <v>25</v>
      </c>
      <c r="K181" s="46" t="s">
        <v>31</v>
      </c>
      <c r="L181" s="17" t="s">
        <v>32</v>
      </c>
      <c r="M181" s="19" t="s">
        <v>28</v>
      </c>
      <c r="N181" s="17"/>
      <c r="O181" s="20"/>
      <c r="P181" s="20"/>
      <c r="Q181" s="31">
        <f t="shared" si="8"/>
        <v>1</v>
      </c>
      <c r="R181" s="32" t="str">
        <f t="shared" si="9"/>
        <v>P00.218</v>
      </c>
    </row>
    <row r="182" spans="1:18">
      <c r="A182" s="18"/>
      <c r="B182" s="18"/>
      <c r="C182" s="47"/>
      <c r="D182" s="17">
        <f t="shared" si="10"/>
        <v>219</v>
      </c>
      <c r="E182" s="19" t="s">
        <v>29</v>
      </c>
      <c r="F182" s="20"/>
      <c r="G182" s="21" t="s">
        <v>23</v>
      </c>
      <c r="H182" s="21" t="s">
        <v>23</v>
      </c>
      <c r="I182" s="21" t="s">
        <v>30</v>
      </c>
      <c r="J182" s="17" t="s">
        <v>25</v>
      </c>
      <c r="K182" s="17" t="s">
        <v>26</v>
      </c>
      <c r="L182" s="17" t="s">
        <v>32</v>
      </c>
      <c r="M182" s="19" t="s">
        <v>28</v>
      </c>
      <c r="N182" s="17"/>
      <c r="O182" s="20"/>
      <c r="P182" s="20"/>
      <c r="Q182" s="31">
        <f t="shared" si="8"/>
        <v>1</v>
      </c>
      <c r="R182" s="32" t="str">
        <f t="shared" si="9"/>
        <v>P00.219</v>
      </c>
    </row>
    <row r="183" spans="1:18">
      <c r="A183" s="18"/>
      <c r="B183" s="18"/>
      <c r="C183" s="47"/>
      <c r="D183" s="17">
        <f t="shared" si="10"/>
        <v>220</v>
      </c>
      <c r="E183" s="19" t="s">
        <v>29</v>
      </c>
      <c r="F183" s="20"/>
      <c r="G183" s="21" t="s">
        <v>23</v>
      </c>
      <c r="H183" s="21" t="s">
        <v>23</v>
      </c>
      <c r="I183" s="21" t="s">
        <v>30</v>
      </c>
      <c r="J183" s="17" t="s">
        <v>25</v>
      </c>
      <c r="K183" s="17" t="s">
        <v>26</v>
      </c>
      <c r="L183" s="17" t="s">
        <v>32</v>
      </c>
      <c r="M183" s="19" t="s">
        <v>28</v>
      </c>
      <c r="N183" s="17"/>
      <c r="O183" s="20"/>
      <c r="P183" s="20"/>
      <c r="Q183" s="31">
        <f t="shared" si="8"/>
        <v>1</v>
      </c>
      <c r="R183" s="32" t="str">
        <f t="shared" si="9"/>
        <v>P00.220</v>
      </c>
    </row>
    <row r="184" spans="1:18">
      <c r="A184" s="18"/>
      <c r="B184" s="18"/>
      <c r="C184" s="47"/>
      <c r="D184" s="17">
        <f t="shared" si="10"/>
        <v>221</v>
      </c>
      <c r="E184" s="19" t="s">
        <v>29</v>
      </c>
      <c r="F184" s="20"/>
      <c r="G184" s="21" t="s">
        <v>23</v>
      </c>
      <c r="H184" s="21" t="s">
        <v>23</v>
      </c>
      <c r="I184" s="21" t="s">
        <v>30</v>
      </c>
      <c r="J184" s="17" t="s">
        <v>25</v>
      </c>
      <c r="K184" s="17" t="s">
        <v>26</v>
      </c>
      <c r="L184" s="17" t="s">
        <v>32</v>
      </c>
      <c r="M184" s="19" t="s">
        <v>28</v>
      </c>
      <c r="N184" s="17"/>
      <c r="O184" s="20"/>
      <c r="P184" s="20"/>
      <c r="Q184" s="31">
        <f t="shared" si="8"/>
        <v>1</v>
      </c>
      <c r="R184" s="32" t="str">
        <f t="shared" si="9"/>
        <v>P00.221</v>
      </c>
    </row>
    <row r="185" spans="1:18">
      <c r="A185" s="18"/>
      <c r="B185" s="18"/>
      <c r="C185" s="47"/>
      <c r="D185" s="17">
        <f t="shared" si="10"/>
        <v>222</v>
      </c>
      <c r="E185" s="19" t="s">
        <v>29</v>
      </c>
      <c r="F185" s="20" t="s">
        <v>322</v>
      </c>
      <c r="G185" s="21" t="s">
        <v>23</v>
      </c>
      <c r="H185" s="21" t="s">
        <v>23</v>
      </c>
      <c r="I185" s="21" t="s">
        <v>30</v>
      </c>
      <c r="J185" s="17" t="s">
        <v>25</v>
      </c>
      <c r="K185" s="17" t="s">
        <v>26</v>
      </c>
      <c r="L185" s="17" t="s">
        <v>32</v>
      </c>
      <c r="M185" s="19" t="s">
        <v>28</v>
      </c>
      <c r="N185" s="17"/>
      <c r="O185" s="22" t="s">
        <v>323</v>
      </c>
      <c r="P185" s="20"/>
      <c r="Q185" s="31">
        <f t="shared" si="8"/>
        <v>1</v>
      </c>
      <c r="R185" s="32" t="str">
        <f t="shared" si="9"/>
        <v>P00.222</v>
      </c>
    </row>
    <row r="186" spans="1:18">
      <c r="A186" s="18"/>
      <c r="B186" s="18"/>
      <c r="C186" s="47"/>
      <c r="D186" s="17">
        <f>INDEX(D:D,ROW()-1)+_xlfn.IFS(INDEX(E:E,ROW()-1)="u16",1,INDEX(E:E,ROW()-1)="s16",1,INDEX(E:E,ROW()-1)="s32",2,INDEX(E:E,ROW()-1)="s64",4,INDEX(E:E,ROW()-1)="u16",1,INDEX(E:E,ROW()-1)="u32",2,INDEX(E:E,ROW()-1)="u64",4,INDEX(E:E,ROW()-1)="f32",2,INDEX(E:E,ROW()-1)="f64",4)</f>
        <v>223</v>
      </c>
      <c r="E186" s="19" t="s">
        <v>29</v>
      </c>
      <c r="F186" s="20" t="s">
        <v>324</v>
      </c>
      <c r="G186" s="21" t="s">
        <v>23</v>
      </c>
      <c r="H186" s="21" t="s">
        <v>23</v>
      </c>
      <c r="I186" s="21" t="s">
        <v>30</v>
      </c>
      <c r="J186" s="17" t="s">
        <v>25</v>
      </c>
      <c r="K186" s="17" t="s">
        <v>26</v>
      </c>
      <c r="L186" s="17" t="s">
        <v>32</v>
      </c>
      <c r="M186" s="19" t="s">
        <v>28</v>
      </c>
      <c r="N186" s="17"/>
      <c r="O186" s="24" t="s">
        <v>325</v>
      </c>
      <c r="P186" s="20"/>
      <c r="Q186" s="31">
        <f t="shared" si="8"/>
        <v>1</v>
      </c>
      <c r="R186" s="32" t="str">
        <f t="shared" si="9"/>
        <v>P00.223</v>
      </c>
    </row>
    <row r="187" spans="1:18">
      <c r="A187" s="18"/>
      <c r="B187" s="18"/>
      <c r="C187" s="47"/>
      <c r="D187" s="17">
        <f>INDEX(D:D,ROW()-1)+_xlfn.IFS(INDEX(E:E,ROW()-1)="u16",1,INDEX(E:E,ROW()-1)="s16",1,INDEX(E:E,ROW()-1)="s32",2,INDEX(E:E,ROW()-1)="s64",4,INDEX(E:E,ROW()-1)="u16",1,INDEX(E:E,ROW()-1)="u32",2,INDEX(E:E,ROW()-1)="u64",4,INDEX(E:E,ROW()-1)="f32",2,INDEX(E:E,ROW()-1)="f64",4)</f>
        <v>224</v>
      </c>
      <c r="E187" s="19" t="s">
        <v>29</v>
      </c>
      <c r="F187" s="22" t="s">
        <v>326</v>
      </c>
      <c r="G187" s="21" t="s">
        <v>23</v>
      </c>
      <c r="H187" s="21" t="s">
        <v>23</v>
      </c>
      <c r="I187" s="21" t="s">
        <v>30</v>
      </c>
      <c r="J187" s="17" t="s">
        <v>25</v>
      </c>
      <c r="K187" s="17" t="s">
        <v>26</v>
      </c>
      <c r="L187" s="17" t="s">
        <v>27</v>
      </c>
      <c r="M187" s="19" t="s">
        <v>28</v>
      </c>
      <c r="N187" s="17"/>
      <c r="O187" s="22" t="s">
        <v>327</v>
      </c>
      <c r="P187" s="20"/>
      <c r="Q187" s="31">
        <f t="shared" si="8"/>
        <v>1</v>
      </c>
      <c r="R187" s="32" t="str">
        <f t="shared" si="9"/>
        <v>P00.224</v>
      </c>
    </row>
    <row r="188" spans="1:18">
      <c r="A188" s="18"/>
      <c r="B188" s="18"/>
      <c r="C188" s="47"/>
      <c r="D188" s="17">
        <f>INDEX(D:D,ROW()-1)+_xlfn.IFS(INDEX(E:E,ROW()-1)="u16",1,INDEX(E:E,ROW()-1)="s16",1,INDEX(E:E,ROW()-1)="s32",2,INDEX(E:E,ROW()-1)="s64",4,INDEX(E:E,ROW()-1)="u16",1,INDEX(E:E,ROW()-1)="u32",2,INDEX(E:E,ROW()-1)="u64",4,INDEX(E:E,ROW()-1)="f32",2,INDEX(E:E,ROW()-1)="f64",4)</f>
        <v>225</v>
      </c>
      <c r="E188" s="19" t="s">
        <v>29</v>
      </c>
      <c r="F188" s="22" t="s">
        <v>328</v>
      </c>
      <c r="G188" s="21" t="s">
        <v>23</v>
      </c>
      <c r="H188" s="21" t="s">
        <v>23</v>
      </c>
      <c r="I188" s="21" t="s">
        <v>30</v>
      </c>
      <c r="J188" s="17" t="s">
        <v>25</v>
      </c>
      <c r="K188" s="17" t="s">
        <v>26</v>
      </c>
      <c r="L188" s="17" t="s">
        <v>27</v>
      </c>
      <c r="M188" s="19" t="s">
        <v>28</v>
      </c>
      <c r="N188" s="17"/>
      <c r="O188" s="22" t="s">
        <v>329</v>
      </c>
      <c r="P188" s="20"/>
      <c r="Q188" s="31">
        <f t="shared" si="8"/>
        <v>1</v>
      </c>
      <c r="R188" s="32" t="str">
        <f t="shared" si="9"/>
        <v>P00.225</v>
      </c>
    </row>
    <row r="189" spans="1:18">
      <c r="A189" s="18"/>
      <c r="B189" s="18"/>
      <c r="C189" s="47"/>
      <c r="D189" s="17">
        <f>INDEX(D:D,ROW()-1)+_xlfn.IFS(INDEX(E:E,ROW()-1)="u16",1,INDEX(E:E,ROW()-1)="s16",1,INDEX(E:E,ROW()-1)="s32",2,INDEX(E:E,ROW()-1)="s64",4,INDEX(E:E,ROW()-1)="u16",1,INDEX(E:E,ROW()-1)="u32",2,INDEX(E:E,ROW()-1)="u64",4,INDEX(E:E,ROW()-1)="f32",2,INDEX(E:E,ROW()-1)="f64",4)</f>
        <v>226</v>
      </c>
      <c r="E189" s="19" t="s">
        <v>29</v>
      </c>
      <c r="F189" s="22" t="s">
        <v>330</v>
      </c>
      <c r="G189" s="21" t="s">
        <v>23</v>
      </c>
      <c r="H189" s="21" t="s">
        <v>23</v>
      </c>
      <c r="I189" s="21" t="s">
        <v>30</v>
      </c>
      <c r="J189" s="17" t="s">
        <v>25</v>
      </c>
      <c r="K189" s="17" t="s">
        <v>26</v>
      </c>
      <c r="L189" s="17" t="s">
        <v>27</v>
      </c>
      <c r="M189" s="19" t="s">
        <v>28</v>
      </c>
      <c r="N189" s="17"/>
      <c r="O189" s="22" t="s">
        <v>331</v>
      </c>
      <c r="P189" s="20"/>
      <c r="Q189" s="31">
        <f t="shared" si="8"/>
        <v>1</v>
      </c>
      <c r="R189" s="32" t="str">
        <f t="shared" si="9"/>
        <v>P00.226</v>
      </c>
    </row>
    <row r="190" spans="1:18">
      <c r="A190" s="18"/>
      <c r="B190" s="18"/>
      <c r="C190" s="47"/>
      <c r="D190" s="17">
        <f>INDEX(D:D,ROW()-1)+_xlfn.IFS(INDEX(E:E,ROW()-1)="u16",1,INDEX(E:E,ROW()-1)="s16",1,INDEX(E:E,ROW()-1)="s32",2,INDEX(E:E,ROW()-1)="s64",4,INDEX(E:E,ROW()-1)="u16",1,INDEX(E:E,ROW()-1)="u32",2,INDEX(E:E,ROW()-1)="u64",4,INDEX(E:E,ROW()-1)="f32",2,INDEX(E:E,ROW()-1)="f64",4)</f>
        <v>227</v>
      </c>
      <c r="E190" s="19" t="s">
        <v>29</v>
      </c>
      <c r="F190" s="22" t="s">
        <v>332</v>
      </c>
      <c r="G190" s="21" t="s">
        <v>23</v>
      </c>
      <c r="H190" s="21" t="s">
        <v>23</v>
      </c>
      <c r="I190" s="21" t="s">
        <v>30</v>
      </c>
      <c r="J190" s="17" t="s">
        <v>25</v>
      </c>
      <c r="K190" s="17" t="s">
        <v>26</v>
      </c>
      <c r="L190" s="17" t="s">
        <v>27</v>
      </c>
      <c r="M190" s="19" t="s">
        <v>28</v>
      </c>
      <c r="N190" s="17"/>
      <c r="O190" s="22" t="s">
        <v>333</v>
      </c>
      <c r="P190" s="20"/>
      <c r="Q190" s="31">
        <f t="shared" si="8"/>
        <v>1</v>
      </c>
      <c r="R190" s="32" t="str">
        <f t="shared" si="9"/>
        <v>P00.227</v>
      </c>
    </row>
    <row r="191" spans="1:18">
      <c r="A191" s="18"/>
      <c r="B191" s="18"/>
      <c r="C191" s="47"/>
      <c r="D191" s="17">
        <f>INDEX(D:D,ROW()-1)+_xlfn.IFS(INDEX(E:E,ROW()-1)="u16",1,INDEX(E:E,ROW()-1)="s16",1,INDEX(E:E,ROW()-1)="s32",2,INDEX(E:E,ROW()-1)="s64",4,INDEX(E:E,ROW()-1)="u16",1,INDEX(E:E,ROW()-1)="u32",2,INDEX(E:E,ROW()-1)="u64",4,INDEX(E:E,ROW()-1)="f32",2,INDEX(E:E,ROW()-1)="f64",4)</f>
        <v>228</v>
      </c>
      <c r="E191" s="19" t="s">
        <v>29</v>
      </c>
      <c r="F191" s="22" t="s">
        <v>334</v>
      </c>
      <c r="G191" s="21" t="s">
        <v>23</v>
      </c>
      <c r="H191" s="21" t="s">
        <v>23</v>
      </c>
      <c r="I191" s="21" t="s">
        <v>30</v>
      </c>
      <c r="J191" s="17" t="s">
        <v>25</v>
      </c>
      <c r="K191" s="17" t="s">
        <v>26</v>
      </c>
      <c r="L191" s="17" t="s">
        <v>27</v>
      </c>
      <c r="M191" s="19" t="s">
        <v>28</v>
      </c>
      <c r="N191" s="17"/>
      <c r="O191" s="22" t="s">
        <v>335</v>
      </c>
      <c r="P191" s="20"/>
      <c r="Q191" s="31">
        <f t="shared" si="8"/>
        <v>1</v>
      </c>
      <c r="R191" s="32" t="str">
        <f t="shared" si="9"/>
        <v>P00.228</v>
      </c>
    </row>
    <row r="192" spans="1:18">
      <c r="A192" s="18"/>
      <c r="B192" s="18"/>
      <c r="C192" s="47"/>
      <c r="D192" s="17">
        <f>INDEX(D:D,ROW()-1)+_xlfn.IFS(INDEX(E:E,ROW()-1)="u16",1,INDEX(E:E,ROW()-1)="s16",1,INDEX(E:E,ROW()-1)="s32",2,INDEX(E:E,ROW()-1)="s64",4,INDEX(E:E,ROW()-1)="u16",1,INDEX(E:E,ROW()-1)="u32",2,INDEX(E:E,ROW()-1)="u64",4,INDEX(E:E,ROW()-1)="f32",2,INDEX(E:E,ROW()-1)="f64",4)</f>
        <v>229</v>
      </c>
      <c r="E192" s="19" t="s">
        <v>29</v>
      </c>
      <c r="F192" s="22" t="s">
        <v>336</v>
      </c>
      <c r="G192" s="21" t="s">
        <v>23</v>
      </c>
      <c r="H192" s="21" t="s">
        <v>23</v>
      </c>
      <c r="I192" s="21" t="s">
        <v>30</v>
      </c>
      <c r="J192" s="17" t="s">
        <v>25</v>
      </c>
      <c r="K192" s="17" t="s">
        <v>26</v>
      </c>
      <c r="L192" s="17" t="s">
        <v>27</v>
      </c>
      <c r="M192" s="19" t="s">
        <v>28</v>
      </c>
      <c r="N192" s="17"/>
      <c r="O192" s="22" t="s">
        <v>337</v>
      </c>
      <c r="P192" s="20"/>
      <c r="Q192" s="31">
        <f t="shared" si="8"/>
        <v>1</v>
      </c>
      <c r="R192" s="32" t="str">
        <f t="shared" si="9"/>
        <v>P00.229</v>
      </c>
    </row>
    <row r="193" spans="1:18">
      <c r="A193" s="18"/>
      <c r="B193" s="18"/>
      <c r="C193" s="47"/>
      <c r="D193" s="17">
        <f>INDEX(D:D,ROW()-1)+_xlfn.IFS(INDEX(E:E,ROW()-1)="u16",1,INDEX(E:E,ROW()-1)="s16",1,INDEX(E:E,ROW()-1)="s32",2,INDEX(E:E,ROW()-1)="s64",4,INDEX(E:E,ROW()-1)="u16",1,INDEX(E:E,ROW()-1)="u32",2,INDEX(E:E,ROW()-1)="u64",4,INDEX(E:E,ROW()-1)="f32",2,INDEX(E:E,ROW()-1)="f64",4)</f>
        <v>230</v>
      </c>
      <c r="E193" s="19" t="s">
        <v>29</v>
      </c>
      <c r="F193" s="22" t="s">
        <v>338</v>
      </c>
      <c r="G193" s="21" t="s">
        <v>23</v>
      </c>
      <c r="H193" s="21" t="s">
        <v>23</v>
      </c>
      <c r="I193" s="21" t="s">
        <v>30</v>
      </c>
      <c r="J193" s="17" t="s">
        <v>25</v>
      </c>
      <c r="K193" s="17" t="s">
        <v>26</v>
      </c>
      <c r="L193" s="17" t="s">
        <v>27</v>
      </c>
      <c r="M193" s="19" t="s">
        <v>28</v>
      </c>
      <c r="N193" s="17"/>
      <c r="O193" s="22" t="s">
        <v>339</v>
      </c>
      <c r="P193" s="20"/>
      <c r="Q193" s="31">
        <f t="shared" si="8"/>
        <v>1</v>
      </c>
      <c r="R193" s="32" t="str">
        <f t="shared" si="9"/>
        <v>P00.230</v>
      </c>
    </row>
    <row r="194" spans="1:18">
      <c r="A194" s="18"/>
      <c r="B194" s="18"/>
      <c r="C194" s="47"/>
      <c r="D194" s="17">
        <f>INDEX(D:D,ROW()-1)+_xlfn.IFS(INDEX(E:E,ROW()-1)="u16",1,INDEX(E:E,ROW()-1)="s16",1,INDEX(E:E,ROW()-1)="s32",2,INDEX(E:E,ROW()-1)="s64",4,INDEX(E:E,ROW()-1)="u16",1,INDEX(E:E,ROW()-1)="u32",2,INDEX(E:E,ROW()-1)="u64",4,INDEX(E:E,ROW()-1)="f32",2,INDEX(E:E,ROW()-1)="f64",4)</f>
        <v>231</v>
      </c>
      <c r="E194" s="19" t="s">
        <v>29</v>
      </c>
      <c r="F194" s="22" t="s">
        <v>340</v>
      </c>
      <c r="G194" s="21" t="s">
        <v>23</v>
      </c>
      <c r="H194" s="21" t="s">
        <v>23</v>
      </c>
      <c r="I194" s="21" t="s">
        <v>30</v>
      </c>
      <c r="J194" s="17" t="s">
        <v>25</v>
      </c>
      <c r="K194" s="17" t="s">
        <v>26</v>
      </c>
      <c r="L194" s="17" t="s">
        <v>27</v>
      </c>
      <c r="M194" s="19" t="s">
        <v>28</v>
      </c>
      <c r="N194" s="17"/>
      <c r="O194" s="22" t="s">
        <v>341</v>
      </c>
      <c r="P194" s="20"/>
      <c r="Q194" s="31">
        <f t="shared" si="8"/>
        <v>1</v>
      </c>
      <c r="R194" s="32" t="str">
        <f t="shared" si="9"/>
        <v>P00.231</v>
      </c>
    </row>
    <row r="195" spans="1:18">
      <c r="A195" s="18"/>
      <c r="B195" s="18"/>
      <c r="C195" s="47"/>
      <c r="D195" s="17">
        <f>INDEX(D:D,ROW()-1)+_xlfn.IFS(INDEX(E:E,ROW()-1)="u16",1,INDEX(E:E,ROW()-1)="s16",1,INDEX(E:E,ROW()-1)="s32",2,INDEX(E:E,ROW()-1)="s64",4,INDEX(E:E,ROW()-1)="u16",1,INDEX(E:E,ROW()-1)="u32",2,INDEX(E:E,ROW()-1)="u64",4,INDEX(E:E,ROW()-1)="f32",2,INDEX(E:E,ROW()-1)="f64",4)</f>
        <v>232</v>
      </c>
      <c r="E195" s="19" t="s">
        <v>29</v>
      </c>
      <c r="F195" s="22" t="s">
        <v>342</v>
      </c>
      <c r="G195" s="21" t="s">
        <v>23</v>
      </c>
      <c r="H195" s="21" t="s">
        <v>23</v>
      </c>
      <c r="I195" s="21" t="s">
        <v>30</v>
      </c>
      <c r="J195" s="17" t="s">
        <v>25</v>
      </c>
      <c r="K195" s="17" t="s">
        <v>26</v>
      </c>
      <c r="L195" s="17" t="s">
        <v>27</v>
      </c>
      <c r="M195" s="19" t="s">
        <v>28</v>
      </c>
      <c r="N195" s="17"/>
      <c r="O195" s="22" t="s">
        <v>343</v>
      </c>
      <c r="P195" s="20"/>
      <c r="Q195" s="31">
        <f t="shared" si="8"/>
        <v>1</v>
      </c>
      <c r="R195" s="32" t="str">
        <f t="shared" si="9"/>
        <v>P00.232</v>
      </c>
    </row>
    <row r="196" spans="1:18">
      <c r="A196" s="18"/>
      <c r="B196" s="18"/>
      <c r="C196" s="47"/>
      <c r="D196" s="17">
        <f>INDEX(D:D,ROW()-1)+_xlfn.IFS(INDEX(E:E,ROW()-1)="u16",1,INDEX(E:E,ROW()-1)="s16",1,INDEX(E:E,ROW()-1)="s32",2,INDEX(E:E,ROW()-1)="s64",4,INDEX(E:E,ROW()-1)="u16",1,INDEX(E:E,ROW()-1)="u32",2,INDEX(E:E,ROW()-1)="u64",4,INDEX(E:E,ROW()-1)="f32",2,INDEX(E:E,ROW()-1)="f64",4)</f>
        <v>233</v>
      </c>
      <c r="E196" s="19" t="s">
        <v>29</v>
      </c>
      <c r="F196" s="22" t="s">
        <v>344</v>
      </c>
      <c r="G196" s="21" t="s">
        <v>23</v>
      </c>
      <c r="H196" s="21" t="s">
        <v>23</v>
      </c>
      <c r="I196" s="21" t="s">
        <v>30</v>
      </c>
      <c r="J196" s="17" t="s">
        <v>25</v>
      </c>
      <c r="K196" s="17" t="s">
        <v>26</v>
      </c>
      <c r="L196" s="17" t="s">
        <v>27</v>
      </c>
      <c r="M196" s="19" t="s">
        <v>28</v>
      </c>
      <c r="N196" s="17"/>
      <c r="O196" s="22" t="s">
        <v>345</v>
      </c>
      <c r="P196" s="20"/>
      <c r="Q196" s="31">
        <f t="shared" si="8"/>
        <v>1</v>
      </c>
      <c r="R196" s="32" t="str">
        <f t="shared" si="9"/>
        <v>P00.233</v>
      </c>
    </row>
    <row r="197" spans="1:18">
      <c r="A197" s="18"/>
      <c r="B197" s="18"/>
      <c r="C197" s="47"/>
      <c r="D197" s="17">
        <f>INDEX(D:D,ROW()-1)+_xlfn.IFS(INDEX(E:E,ROW()-1)="u16",1,INDEX(E:E,ROW()-1)="s16",1,INDEX(E:E,ROW()-1)="s32",2,INDEX(E:E,ROW()-1)="s64",4,INDEX(E:E,ROW()-1)="u16",1,INDEX(E:E,ROW()-1)="u32",2,INDEX(E:E,ROW()-1)="u64",4,INDEX(E:E,ROW()-1)="f32",2,INDEX(E:E,ROW()-1)="f64",4)</f>
        <v>234</v>
      </c>
      <c r="E197" s="19" t="s">
        <v>29</v>
      </c>
      <c r="F197" s="22" t="s">
        <v>346</v>
      </c>
      <c r="G197" s="21" t="s">
        <v>23</v>
      </c>
      <c r="H197" s="21" t="s">
        <v>23</v>
      </c>
      <c r="I197" s="21" t="s">
        <v>30</v>
      </c>
      <c r="J197" s="17" t="s">
        <v>25</v>
      </c>
      <c r="K197" s="17" t="s">
        <v>26</v>
      </c>
      <c r="L197" s="17" t="s">
        <v>27</v>
      </c>
      <c r="M197" s="19" t="s">
        <v>28</v>
      </c>
      <c r="N197" s="17"/>
      <c r="O197" s="22" t="s">
        <v>347</v>
      </c>
      <c r="P197" s="20"/>
      <c r="Q197" s="31">
        <f t="shared" si="8"/>
        <v>1</v>
      </c>
      <c r="R197" s="32" t="str">
        <f t="shared" si="9"/>
        <v>P00.234</v>
      </c>
    </row>
    <row r="198" spans="1:18">
      <c r="A198" s="18"/>
      <c r="B198" s="18"/>
      <c r="C198" s="47"/>
      <c r="D198" s="17">
        <f>INDEX(D:D,ROW()-1)+_xlfn.IFS(INDEX(E:E,ROW()-1)="u16",1,INDEX(E:E,ROW()-1)="s16",1,INDEX(E:E,ROW()-1)="s32",2,INDEX(E:E,ROW()-1)="s64",4,INDEX(E:E,ROW()-1)="u16",1,INDEX(E:E,ROW()-1)="u32",2,INDEX(E:E,ROW()-1)="u64",4,INDEX(E:E,ROW()-1)="f32",2,INDEX(E:E,ROW()-1)="f64",4)</f>
        <v>235</v>
      </c>
      <c r="E198" s="19" t="s">
        <v>29</v>
      </c>
      <c r="F198" s="22" t="s">
        <v>348</v>
      </c>
      <c r="G198" s="21" t="s">
        <v>23</v>
      </c>
      <c r="H198" s="21" t="s">
        <v>23</v>
      </c>
      <c r="I198" s="21" t="s">
        <v>30</v>
      </c>
      <c r="J198" s="17" t="s">
        <v>25</v>
      </c>
      <c r="K198" s="17" t="s">
        <v>26</v>
      </c>
      <c r="L198" s="17" t="s">
        <v>27</v>
      </c>
      <c r="M198" s="19" t="s">
        <v>28</v>
      </c>
      <c r="N198" s="17"/>
      <c r="O198" s="22" t="s">
        <v>349</v>
      </c>
      <c r="P198" s="20"/>
      <c r="Q198" s="31">
        <f t="shared" si="8"/>
        <v>1</v>
      </c>
      <c r="R198" s="32" t="str">
        <f t="shared" si="9"/>
        <v>P00.235</v>
      </c>
    </row>
    <row r="199" spans="1:18">
      <c r="A199" s="18"/>
      <c r="B199" s="18"/>
      <c r="C199" s="47"/>
      <c r="D199" s="17">
        <f>INDEX(D:D,ROW()-1)+_xlfn.IFS(INDEX(E:E,ROW()-1)="u16",1,INDEX(E:E,ROW()-1)="s16",1,INDEX(E:E,ROW()-1)="s32",2,INDEX(E:E,ROW()-1)="s64",4,INDEX(E:E,ROW()-1)="u16",1,INDEX(E:E,ROW()-1)="u32",2,INDEX(E:E,ROW()-1)="u64",4,INDEX(E:E,ROW()-1)="f32",2,INDEX(E:E,ROW()-1)="f64",4)</f>
        <v>236</v>
      </c>
      <c r="E199" s="19" t="s">
        <v>29</v>
      </c>
      <c r="F199" s="22" t="s">
        <v>350</v>
      </c>
      <c r="G199" s="21" t="s">
        <v>23</v>
      </c>
      <c r="H199" s="21" t="s">
        <v>23</v>
      </c>
      <c r="I199" s="21" t="s">
        <v>30</v>
      </c>
      <c r="J199" s="17" t="s">
        <v>25</v>
      </c>
      <c r="K199" s="17" t="s">
        <v>26</v>
      </c>
      <c r="L199" s="17" t="s">
        <v>27</v>
      </c>
      <c r="M199" s="19" t="s">
        <v>28</v>
      </c>
      <c r="N199" s="17"/>
      <c r="O199" s="22" t="s">
        <v>351</v>
      </c>
      <c r="P199" s="20"/>
      <c r="Q199" s="31">
        <f t="shared" ref="Q199:Q214" si="11">IF(OR(F199="",LEFT(TRIM(F199),3)=E199),1,0)</f>
        <v>1</v>
      </c>
      <c r="R199" s="32" t="str">
        <f t="shared" ref="R199:R214" si="12">"P"&amp;TEXT(INT(D199/256),"00")&amp;"."&amp;TEXT(MOD(D199,256),"000")</f>
        <v>P00.236</v>
      </c>
    </row>
    <row r="200" spans="1:18">
      <c r="A200" s="18"/>
      <c r="B200" s="18"/>
      <c r="C200" s="47"/>
      <c r="D200" s="17">
        <f>INDEX(D:D,ROW()-1)+_xlfn.IFS(INDEX(E:E,ROW()-1)="u16",1,INDEX(E:E,ROW()-1)="s16",1,INDEX(E:E,ROW()-1)="s32",2,INDEX(E:E,ROW()-1)="s64",4,INDEX(E:E,ROW()-1)="u16",1,INDEX(E:E,ROW()-1)="u32",2,INDEX(E:E,ROW()-1)="u64",4,INDEX(E:E,ROW()-1)="f32",2,INDEX(E:E,ROW()-1)="f64",4)</f>
        <v>237</v>
      </c>
      <c r="E200" s="19" t="s">
        <v>29</v>
      </c>
      <c r="F200" s="22" t="s">
        <v>352</v>
      </c>
      <c r="G200" s="21" t="s">
        <v>23</v>
      </c>
      <c r="H200" s="21" t="s">
        <v>23</v>
      </c>
      <c r="I200" s="21" t="s">
        <v>30</v>
      </c>
      <c r="J200" s="17" t="s">
        <v>25</v>
      </c>
      <c r="K200" s="17" t="s">
        <v>26</v>
      </c>
      <c r="L200" s="17" t="s">
        <v>27</v>
      </c>
      <c r="M200" s="19" t="s">
        <v>28</v>
      </c>
      <c r="N200" s="17"/>
      <c r="O200" s="22" t="s">
        <v>353</v>
      </c>
      <c r="P200" s="20"/>
      <c r="Q200" s="31">
        <f t="shared" si="11"/>
        <v>1</v>
      </c>
      <c r="R200" s="32" t="str">
        <f t="shared" si="12"/>
        <v>P00.237</v>
      </c>
    </row>
    <row r="201" spans="1:18">
      <c r="A201" s="18"/>
      <c r="B201" s="18"/>
      <c r="C201" s="47"/>
      <c r="D201" s="17">
        <f>INDEX(D:D,ROW()-1)+_xlfn.IFS(INDEX(E:E,ROW()-1)="u16",1,INDEX(E:E,ROW()-1)="s16",1,INDEX(E:E,ROW()-1)="s32",2,INDEX(E:E,ROW()-1)="s64",4,INDEX(E:E,ROW()-1)="u16",1,INDEX(E:E,ROW()-1)="u32",2,INDEX(E:E,ROW()-1)="u64",4,INDEX(E:E,ROW()-1)="f32",2,INDEX(E:E,ROW()-1)="f64",4)</f>
        <v>238</v>
      </c>
      <c r="E201" s="19" t="s">
        <v>29</v>
      </c>
      <c r="F201" s="22" t="s">
        <v>354</v>
      </c>
      <c r="G201" s="21" t="s">
        <v>23</v>
      </c>
      <c r="H201" s="21" t="s">
        <v>23</v>
      </c>
      <c r="I201" s="21" t="s">
        <v>30</v>
      </c>
      <c r="J201" s="17" t="s">
        <v>25</v>
      </c>
      <c r="K201" s="17" t="s">
        <v>26</v>
      </c>
      <c r="L201" s="17" t="s">
        <v>27</v>
      </c>
      <c r="M201" s="19" t="s">
        <v>28</v>
      </c>
      <c r="N201" s="17"/>
      <c r="O201" s="22" t="s">
        <v>355</v>
      </c>
      <c r="P201" s="20"/>
      <c r="Q201" s="31">
        <f t="shared" si="11"/>
        <v>1</v>
      </c>
      <c r="R201" s="32" t="str">
        <f t="shared" si="12"/>
        <v>P00.238</v>
      </c>
    </row>
    <row r="202" spans="1:18">
      <c r="A202" s="18"/>
      <c r="B202" s="18"/>
      <c r="C202" s="47"/>
      <c r="D202" s="17">
        <f>INDEX(D:D,ROW()-1)+_xlfn.IFS(INDEX(E:E,ROW()-1)="u16",1,INDEX(E:E,ROW()-1)="s16",1,INDEX(E:E,ROW()-1)="s32",2,INDEX(E:E,ROW()-1)="s64",4,INDEX(E:E,ROW()-1)="u16",1,INDEX(E:E,ROW()-1)="u32",2,INDEX(E:E,ROW()-1)="u64",4,INDEX(E:E,ROW()-1)="f32",2,INDEX(E:E,ROW()-1)="f64",4)</f>
        <v>239</v>
      </c>
      <c r="E202" s="19" t="s">
        <v>20</v>
      </c>
      <c r="F202" s="22" t="s">
        <v>356</v>
      </c>
      <c r="G202" s="21" t="s">
        <v>23</v>
      </c>
      <c r="H202" s="21" t="s">
        <v>23</v>
      </c>
      <c r="I202" s="21" t="s">
        <v>24</v>
      </c>
      <c r="J202" s="17" t="s">
        <v>25</v>
      </c>
      <c r="K202" s="17" t="s">
        <v>26</v>
      </c>
      <c r="L202" s="17" t="s">
        <v>27</v>
      </c>
      <c r="M202" s="19" t="s">
        <v>28</v>
      </c>
      <c r="N202" s="17"/>
      <c r="O202" s="24" t="s">
        <v>357</v>
      </c>
      <c r="P202" s="20"/>
      <c r="Q202" s="31">
        <f t="shared" si="11"/>
        <v>1</v>
      </c>
      <c r="R202" s="32" t="str">
        <f t="shared" si="12"/>
        <v>P00.239</v>
      </c>
    </row>
    <row r="203" spans="1:18">
      <c r="A203" s="18"/>
      <c r="B203" s="18"/>
      <c r="C203" s="47"/>
      <c r="D203" s="17">
        <f>INDEX(D:D,ROW()-1)+_xlfn.IFS(INDEX(E:E,ROW()-1)="u16",1,INDEX(E:E,ROW()-1)="s16",1,INDEX(E:E,ROW()-1)="s32",2,INDEX(E:E,ROW()-1)="s64",4,INDEX(E:E,ROW()-1)="u16",1,INDEX(E:E,ROW()-1)="u32",2,INDEX(E:E,ROW()-1)="u64",4,INDEX(E:E,ROW()-1)="f32",2,INDEX(E:E,ROW()-1)="f64",4)</f>
        <v>241</v>
      </c>
      <c r="E203" s="19" t="s">
        <v>20</v>
      </c>
      <c r="F203" s="22" t="s">
        <v>358</v>
      </c>
      <c r="G203" s="21" t="s">
        <v>23</v>
      </c>
      <c r="H203" s="21" t="s">
        <v>23</v>
      </c>
      <c r="I203" s="21" t="s">
        <v>24</v>
      </c>
      <c r="J203" s="17" t="s">
        <v>25</v>
      </c>
      <c r="K203" s="17" t="s">
        <v>26</v>
      </c>
      <c r="L203" s="17" t="s">
        <v>27</v>
      </c>
      <c r="M203" s="19" t="s">
        <v>28</v>
      </c>
      <c r="N203" s="17"/>
      <c r="O203" s="24" t="s">
        <v>359</v>
      </c>
      <c r="P203" s="20"/>
      <c r="Q203" s="31">
        <f t="shared" si="11"/>
        <v>1</v>
      </c>
      <c r="R203" s="32" t="str">
        <f t="shared" si="12"/>
        <v>P00.241</v>
      </c>
    </row>
    <row r="204" spans="1:18">
      <c r="A204" s="18"/>
      <c r="B204" s="18"/>
      <c r="C204" s="47"/>
      <c r="D204" s="17">
        <f>INDEX(D:D,ROW()-1)+_xlfn.IFS(INDEX(E:E,ROW()-1)="u16",1,INDEX(E:E,ROW()-1)="s16",1,INDEX(E:E,ROW()-1)="s32",2,INDEX(E:E,ROW()-1)="s64",4,INDEX(E:E,ROW()-1)="u16",1,INDEX(E:E,ROW()-1)="u32",2,INDEX(E:E,ROW()-1)="u64",4,INDEX(E:E,ROW()-1)="f32",2,INDEX(E:E,ROW()-1)="f64",4)</f>
        <v>243</v>
      </c>
      <c r="E204" s="19" t="s">
        <v>20</v>
      </c>
      <c r="F204" s="22" t="s">
        <v>360</v>
      </c>
      <c r="G204" s="21" t="s">
        <v>23</v>
      </c>
      <c r="H204" s="21" t="s">
        <v>23</v>
      </c>
      <c r="I204" s="21" t="s">
        <v>24</v>
      </c>
      <c r="J204" s="17" t="s">
        <v>25</v>
      </c>
      <c r="K204" s="17" t="s">
        <v>26</v>
      </c>
      <c r="L204" s="17" t="s">
        <v>27</v>
      </c>
      <c r="M204" s="19" t="s">
        <v>28</v>
      </c>
      <c r="N204" s="17"/>
      <c r="O204" s="24" t="s">
        <v>361</v>
      </c>
      <c r="P204" s="20"/>
      <c r="Q204" s="31">
        <f t="shared" si="11"/>
        <v>1</v>
      </c>
      <c r="R204" s="32" t="str">
        <f t="shared" si="12"/>
        <v>P00.243</v>
      </c>
    </row>
    <row r="205" spans="1:18">
      <c r="A205" s="18"/>
      <c r="B205" s="18"/>
      <c r="C205" s="47"/>
      <c r="D205" s="17">
        <f>INDEX(D:D,ROW()-1)+_xlfn.IFS(INDEX(E:E,ROW()-1)="u16",1,INDEX(E:E,ROW()-1)="s16",1,INDEX(E:E,ROW()-1)="s32",2,INDEX(E:E,ROW()-1)="s64",4,INDEX(E:E,ROW()-1)="u16",1,INDEX(E:E,ROW()-1)="u32",2,INDEX(E:E,ROW()-1)="u64",4,INDEX(E:E,ROW()-1)="f32",2,INDEX(E:E,ROW()-1)="f64",4)</f>
        <v>245</v>
      </c>
      <c r="E205" s="19" t="s">
        <v>20</v>
      </c>
      <c r="F205" s="22" t="s">
        <v>362</v>
      </c>
      <c r="G205" s="21" t="s">
        <v>23</v>
      </c>
      <c r="H205" s="21" t="s">
        <v>23</v>
      </c>
      <c r="I205" s="21" t="s">
        <v>24</v>
      </c>
      <c r="J205" s="17" t="s">
        <v>25</v>
      </c>
      <c r="K205" s="17" t="s">
        <v>26</v>
      </c>
      <c r="L205" s="17" t="s">
        <v>27</v>
      </c>
      <c r="M205" s="19" t="s">
        <v>28</v>
      </c>
      <c r="N205" s="17"/>
      <c r="O205" s="24" t="s">
        <v>363</v>
      </c>
      <c r="P205" s="20"/>
      <c r="Q205" s="31">
        <f t="shared" si="11"/>
        <v>1</v>
      </c>
      <c r="R205" s="32" t="str">
        <f t="shared" si="12"/>
        <v>P00.245</v>
      </c>
    </row>
    <row r="206" spans="1:18">
      <c r="A206" s="18"/>
      <c r="B206" s="18"/>
      <c r="C206" s="47"/>
      <c r="D206" s="17">
        <f>INDEX(D:D,ROW()-1)+_xlfn.IFS(INDEX(E:E,ROW()-1)="u16",1,INDEX(E:E,ROW()-1)="s16",1,INDEX(E:E,ROW()-1)="s32",2,INDEX(E:E,ROW()-1)="s64",4,INDEX(E:E,ROW()-1)="u16",1,INDEX(E:E,ROW()-1)="u32",2,INDEX(E:E,ROW()-1)="u64",4,INDEX(E:E,ROW()-1)="f32",2,INDEX(E:E,ROW()-1)="f64",4)</f>
        <v>247</v>
      </c>
      <c r="E206" s="19" t="s">
        <v>20</v>
      </c>
      <c r="F206" s="22" t="s">
        <v>364</v>
      </c>
      <c r="G206" s="21" t="s">
        <v>23</v>
      </c>
      <c r="H206" s="21" t="s">
        <v>23</v>
      </c>
      <c r="I206" s="21" t="s">
        <v>24</v>
      </c>
      <c r="J206" s="17" t="s">
        <v>25</v>
      </c>
      <c r="K206" s="17" t="s">
        <v>26</v>
      </c>
      <c r="L206" s="17" t="s">
        <v>27</v>
      </c>
      <c r="M206" s="19" t="s">
        <v>28</v>
      </c>
      <c r="N206" s="17"/>
      <c r="O206" s="24" t="s">
        <v>365</v>
      </c>
      <c r="P206" s="20"/>
      <c r="Q206" s="31">
        <f t="shared" si="11"/>
        <v>1</v>
      </c>
      <c r="R206" s="32" t="str">
        <f t="shared" si="12"/>
        <v>P00.247</v>
      </c>
    </row>
    <row r="207" spans="1:18">
      <c r="A207" s="18"/>
      <c r="B207" s="18"/>
      <c r="C207" s="47"/>
      <c r="D207" s="17">
        <f>INDEX(D:D,ROW()-1)+_xlfn.IFS(INDEX(E:E,ROW()-1)="u16",1,INDEX(E:E,ROW()-1)="s16",1,INDEX(E:E,ROW()-1)="s32",2,INDEX(E:E,ROW()-1)="s64",4,INDEX(E:E,ROW()-1)="u16",1,INDEX(E:E,ROW()-1)="u32",2,INDEX(E:E,ROW()-1)="u64",4,INDEX(E:E,ROW()-1)="f32",2,INDEX(E:E,ROW()-1)="f64",4)</f>
        <v>249</v>
      </c>
      <c r="E207" s="19" t="s">
        <v>20</v>
      </c>
      <c r="F207" s="22" t="s">
        <v>366</v>
      </c>
      <c r="G207" s="21" t="s">
        <v>23</v>
      </c>
      <c r="H207" s="21" t="s">
        <v>23</v>
      </c>
      <c r="I207" s="21" t="s">
        <v>24</v>
      </c>
      <c r="J207" s="17" t="s">
        <v>25</v>
      </c>
      <c r="K207" s="17" t="s">
        <v>26</v>
      </c>
      <c r="L207" s="17" t="s">
        <v>27</v>
      </c>
      <c r="M207" s="19" t="s">
        <v>28</v>
      </c>
      <c r="N207" s="17"/>
      <c r="O207" s="24" t="s">
        <v>367</v>
      </c>
      <c r="P207" s="20"/>
      <c r="Q207" s="31">
        <f t="shared" si="11"/>
        <v>1</v>
      </c>
      <c r="R207" s="32" t="str">
        <f t="shared" si="12"/>
        <v>P00.249</v>
      </c>
    </row>
    <row r="208" spans="1:18">
      <c r="A208" s="18"/>
      <c r="B208" s="18"/>
      <c r="C208" s="47"/>
      <c r="D208" s="17">
        <f>INDEX(D:D,ROW()-1)+_xlfn.IFS(INDEX(E:E,ROW()-1)="u16",1,INDEX(E:E,ROW()-1)="s16",1,INDEX(E:E,ROW()-1)="s32",2,INDEX(E:E,ROW()-1)="s64",4,INDEX(E:E,ROW()-1)="u16",1,INDEX(E:E,ROW()-1)="u32",2,INDEX(E:E,ROW()-1)="u64",4,INDEX(E:E,ROW()-1)="f32",2,INDEX(E:E,ROW()-1)="f64",4)</f>
        <v>251</v>
      </c>
      <c r="E208" s="19" t="s">
        <v>20</v>
      </c>
      <c r="F208" s="22" t="s">
        <v>368</v>
      </c>
      <c r="G208" s="21" t="s">
        <v>23</v>
      </c>
      <c r="H208" s="21" t="s">
        <v>23</v>
      </c>
      <c r="I208" s="21" t="s">
        <v>24</v>
      </c>
      <c r="J208" s="17" t="s">
        <v>25</v>
      </c>
      <c r="K208" s="17" t="s">
        <v>26</v>
      </c>
      <c r="L208" s="17" t="s">
        <v>27</v>
      </c>
      <c r="M208" s="19" t="s">
        <v>28</v>
      </c>
      <c r="N208" s="17"/>
      <c r="O208" s="24" t="s">
        <v>369</v>
      </c>
      <c r="P208" s="20"/>
      <c r="Q208" s="31">
        <f t="shared" si="11"/>
        <v>1</v>
      </c>
      <c r="R208" s="32" t="str">
        <f t="shared" si="12"/>
        <v>P00.251</v>
      </c>
    </row>
    <row r="209" spans="1:18">
      <c r="A209" s="18"/>
      <c r="B209" s="18"/>
      <c r="C209" s="47"/>
      <c r="D209" s="17">
        <f>INDEX(D:D,ROW()-1)+_xlfn.IFS(INDEX(E:E,ROW()-1)="u16",1,INDEX(E:E,ROW()-1)="s16",1,INDEX(E:E,ROW()-1)="s32",2,INDEX(E:E,ROW()-1)="s64",4,INDEX(E:E,ROW()-1)="u16",1,INDEX(E:E,ROW()-1)="u32",2,INDEX(E:E,ROW()-1)="u64",4,INDEX(E:E,ROW()-1)="f32",2,INDEX(E:E,ROW()-1)="f64",4)</f>
        <v>253</v>
      </c>
      <c r="E209" s="19" t="s">
        <v>20</v>
      </c>
      <c r="F209" s="22" t="s">
        <v>370</v>
      </c>
      <c r="G209" s="21" t="s">
        <v>23</v>
      </c>
      <c r="H209" s="21" t="s">
        <v>23</v>
      </c>
      <c r="I209" s="21" t="s">
        <v>24</v>
      </c>
      <c r="J209" s="17" t="s">
        <v>25</v>
      </c>
      <c r="K209" s="17" t="s">
        <v>26</v>
      </c>
      <c r="L209" s="17" t="s">
        <v>27</v>
      </c>
      <c r="M209" s="19" t="s">
        <v>28</v>
      </c>
      <c r="N209" s="17"/>
      <c r="O209" s="24" t="s">
        <v>371</v>
      </c>
      <c r="P209" s="20"/>
      <c r="Q209" s="31">
        <f t="shared" si="11"/>
        <v>1</v>
      </c>
      <c r="R209" s="32" t="str">
        <f t="shared" si="12"/>
        <v>P00.253</v>
      </c>
    </row>
    <row r="210" spans="1:18">
      <c r="A210" s="18"/>
      <c r="B210" s="18"/>
      <c r="C210" s="47"/>
      <c r="D210" s="17">
        <f>INDEX(D:D,ROW()-1)+_xlfn.IFS(INDEX(E:E,ROW()-1)="u16",1,INDEX(E:E,ROW()-1)="s16",1,INDEX(E:E,ROW()-1)="s32",2,INDEX(E:E,ROW()-1)="s64",4,INDEX(E:E,ROW()-1)="u16",1,INDEX(E:E,ROW()-1)="u32",2,INDEX(E:E,ROW()-1)="u64",4,INDEX(E:E,ROW()-1)="f32",2,INDEX(E:E,ROW()-1)="f64",4)</f>
        <v>255</v>
      </c>
      <c r="E210" s="19" t="s">
        <v>20</v>
      </c>
      <c r="F210" s="22" t="s">
        <v>372</v>
      </c>
      <c r="G210" s="21" t="s">
        <v>23</v>
      </c>
      <c r="H210" s="21" t="s">
        <v>23</v>
      </c>
      <c r="I210" s="21" t="s">
        <v>24</v>
      </c>
      <c r="J210" s="17" t="s">
        <v>25</v>
      </c>
      <c r="K210" s="17" t="s">
        <v>26</v>
      </c>
      <c r="L210" s="17" t="s">
        <v>27</v>
      </c>
      <c r="M210" s="19" t="s">
        <v>28</v>
      </c>
      <c r="N210" s="17"/>
      <c r="O210" s="24" t="s">
        <v>373</v>
      </c>
      <c r="P210" s="20"/>
      <c r="Q210" s="31">
        <f t="shared" si="11"/>
        <v>1</v>
      </c>
      <c r="R210" s="32" t="str">
        <f t="shared" si="12"/>
        <v>P00.255</v>
      </c>
    </row>
    <row r="211" spans="1:18">
      <c r="A211" s="18"/>
      <c r="B211" s="18"/>
      <c r="C211" s="47"/>
      <c r="D211" s="17">
        <f>INDEX(D:D,ROW()-1)+_xlfn.IFS(INDEX(E:E,ROW()-1)="u16",1,INDEX(E:E,ROW()-1)="s16",1,INDEX(E:E,ROW()-1)="s32",2,INDEX(E:E,ROW()-1)="s64",4,INDEX(E:E,ROW()-1)="u16",1,INDEX(E:E,ROW()-1)="u32",2,INDEX(E:E,ROW()-1)="u64",4,INDEX(E:E,ROW()-1)="f32",2,INDEX(E:E,ROW()-1)="f64",4)</f>
        <v>257</v>
      </c>
      <c r="E211" s="19" t="s">
        <v>20</v>
      </c>
      <c r="F211" s="22" t="s">
        <v>374</v>
      </c>
      <c r="G211" s="21" t="s">
        <v>23</v>
      </c>
      <c r="H211" s="21" t="s">
        <v>23</v>
      </c>
      <c r="I211" s="21" t="s">
        <v>24</v>
      </c>
      <c r="J211" s="17" t="s">
        <v>25</v>
      </c>
      <c r="K211" s="17" t="s">
        <v>26</v>
      </c>
      <c r="L211" s="17" t="s">
        <v>27</v>
      </c>
      <c r="M211" s="19" t="s">
        <v>28</v>
      </c>
      <c r="N211" s="17"/>
      <c r="O211" s="24" t="s">
        <v>375</v>
      </c>
      <c r="P211" s="20"/>
      <c r="Q211" s="31">
        <f t="shared" si="11"/>
        <v>1</v>
      </c>
      <c r="R211" s="32" t="str">
        <f t="shared" si="12"/>
        <v>P01.001</v>
      </c>
    </row>
    <row r="212" spans="1:18">
      <c r="A212" s="18"/>
      <c r="B212" s="18"/>
      <c r="C212" s="47"/>
      <c r="D212" s="17">
        <f>INDEX(D:D,ROW()-1)+_xlfn.IFS(INDEX(E:E,ROW()-1)="u16",1,INDEX(E:E,ROW()-1)="s16",1,INDEX(E:E,ROW()-1)="s32",2,INDEX(E:E,ROW()-1)="s64",4,INDEX(E:E,ROW()-1)="u16",1,INDEX(E:E,ROW()-1)="u32",2,INDEX(E:E,ROW()-1)="u64",4,INDEX(E:E,ROW()-1)="f32",2,INDEX(E:E,ROW()-1)="f64",4)</f>
        <v>259</v>
      </c>
      <c r="E212" s="19" t="s">
        <v>20</v>
      </c>
      <c r="F212" s="22" t="s">
        <v>376</v>
      </c>
      <c r="G212" s="21" t="s">
        <v>23</v>
      </c>
      <c r="H212" s="21" t="s">
        <v>23</v>
      </c>
      <c r="I212" s="21" t="s">
        <v>24</v>
      </c>
      <c r="J212" s="17" t="s">
        <v>25</v>
      </c>
      <c r="K212" s="17" t="s">
        <v>26</v>
      </c>
      <c r="L212" s="17" t="s">
        <v>27</v>
      </c>
      <c r="M212" s="19" t="s">
        <v>28</v>
      </c>
      <c r="N212" s="17"/>
      <c r="O212" s="24" t="s">
        <v>377</v>
      </c>
      <c r="P212" s="20"/>
      <c r="Q212" s="31">
        <f t="shared" si="11"/>
        <v>1</v>
      </c>
      <c r="R212" s="32" t="str">
        <f t="shared" si="12"/>
        <v>P01.003</v>
      </c>
    </row>
    <row r="213" spans="1:18">
      <c r="A213" s="18"/>
      <c r="B213" s="18"/>
      <c r="C213" s="47"/>
      <c r="D213" s="17">
        <f>INDEX(D:D,ROW()-1)+_xlfn.IFS(INDEX(E:E,ROW()-1)="u16",1,INDEX(E:E,ROW()-1)="s16",1,INDEX(E:E,ROW()-1)="s32",2,INDEX(E:E,ROW()-1)="s64",4,INDEX(E:E,ROW()-1)="u16",1,INDEX(E:E,ROW()-1)="u32",2,INDEX(E:E,ROW()-1)="u64",4,INDEX(E:E,ROW()-1)="f32",2,INDEX(E:E,ROW()-1)="f64",4)</f>
        <v>261</v>
      </c>
      <c r="E213" s="19" t="s">
        <v>20</v>
      </c>
      <c r="F213" s="22" t="s">
        <v>378</v>
      </c>
      <c r="G213" s="21" t="s">
        <v>23</v>
      </c>
      <c r="H213" s="21" t="s">
        <v>23</v>
      </c>
      <c r="I213" s="21" t="s">
        <v>24</v>
      </c>
      <c r="J213" s="17" t="s">
        <v>25</v>
      </c>
      <c r="K213" s="17" t="s">
        <v>26</v>
      </c>
      <c r="L213" s="17" t="s">
        <v>27</v>
      </c>
      <c r="M213" s="19" t="s">
        <v>28</v>
      </c>
      <c r="N213" s="17"/>
      <c r="O213" s="24" t="s">
        <v>379</v>
      </c>
      <c r="P213" s="20"/>
      <c r="Q213" s="31">
        <f t="shared" si="11"/>
        <v>1</v>
      </c>
      <c r="R213" s="32" t="str">
        <f t="shared" si="12"/>
        <v>P01.005</v>
      </c>
    </row>
    <row r="214" spans="1:18">
      <c r="A214" s="18"/>
      <c r="B214" s="18"/>
      <c r="C214" s="47"/>
      <c r="D214" s="17">
        <f>INDEX(D:D,ROW()-1)+_xlfn.IFS(INDEX(E:E,ROW()-1)="u16",1,INDEX(E:E,ROW()-1)="s16",1,INDEX(E:E,ROW()-1)="s32",2,INDEX(E:E,ROW()-1)="s64",4,INDEX(E:E,ROW()-1)="u16",1,INDEX(E:E,ROW()-1)="u32",2,INDEX(E:E,ROW()-1)="u64",4,INDEX(E:E,ROW()-1)="f32",2,INDEX(E:E,ROW()-1)="f64",4)</f>
        <v>263</v>
      </c>
      <c r="E214" s="19" t="s">
        <v>20</v>
      </c>
      <c r="F214" s="22" t="s">
        <v>380</v>
      </c>
      <c r="G214" s="21" t="s">
        <v>23</v>
      </c>
      <c r="H214" s="21" t="s">
        <v>23</v>
      </c>
      <c r="I214" s="21" t="s">
        <v>24</v>
      </c>
      <c r="J214" s="17" t="s">
        <v>25</v>
      </c>
      <c r="K214" s="17" t="s">
        <v>26</v>
      </c>
      <c r="L214" s="17" t="s">
        <v>27</v>
      </c>
      <c r="M214" s="19" t="s">
        <v>28</v>
      </c>
      <c r="N214" s="17"/>
      <c r="O214" s="24" t="s">
        <v>381</v>
      </c>
      <c r="P214" s="20"/>
      <c r="Q214" s="31">
        <f t="shared" si="11"/>
        <v>1</v>
      </c>
      <c r="R214" s="32" t="str">
        <f t="shared" si="12"/>
        <v>P01.007</v>
      </c>
    </row>
    <row r="215" spans="1:18">
      <c r="A215" s="18"/>
      <c r="B215" s="18"/>
      <c r="C215" s="47"/>
      <c r="D215" s="17">
        <f t="shared" ref="D215:D247" si="13">INDEX(D:D,ROW()-1)+_xlfn.IFS(INDEX(E:E,ROW()-1)="u16",1,INDEX(E:E,ROW()-1)="s16",1,INDEX(E:E,ROW()-1)="s32",2,INDEX(E:E,ROW()-1)="s64",4,INDEX(E:E,ROW()-1)="u16",1,INDEX(E:E,ROW()-1)="u32",2,INDEX(E:E,ROW()-1)="u64",4,INDEX(E:E,ROW()-1)="f32",2,INDEX(E:E,ROW()-1)="f64",4)</f>
        <v>265</v>
      </c>
      <c r="E215" s="19" t="s">
        <v>20</v>
      </c>
      <c r="F215" s="22" t="s">
        <v>382</v>
      </c>
      <c r="G215" s="21" t="s">
        <v>23</v>
      </c>
      <c r="H215" s="21" t="s">
        <v>23</v>
      </c>
      <c r="I215" s="21" t="s">
        <v>24</v>
      </c>
      <c r="J215" s="17" t="s">
        <v>25</v>
      </c>
      <c r="K215" s="17" t="s">
        <v>26</v>
      </c>
      <c r="L215" s="17" t="s">
        <v>27</v>
      </c>
      <c r="M215" s="19" t="s">
        <v>28</v>
      </c>
      <c r="N215" s="17"/>
      <c r="O215" s="24" t="s">
        <v>383</v>
      </c>
      <c r="P215" s="20"/>
      <c r="Q215" s="31">
        <f t="shared" ref="Q215:Q246" si="14">IF(OR(F215="",LEFT(TRIM(F215),3)=E215),1,0)</f>
        <v>1</v>
      </c>
      <c r="R215" s="32" t="str">
        <f t="shared" ref="R215:R246" si="15">"P"&amp;TEXT(INT(D215/256),"00")&amp;"."&amp;TEXT(MOD(D215,256),"000")</f>
        <v>P01.009</v>
      </c>
    </row>
    <row r="216" spans="1:18">
      <c r="A216" s="18"/>
      <c r="B216" s="18"/>
      <c r="C216" s="47"/>
      <c r="D216" s="17">
        <f t="shared" si="13"/>
        <v>267</v>
      </c>
      <c r="E216" s="19" t="s">
        <v>20</v>
      </c>
      <c r="F216" s="22" t="s">
        <v>384</v>
      </c>
      <c r="G216" s="21" t="s">
        <v>23</v>
      </c>
      <c r="H216" s="21" t="s">
        <v>23</v>
      </c>
      <c r="I216" s="21" t="s">
        <v>24</v>
      </c>
      <c r="J216" s="17" t="s">
        <v>25</v>
      </c>
      <c r="K216" s="17" t="s">
        <v>26</v>
      </c>
      <c r="L216" s="17" t="s">
        <v>27</v>
      </c>
      <c r="M216" s="19" t="s">
        <v>28</v>
      </c>
      <c r="N216" s="17"/>
      <c r="O216" s="24" t="s">
        <v>385</v>
      </c>
      <c r="P216" s="20"/>
      <c r="Q216" s="31">
        <f t="shared" si="14"/>
        <v>1</v>
      </c>
      <c r="R216" s="32" t="str">
        <f t="shared" si="15"/>
        <v>P01.011</v>
      </c>
    </row>
    <row r="217" spans="1:18">
      <c r="A217" s="18"/>
      <c r="B217" s="18"/>
      <c r="C217" s="47"/>
      <c r="D217" s="17">
        <f t="shared" si="13"/>
        <v>269</v>
      </c>
      <c r="E217" s="19" t="s">
        <v>29</v>
      </c>
      <c r="F217" s="20"/>
      <c r="G217" s="21" t="s">
        <v>23</v>
      </c>
      <c r="H217" s="21" t="s">
        <v>23</v>
      </c>
      <c r="I217" s="21" t="s">
        <v>30</v>
      </c>
      <c r="J217" s="17" t="s">
        <v>25</v>
      </c>
      <c r="K217" s="17" t="s">
        <v>26</v>
      </c>
      <c r="L217" s="17" t="s">
        <v>32</v>
      </c>
      <c r="M217" s="19" t="s">
        <v>28</v>
      </c>
      <c r="N217" s="17"/>
      <c r="O217" s="20"/>
      <c r="P217" s="20"/>
      <c r="Q217" s="31">
        <f t="shared" si="14"/>
        <v>1</v>
      </c>
      <c r="R217" s="32" t="str">
        <f t="shared" si="15"/>
        <v>P01.013</v>
      </c>
    </row>
    <row r="218" spans="1:18">
      <c r="A218" s="18"/>
      <c r="B218" s="18"/>
      <c r="C218" s="47"/>
      <c r="D218" s="17">
        <f t="shared" si="13"/>
        <v>270</v>
      </c>
      <c r="E218" s="19" t="s">
        <v>29</v>
      </c>
      <c r="F218" s="20"/>
      <c r="G218" s="21" t="s">
        <v>23</v>
      </c>
      <c r="H218" s="21" t="s">
        <v>23</v>
      </c>
      <c r="I218" s="21" t="s">
        <v>30</v>
      </c>
      <c r="J218" s="17" t="s">
        <v>25</v>
      </c>
      <c r="K218" s="17" t="s">
        <v>26</v>
      </c>
      <c r="L218" s="17" t="s">
        <v>32</v>
      </c>
      <c r="M218" s="19" t="s">
        <v>28</v>
      </c>
      <c r="N218" s="17"/>
      <c r="O218" s="20"/>
      <c r="P218" s="20"/>
      <c r="Q218" s="31">
        <f t="shared" si="14"/>
        <v>1</v>
      </c>
      <c r="R218" s="32" t="str">
        <f t="shared" si="15"/>
        <v>P01.014</v>
      </c>
    </row>
    <row r="219" spans="1:18">
      <c r="A219" s="18"/>
      <c r="B219" s="18"/>
      <c r="C219" s="47"/>
      <c r="D219" s="17">
        <f t="shared" si="13"/>
        <v>271</v>
      </c>
      <c r="E219" s="19" t="s">
        <v>29</v>
      </c>
      <c r="F219" s="20"/>
      <c r="G219" s="21" t="s">
        <v>23</v>
      </c>
      <c r="H219" s="21" t="s">
        <v>23</v>
      </c>
      <c r="I219" s="21" t="s">
        <v>30</v>
      </c>
      <c r="J219" s="17" t="s">
        <v>25</v>
      </c>
      <c r="K219" s="17" t="s">
        <v>26</v>
      </c>
      <c r="L219" s="17" t="s">
        <v>32</v>
      </c>
      <c r="M219" s="19" t="s">
        <v>28</v>
      </c>
      <c r="N219" s="17"/>
      <c r="O219" s="20"/>
      <c r="P219" s="20"/>
      <c r="Q219" s="31">
        <f t="shared" si="14"/>
        <v>1</v>
      </c>
      <c r="R219" s="32" t="str">
        <f t="shared" si="15"/>
        <v>P01.015</v>
      </c>
    </row>
    <row r="220" spans="1:18">
      <c r="A220" s="18"/>
      <c r="B220" s="18"/>
      <c r="C220" s="47"/>
      <c r="D220" s="17">
        <f t="shared" si="13"/>
        <v>272</v>
      </c>
      <c r="E220" s="19" t="s">
        <v>29</v>
      </c>
      <c r="F220" s="20"/>
      <c r="G220" s="21" t="s">
        <v>23</v>
      </c>
      <c r="H220" s="21" t="s">
        <v>23</v>
      </c>
      <c r="I220" s="21" t="s">
        <v>30</v>
      </c>
      <c r="J220" s="17" t="s">
        <v>25</v>
      </c>
      <c r="K220" s="17" t="s">
        <v>26</v>
      </c>
      <c r="L220" s="17" t="s">
        <v>32</v>
      </c>
      <c r="M220" s="19" t="s">
        <v>28</v>
      </c>
      <c r="N220" s="17"/>
      <c r="O220" s="20"/>
      <c r="P220" s="20"/>
      <c r="Q220" s="31">
        <f t="shared" si="14"/>
        <v>1</v>
      </c>
      <c r="R220" s="32" t="str">
        <f t="shared" si="15"/>
        <v>P01.016</v>
      </c>
    </row>
    <row r="221" spans="1:18">
      <c r="A221" s="18"/>
      <c r="B221" s="18"/>
      <c r="C221" s="47"/>
      <c r="D221" s="17">
        <f t="shared" si="13"/>
        <v>273</v>
      </c>
      <c r="E221" s="19" t="s">
        <v>29</v>
      </c>
      <c r="F221" s="20"/>
      <c r="G221" s="21" t="s">
        <v>23</v>
      </c>
      <c r="H221" s="21" t="s">
        <v>23</v>
      </c>
      <c r="I221" s="21" t="s">
        <v>30</v>
      </c>
      <c r="J221" s="17" t="s">
        <v>25</v>
      </c>
      <c r="K221" s="17" t="s">
        <v>26</v>
      </c>
      <c r="L221" s="17" t="s">
        <v>32</v>
      </c>
      <c r="M221" s="19" t="s">
        <v>28</v>
      </c>
      <c r="N221" s="17"/>
      <c r="O221" s="20"/>
      <c r="P221" s="20"/>
      <c r="Q221" s="31">
        <f t="shared" si="14"/>
        <v>1</v>
      </c>
      <c r="R221" s="32" t="str">
        <f t="shared" si="15"/>
        <v>P01.017</v>
      </c>
    </row>
    <row r="222" spans="1:18">
      <c r="A222" s="18"/>
      <c r="B222" s="18"/>
      <c r="C222" s="47"/>
      <c r="D222" s="17">
        <f t="shared" si="13"/>
        <v>274</v>
      </c>
      <c r="E222" s="19" t="s">
        <v>29</v>
      </c>
      <c r="F222" s="20"/>
      <c r="G222" s="21" t="s">
        <v>23</v>
      </c>
      <c r="H222" s="21" t="s">
        <v>23</v>
      </c>
      <c r="I222" s="21" t="s">
        <v>30</v>
      </c>
      <c r="J222" s="17" t="s">
        <v>25</v>
      </c>
      <c r="K222" s="17" t="s">
        <v>26</v>
      </c>
      <c r="L222" s="17" t="s">
        <v>32</v>
      </c>
      <c r="M222" s="19" t="s">
        <v>28</v>
      </c>
      <c r="N222" s="17"/>
      <c r="O222" s="20"/>
      <c r="P222" s="20"/>
      <c r="Q222" s="31">
        <f t="shared" si="14"/>
        <v>1</v>
      </c>
      <c r="R222" s="32" t="str">
        <f t="shared" si="15"/>
        <v>P01.018</v>
      </c>
    </row>
    <row r="223" spans="1:18">
      <c r="A223" s="18"/>
      <c r="B223" s="18"/>
      <c r="C223" s="47"/>
      <c r="D223" s="17">
        <f t="shared" si="13"/>
        <v>275</v>
      </c>
      <c r="E223" s="19" t="s">
        <v>29</v>
      </c>
      <c r="F223" s="20"/>
      <c r="G223" s="21" t="s">
        <v>23</v>
      </c>
      <c r="H223" s="21" t="s">
        <v>23</v>
      </c>
      <c r="I223" s="21" t="s">
        <v>30</v>
      </c>
      <c r="J223" s="17" t="s">
        <v>25</v>
      </c>
      <c r="K223" s="17" t="s">
        <v>26</v>
      </c>
      <c r="L223" s="17" t="s">
        <v>32</v>
      </c>
      <c r="M223" s="19" t="s">
        <v>28</v>
      </c>
      <c r="N223" s="17"/>
      <c r="O223" s="20"/>
      <c r="P223" s="20"/>
      <c r="Q223" s="31">
        <f t="shared" si="14"/>
        <v>1</v>
      </c>
      <c r="R223" s="32" t="str">
        <f t="shared" si="15"/>
        <v>P01.019</v>
      </c>
    </row>
    <row r="224" spans="1:18">
      <c r="A224" s="18"/>
      <c r="B224" s="18"/>
      <c r="C224" s="47"/>
      <c r="D224" s="17">
        <f t="shared" si="13"/>
        <v>276</v>
      </c>
      <c r="E224" s="19" t="s">
        <v>29</v>
      </c>
      <c r="F224" s="20"/>
      <c r="G224" s="21" t="s">
        <v>23</v>
      </c>
      <c r="H224" s="21" t="s">
        <v>23</v>
      </c>
      <c r="I224" s="21" t="s">
        <v>30</v>
      </c>
      <c r="J224" s="17" t="s">
        <v>25</v>
      </c>
      <c r="K224" s="17" t="s">
        <v>26</v>
      </c>
      <c r="L224" s="17" t="s">
        <v>32</v>
      </c>
      <c r="M224" s="19" t="s">
        <v>28</v>
      </c>
      <c r="N224" s="17"/>
      <c r="O224" s="20"/>
      <c r="P224" s="20"/>
      <c r="Q224" s="31">
        <f t="shared" si="14"/>
        <v>1</v>
      </c>
      <c r="R224" s="32" t="str">
        <f t="shared" si="15"/>
        <v>P01.020</v>
      </c>
    </row>
    <row r="225" spans="1:18">
      <c r="A225" s="18"/>
      <c r="B225" s="18"/>
      <c r="C225" s="47"/>
      <c r="D225" s="17">
        <f t="shared" si="13"/>
        <v>277</v>
      </c>
      <c r="E225" s="19" t="s">
        <v>29</v>
      </c>
      <c r="F225" s="20"/>
      <c r="G225" s="21" t="s">
        <v>23</v>
      </c>
      <c r="H225" s="21" t="s">
        <v>23</v>
      </c>
      <c r="I225" s="21" t="s">
        <v>30</v>
      </c>
      <c r="J225" s="17" t="s">
        <v>25</v>
      </c>
      <c r="K225" s="17" t="s">
        <v>26</v>
      </c>
      <c r="L225" s="17" t="s">
        <v>32</v>
      </c>
      <c r="M225" s="19" t="s">
        <v>28</v>
      </c>
      <c r="N225" s="17"/>
      <c r="O225" s="20"/>
      <c r="P225" s="20"/>
      <c r="Q225" s="31">
        <f t="shared" si="14"/>
        <v>1</v>
      </c>
      <c r="R225" s="32" t="str">
        <f t="shared" si="15"/>
        <v>P01.021</v>
      </c>
    </row>
    <row r="226" spans="1:18">
      <c r="A226" s="18"/>
      <c r="B226" s="18"/>
      <c r="C226" s="47"/>
      <c r="D226" s="17">
        <f t="shared" si="13"/>
        <v>278</v>
      </c>
      <c r="E226" s="19" t="s">
        <v>29</v>
      </c>
      <c r="F226" s="20"/>
      <c r="G226" s="21" t="s">
        <v>23</v>
      </c>
      <c r="H226" s="21" t="s">
        <v>23</v>
      </c>
      <c r="I226" s="21" t="s">
        <v>30</v>
      </c>
      <c r="J226" s="17" t="s">
        <v>25</v>
      </c>
      <c r="K226" s="17" t="s">
        <v>26</v>
      </c>
      <c r="L226" s="17" t="s">
        <v>32</v>
      </c>
      <c r="M226" s="19" t="s">
        <v>28</v>
      </c>
      <c r="N226" s="17"/>
      <c r="O226" s="20"/>
      <c r="P226" s="20"/>
      <c r="Q226" s="31">
        <f t="shared" si="14"/>
        <v>1</v>
      </c>
      <c r="R226" s="32" t="str">
        <f t="shared" si="15"/>
        <v>P01.022</v>
      </c>
    </row>
    <row r="227" spans="1:18">
      <c r="A227" s="18"/>
      <c r="B227" s="18"/>
      <c r="C227" s="47"/>
      <c r="D227" s="17">
        <f t="shared" si="13"/>
        <v>279</v>
      </c>
      <c r="E227" s="19" t="s">
        <v>29</v>
      </c>
      <c r="F227" s="20"/>
      <c r="G227" s="21" t="s">
        <v>23</v>
      </c>
      <c r="H227" s="21" t="s">
        <v>23</v>
      </c>
      <c r="I227" s="21" t="s">
        <v>30</v>
      </c>
      <c r="J227" s="17" t="s">
        <v>25</v>
      </c>
      <c r="K227" s="17" t="s">
        <v>26</v>
      </c>
      <c r="L227" s="17" t="s">
        <v>32</v>
      </c>
      <c r="M227" s="19" t="s">
        <v>28</v>
      </c>
      <c r="N227" s="17"/>
      <c r="O227" s="20"/>
      <c r="P227" s="20"/>
      <c r="Q227" s="31">
        <f t="shared" si="14"/>
        <v>1</v>
      </c>
      <c r="R227" s="32" t="str">
        <f t="shared" si="15"/>
        <v>P01.023</v>
      </c>
    </row>
    <row r="228" spans="1:18">
      <c r="A228" s="18"/>
      <c r="B228" s="18"/>
      <c r="C228" s="47"/>
      <c r="D228" s="17">
        <f t="shared" si="13"/>
        <v>280</v>
      </c>
      <c r="E228" s="19" t="s">
        <v>29</v>
      </c>
      <c r="F228" s="20"/>
      <c r="G228" s="21" t="s">
        <v>23</v>
      </c>
      <c r="H228" s="21" t="s">
        <v>23</v>
      </c>
      <c r="I228" s="21" t="s">
        <v>30</v>
      </c>
      <c r="J228" s="17" t="s">
        <v>25</v>
      </c>
      <c r="K228" s="17" t="s">
        <v>26</v>
      </c>
      <c r="L228" s="17" t="s">
        <v>32</v>
      </c>
      <c r="M228" s="19" t="s">
        <v>28</v>
      </c>
      <c r="N228" s="17"/>
      <c r="O228" s="20"/>
      <c r="P228" s="20"/>
      <c r="Q228" s="31">
        <f t="shared" si="14"/>
        <v>1</v>
      </c>
      <c r="R228" s="32" t="str">
        <f t="shared" si="15"/>
        <v>P01.024</v>
      </c>
    </row>
    <row r="229" spans="1:18">
      <c r="A229" s="18"/>
      <c r="B229" s="18"/>
      <c r="C229" s="47"/>
      <c r="D229" s="17">
        <f t="shared" si="13"/>
        <v>281</v>
      </c>
      <c r="E229" s="19" t="s">
        <v>29</v>
      </c>
      <c r="F229" s="20"/>
      <c r="G229" s="21" t="s">
        <v>23</v>
      </c>
      <c r="H229" s="21" t="s">
        <v>23</v>
      </c>
      <c r="I229" s="21" t="s">
        <v>30</v>
      </c>
      <c r="J229" s="17" t="s">
        <v>25</v>
      </c>
      <c r="K229" s="17" t="s">
        <v>26</v>
      </c>
      <c r="L229" s="17" t="s">
        <v>32</v>
      </c>
      <c r="M229" s="19" t="s">
        <v>28</v>
      </c>
      <c r="N229" s="17"/>
      <c r="O229" s="20"/>
      <c r="P229" s="20"/>
      <c r="Q229" s="31">
        <f t="shared" si="14"/>
        <v>1</v>
      </c>
      <c r="R229" s="32" t="str">
        <f t="shared" si="15"/>
        <v>P01.025</v>
      </c>
    </row>
    <row r="230" spans="1:18">
      <c r="A230" s="17">
        <v>4</v>
      </c>
      <c r="B230" s="46" t="s">
        <v>386</v>
      </c>
      <c r="C230" s="17" t="s">
        <v>387</v>
      </c>
      <c r="D230" s="17">
        <f t="shared" si="13"/>
        <v>282</v>
      </c>
      <c r="E230" s="19" t="s">
        <v>29</v>
      </c>
      <c r="F230" s="20"/>
      <c r="G230" s="21" t="s">
        <v>23</v>
      </c>
      <c r="H230" s="21" t="s">
        <v>23</v>
      </c>
      <c r="I230" s="21" t="s">
        <v>30</v>
      </c>
      <c r="J230" s="17" t="s">
        <v>25</v>
      </c>
      <c r="K230" s="17" t="s">
        <v>26</v>
      </c>
      <c r="L230" s="17" t="s">
        <v>32</v>
      </c>
      <c r="M230" s="19" t="s">
        <v>28</v>
      </c>
      <c r="N230" s="17"/>
      <c r="O230" s="20"/>
      <c r="P230" s="20"/>
      <c r="Q230" s="31">
        <f t="shared" si="14"/>
        <v>1</v>
      </c>
      <c r="R230" s="32" t="str">
        <f t="shared" si="15"/>
        <v>P01.026</v>
      </c>
    </row>
    <row r="231" spans="1:18">
      <c r="A231" s="17"/>
      <c r="B231" s="17"/>
      <c r="C231" s="17"/>
      <c r="D231" s="17">
        <f t="shared" si="13"/>
        <v>283</v>
      </c>
      <c r="E231" s="19" t="s">
        <v>29</v>
      </c>
      <c r="F231" s="20"/>
      <c r="G231" s="21" t="s">
        <v>23</v>
      </c>
      <c r="H231" s="21" t="s">
        <v>23</v>
      </c>
      <c r="I231" s="21" t="s">
        <v>30</v>
      </c>
      <c r="J231" s="17" t="s">
        <v>25</v>
      </c>
      <c r="K231" s="17" t="s">
        <v>26</v>
      </c>
      <c r="L231" s="17" t="s">
        <v>32</v>
      </c>
      <c r="M231" s="19" t="s">
        <v>28</v>
      </c>
      <c r="N231" s="17"/>
      <c r="O231" s="20"/>
      <c r="P231" s="20"/>
      <c r="Q231" s="31">
        <f t="shared" si="14"/>
        <v>1</v>
      </c>
      <c r="R231" s="32" t="str">
        <f t="shared" si="15"/>
        <v>P01.027</v>
      </c>
    </row>
    <row r="232" spans="1:18">
      <c r="A232" s="17"/>
      <c r="B232" s="17"/>
      <c r="C232" s="17"/>
      <c r="D232" s="17">
        <f t="shared" si="13"/>
        <v>284</v>
      </c>
      <c r="E232" s="19" t="s">
        <v>29</v>
      </c>
      <c r="F232" s="20"/>
      <c r="G232" s="21" t="s">
        <v>23</v>
      </c>
      <c r="H232" s="21" t="s">
        <v>23</v>
      </c>
      <c r="I232" s="21" t="s">
        <v>30</v>
      </c>
      <c r="J232" s="17" t="s">
        <v>25</v>
      </c>
      <c r="K232" s="17" t="s">
        <v>26</v>
      </c>
      <c r="L232" s="17" t="s">
        <v>32</v>
      </c>
      <c r="M232" s="19" t="s">
        <v>28</v>
      </c>
      <c r="N232" s="17"/>
      <c r="O232" s="20"/>
      <c r="P232" s="20"/>
      <c r="Q232" s="31">
        <f t="shared" si="14"/>
        <v>1</v>
      </c>
      <c r="R232" s="32" t="str">
        <f t="shared" si="15"/>
        <v>P01.028</v>
      </c>
    </row>
    <row r="233" ht="66" spans="1:18">
      <c r="A233" s="17"/>
      <c r="B233" s="17"/>
      <c r="C233" s="17"/>
      <c r="D233" s="17">
        <f t="shared" si="13"/>
        <v>285</v>
      </c>
      <c r="E233" s="19" t="s">
        <v>29</v>
      </c>
      <c r="F233" s="20" t="s">
        <v>388</v>
      </c>
      <c r="G233" s="21" t="s">
        <v>23</v>
      </c>
      <c r="H233" s="21" t="s">
        <v>23</v>
      </c>
      <c r="I233" s="21" t="s">
        <v>389</v>
      </c>
      <c r="J233" s="17" t="s">
        <v>25</v>
      </c>
      <c r="K233" s="17" t="s">
        <v>26</v>
      </c>
      <c r="L233" s="17" t="s">
        <v>32</v>
      </c>
      <c r="M233" s="19" t="s">
        <v>28</v>
      </c>
      <c r="N233" s="17"/>
      <c r="O233" s="20" t="s">
        <v>390</v>
      </c>
      <c r="P233" s="25" t="s">
        <v>391</v>
      </c>
      <c r="Q233" s="31">
        <f t="shared" si="14"/>
        <v>0</v>
      </c>
      <c r="R233" s="32" t="str">
        <f t="shared" si="15"/>
        <v>P01.029</v>
      </c>
    </row>
    <row r="234" spans="1:18">
      <c r="A234" s="17"/>
      <c r="B234" s="17"/>
      <c r="C234" s="17"/>
      <c r="D234" s="17">
        <f t="shared" si="13"/>
        <v>286</v>
      </c>
      <c r="E234" s="19" t="s">
        <v>20</v>
      </c>
      <c r="F234" s="22" t="s">
        <v>392</v>
      </c>
      <c r="G234" s="21" t="s">
        <v>23</v>
      </c>
      <c r="H234" s="21" t="s">
        <v>23</v>
      </c>
      <c r="I234" s="21" t="s">
        <v>24</v>
      </c>
      <c r="J234" s="17" t="s">
        <v>173</v>
      </c>
      <c r="K234" s="17" t="s">
        <v>26</v>
      </c>
      <c r="L234" s="17" t="s">
        <v>27</v>
      </c>
      <c r="M234" s="19" t="s">
        <v>28</v>
      </c>
      <c r="N234" s="17"/>
      <c r="O234" s="22" t="s">
        <v>393</v>
      </c>
      <c r="P234" s="20"/>
      <c r="Q234" s="31">
        <f t="shared" si="14"/>
        <v>1</v>
      </c>
      <c r="R234" s="32" t="str">
        <f t="shared" si="15"/>
        <v>P01.030</v>
      </c>
    </row>
    <row r="235" spans="1:18">
      <c r="A235" s="17"/>
      <c r="B235" s="17"/>
      <c r="C235" s="17"/>
      <c r="D235" s="17">
        <f t="shared" si="13"/>
        <v>288</v>
      </c>
      <c r="E235" s="19" t="s">
        <v>29</v>
      </c>
      <c r="F235" s="20"/>
      <c r="G235" s="21" t="s">
        <v>23</v>
      </c>
      <c r="H235" s="21" t="s">
        <v>23</v>
      </c>
      <c r="I235" s="21" t="s">
        <v>30</v>
      </c>
      <c r="J235" s="17" t="s">
        <v>25</v>
      </c>
      <c r="K235" s="17" t="s">
        <v>26</v>
      </c>
      <c r="L235" s="17" t="s">
        <v>32</v>
      </c>
      <c r="M235" s="19" t="s">
        <v>28</v>
      </c>
      <c r="N235" s="17"/>
      <c r="O235" s="20"/>
      <c r="P235" s="20"/>
      <c r="Q235" s="31">
        <f t="shared" si="14"/>
        <v>1</v>
      </c>
      <c r="R235" s="32" t="str">
        <f t="shared" si="15"/>
        <v>P01.032</v>
      </c>
    </row>
    <row r="236" spans="1:18">
      <c r="A236" s="17"/>
      <c r="B236" s="17"/>
      <c r="C236" s="17"/>
      <c r="D236" s="17">
        <f t="shared" si="13"/>
        <v>289</v>
      </c>
      <c r="E236" s="19" t="s">
        <v>29</v>
      </c>
      <c r="F236" s="20"/>
      <c r="G236" s="21" t="s">
        <v>23</v>
      </c>
      <c r="H236" s="21" t="s">
        <v>23</v>
      </c>
      <c r="I236" s="21" t="s">
        <v>30</v>
      </c>
      <c r="J236" s="17" t="s">
        <v>25</v>
      </c>
      <c r="K236" s="17" t="s">
        <v>26</v>
      </c>
      <c r="L236" s="17" t="s">
        <v>32</v>
      </c>
      <c r="M236" s="19" t="s">
        <v>28</v>
      </c>
      <c r="N236" s="17"/>
      <c r="O236" s="20"/>
      <c r="P236" s="20"/>
      <c r="Q236" s="31">
        <f t="shared" si="14"/>
        <v>1</v>
      </c>
      <c r="R236" s="32" t="str">
        <f t="shared" si="15"/>
        <v>P01.033</v>
      </c>
    </row>
    <row r="237" spans="1:18">
      <c r="A237" s="17"/>
      <c r="B237" s="17"/>
      <c r="C237" s="17"/>
      <c r="D237" s="17">
        <f t="shared" si="13"/>
        <v>290</v>
      </c>
      <c r="E237" s="19" t="s">
        <v>29</v>
      </c>
      <c r="F237" s="22" t="s">
        <v>394</v>
      </c>
      <c r="G237" s="21" t="s">
        <v>23</v>
      </c>
      <c r="H237" s="21" t="s">
        <v>23</v>
      </c>
      <c r="I237" s="21" t="s">
        <v>30</v>
      </c>
      <c r="J237" s="17" t="s">
        <v>25</v>
      </c>
      <c r="K237" s="17" t="s">
        <v>26</v>
      </c>
      <c r="L237" s="17" t="s">
        <v>32</v>
      </c>
      <c r="M237" s="19" t="s">
        <v>28</v>
      </c>
      <c r="N237" s="17"/>
      <c r="O237" s="22" t="s">
        <v>395</v>
      </c>
      <c r="P237" s="20"/>
      <c r="Q237" s="31">
        <f t="shared" si="14"/>
        <v>1</v>
      </c>
      <c r="R237" s="32" t="str">
        <f t="shared" si="15"/>
        <v>P01.034</v>
      </c>
    </row>
    <row r="238" spans="1:18">
      <c r="A238" s="17"/>
      <c r="B238" s="17"/>
      <c r="C238" s="17"/>
      <c r="D238" s="17">
        <f t="shared" si="13"/>
        <v>291</v>
      </c>
      <c r="E238" s="19" t="s">
        <v>29</v>
      </c>
      <c r="F238" s="22" t="s">
        <v>396</v>
      </c>
      <c r="G238" s="21" t="s">
        <v>23</v>
      </c>
      <c r="H238" s="21" t="s">
        <v>23</v>
      </c>
      <c r="I238" s="21" t="s">
        <v>30</v>
      </c>
      <c r="J238" s="17" t="s">
        <v>25</v>
      </c>
      <c r="K238" s="17" t="s">
        <v>26</v>
      </c>
      <c r="L238" s="17" t="s">
        <v>32</v>
      </c>
      <c r="M238" s="19" t="s">
        <v>28</v>
      </c>
      <c r="N238" s="17"/>
      <c r="O238" s="22" t="s">
        <v>397</v>
      </c>
      <c r="P238" s="20"/>
      <c r="Q238" s="31">
        <f t="shared" si="14"/>
        <v>1</v>
      </c>
      <c r="R238" s="32" t="str">
        <f t="shared" si="15"/>
        <v>P01.035</v>
      </c>
    </row>
    <row r="239" spans="1:18">
      <c r="A239" s="17"/>
      <c r="B239" s="17"/>
      <c r="C239" s="17"/>
      <c r="D239" s="17">
        <f t="shared" si="13"/>
        <v>292</v>
      </c>
      <c r="E239" s="19" t="s">
        <v>29</v>
      </c>
      <c r="F239" s="20"/>
      <c r="G239" s="21" t="s">
        <v>23</v>
      </c>
      <c r="H239" s="21" t="s">
        <v>23</v>
      </c>
      <c r="I239" s="21" t="s">
        <v>30</v>
      </c>
      <c r="J239" s="17" t="s">
        <v>25</v>
      </c>
      <c r="K239" s="17" t="s">
        <v>26</v>
      </c>
      <c r="L239" s="17" t="s">
        <v>32</v>
      </c>
      <c r="M239" s="19" t="s">
        <v>28</v>
      </c>
      <c r="N239" s="17"/>
      <c r="O239" s="20"/>
      <c r="P239" s="20"/>
      <c r="Q239" s="31">
        <f t="shared" si="14"/>
        <v>1</v>
      </c>
      <c r="R239" s="32" t="str">
        <f t="shared" si="15"/>
        <v>P01.036</v>
      </c>
    </row>
    <row r="240" spans="1:18">
      <c r="A240" s="17"/>
      <c r="B240" s="17"/>
      <c r="C240" s="17"/>
      <c r="D240" s="17">
        <f t="shared" si="13"/>
        <v>293</v>
      </c>
      <c r="E240" s="19" t="s">
        <v>29</v>
      </c>
      <c r="F240" s="22" t="s">
        <v>398</v>
      </c>
      <c r="G240" s="21" t="s">
        <v>23</v>
      </c>
      <c r="H240" s="21" t="s">
        <v>23</v>
      </c>
      <c r="I240" s="21" t="s">
        <v>30</v>
      </c>
      <c r="J240" s="17" t="s">
        <v>130</v>
      </c>
      <c r="K240" s="17" t="s">
        <v>26</v>
      </c>
      <c r="L240" s="17" t="s">
        <v>32</v>
      </c>
      <c r="M240" s="19" t="s">
        <v>28</v>
      </c>
      <c r="N240" s="17"/>
      <c r="O240" s="22" t="s">
        <v>399</v>
      </c>
      <c r="P240" s="20"/>
      <c r="Q240" s="31">
        <f t="shared" si="14"/>
        <v>1</v>
      </c>
      <c r="R240" s="32" t="str">
        <f t="shared" si="15"/>
        <v>P01.037</v>
      </c>
    </row>
    <row r="241" spans="1:18">
      <c r="A241" s="17"/>
      <c r="B241" s="17"/>
      <c r="C241" s="17"/>
      <c r="D241" s="17">
        <f t="shared" si="13"/>
        <v>294</v>
      </c>
      <c r="E241" s="19" t="s">
        <v>29</v>
      </c>
      <c r="F241" s="22" t="s">
        <v>400</v>
      </c>
      <c r="G241" s="21" t="s">
        <v>23</v>
      </c>
      <c r="H241" s="21" t="s">
        <v>23</v>
      </c>
      <c r="I241" s="21" t="s">
        <v>30</v>
      </c>
      <c r="J241" s="17" t="s">
        <v>130</v>
      </c>
      <c r="K241" s="17" t="s">
        <v>26</v>
      </c>
      <c r="L241" s="17" t="s">
        <v>32</v>
      </c>
      <c r="M241" s="19" t="s">
        <v>28</v>
      </c>
      <c r="N241" s="17"/>
      <c r="O241" s="22" t="s">
        <v>401</v>
      </c>
      <c r="P241" s="20"/>
      <c r="Q241" s="31">
        <f t="shared" si="14"/>
        <v>1</v>
      </c>
      <c r="R241" s="32" t="str">
        <f t="shared" si="15"/>
        <v>P01.038</v>
      </c>
    </row>
    <row r="242" spans="1:18">
      <c r="A242" s="17"/>
      <c r="B242" s="17"/>
      <c r="C242" s="17"/>
      <c r="D242" s="17">
        <f t="shared" si="13"/>
        <v>295</v>
      </c>
      <c r="E242" s="19" t="s">
        <v>92</v>
      </c>
      <c r="F242" s="22" t="s">
        <v>402</v>
      </c>
      <c r="G242" s="21" t="s">
        <v>23</v>
      </c>
      <c r="H242" s="21" t="s">
        <v>94</v>
      </c>
      <c r="I242" s="21" t="s">
        <v>95</v>
      </c>
      <c r="J242" s="17" t="s">
        <v>130</v>
      </c>
      <c r="K242" s="17" t="s">
        <v>26</v>
      </c>
      <c r="L242" s="17" t="s">
        <v>32</v>
      </c>
      <c r="M242" s="19" t="s">
        <v>28</v>
      </c>
      <c r="N242" s="17"/>
      <c r="O242" s="22" t="s">
        <v>403</v>
      </c>
      <c r="P242" s="20"/>
      <c r="Q242" s="31">
        <f t="shared" si="14"/>
        <v>1</v>
      </c>
      <c r="R242" s="32" t="str">
        <f t="shared" si="15"/>
        <v>P01.039</v>
      </c>
    </row>
    <row r="243" spans="1:18">
      <c r="A243" s="17"/>
      <c r="B243" s="17"/>
      <c r="C243" s="17"/>
      <c r="D243" s="17">
        <f t="shared" si="13"/>
        <v>296</v>
      </c>
      <c r="E243" s="19" t="s">
        <v>92</v>
      </c>
      <c r="F243" s="22" t="s">
        <v>404</v>
      </c>
      <c r="G243" s="21" t="s">
        <v>23</v>
      </c>
      <c r="H243" s="21" t="s">
        <v>94</v>
      </c>
      <c r="I243" s="21" t="s">
        <v>95</v>
      </c>
      <c r="J243" s="17" t="s">
        <v>130</v>
      </c>
      <c r="K243" s="17" t="s">
        <v>26</v>
      </c>
      <c r="L243" s="17" t="s">
        <v>32</v>
      </c>
      <c r="M243" s="19" t="s">
        <v>28</v>
      </c>
      <c r="N243" s="17"/>
      <c r="O243" s="22" t="s">
        <v>405</v>
      </c>
      <c r="P243" s="20"/>
      <c r="Q243" s="31">
        <f t="shared" si="14"/>
        <v>1</v>
      </c>
      <c r="R243" s="32" t="str">
        <f t="shared" si="15"/>
        <v>P01.040</v>
      </c>
    </row>
    <row r="244" spans="1:18">
      <c r="A244" s="17"/>
      <c r="B244" s="17"/>
      <c r="C244" s="17"/>
      <c r="D244" s="17">
        <f t="shared" si="13"/>
        <v>297</v>
      </c>
      <c r="E244" s="19" t="s">
        <v>92</v>
      </c>
      <c r="F244" s="22" t="s">
        <v>406</v>
      </c>
      <c r="G244" s="21" t="s">
        <v>23</v>
      </c>
      <c r="H244" s="21" t="s">
        <v>94</v>
      </c>
      <c r="I244" s="21" t="s">
        <v>95</v>
      </c>
      <c r="J244" s="17" t="s">
        <v>130</v>
      </c>
      <c r="K244" s="17" t="s">
        <v>26</v>
      </c>
      <c r="L244" s="17" t="s">
        <v>32</v>
      </c>
      <c r="M244" s="19" t="s">
        <v>28</v>
      </c>
      <c r="N244" s="17"/>
      <c r="O244" s="22" t="s">
        <v>407</v>
      </c>
      <c r="P244" s="20"/>
      <c r="Q244" s="31">
        <f t="shared" si="14"/>
        <v>1</v>
      </c>
      <c r="R244" s="32" t="str">
        <f t="shared" si="15"/>
        <v>P01.041</v>
      </c>
    </row>
    <row r="245" spans="1:18">
      <c r="A245" s="17"/>
      <c r="B245" s="17"/>
      <c r="C245" s="17"/>
      <c r="D245" s="17">
        <f t="shared" si="13"/>
        <v>298</v>
      </c>
      <c r="E245" s="19" t="s">
        <v>29</v>
      </c>
      <c r="F245" s="22" t="s">
        <v>408</v>
      </c>
      <c r="G245" s="21" t="s">
        <v>23</v>
      </c>
      <c r="H245" s="21" t="s">
        <v>23</v>
      </c>
      <c r="I245" s="21" t="s">
        <v>30</v>
      </c>
      <c r="J245" s="17" t="s">
        <v>130</v>
      </c>
      <c r="K245" s="17" t="s">
        <v>26</v>
      </c>
      <c r="L245" s="17" t="s">
        <v>32</v>
      </c>
      <c r="M245" s="19" t="s">
        <v>28</v>
      </c>
      <c r="N245" s="17"/>
      <c r="O245" s="22" t="s">
        <v>409</v>
      </c>
      <c r="P245" s="20"/>
      <c r="Q245" s="31">
        <f t="shared" si="14"/>
        <v>1</v>
      </c>
      <c r="R245" s="32" t="str">
        <f t="shared" si="15"/>
        <v>P01.042</v>
      </c>
    </row>
    <row r="246" spans="1:18">
      <c r="A246" s="17"/>
      <c r="B246" s="17"/>
      <c r="C246" s="17"/>
      <c r="D246" s="17">
        <f t="shared" si="13"/>
        <v>299</v>
      </c>
      <c r="E246" s="19" t="s">
        <v>29</v>
      </c>
      <c r="F246" s="22" t="s">
        <v>410</v>
      </c>
      <c r="G246" s="21" t="s">
        <v>23</v>
      </c>
      <c r="H246" s="21" t="s">
        <v>23</v>
      </c>
      <c r="I246" s="21" t="s">
        <v>30</v>
      </c>
      <c r="J246" s="17" t="s">
        <v>130</v>
      </c>
      <c r="K246" s="17" t="s">
        <v>26</v>
      </c>
      <c r="L246" s="17" t="s">
        <v>32</v>
      </c>
      <c r="M246" s="19" t="s">
        <v>28</v>
      </c>
      <c r="N246" s="17"/>
      <c r="O246" s="22" t="s">
        <v>411</v>
      </c>
      <c r="P246" s="20"/>
      <c r="Q246" s="31">
        <f t="shared" si="14"/>
        <v>1</v>
      </c>
      <c r="R246" s="32" t="str">
        <f t="shared" si="15"/>
        <v>P01.043</v>
      </c>
    </row>
    <row r="247" spans="1:18">
      <c r="A247" s="17"/>
      <c r="B247" s="17"/>
      <c r="C247" s="17"/>
      <c r="D247" s="17">
        <f t="shared" si="13"/>
        <v>300</v>
      </c>
      <c r="E247" s="19" t="s">
        <v>92</v>
      </c>
      <c r="F247" s="22" t="s">
        <v>412</v>
      </c>
      <c r="G247" s="21" t="s">
        <v>23</v>
      </c>
      <c r="H247" s="21" t="s">
        <v>94</v>
      </c>
      <c r="I247" s="21" t="s">
        <v>95</v>
      </c>
      <c r="J247" s="17" t="s">
        <v>413</v>
      </c>
      <c r="K247" s="17" t="s">
        <v>26</v>
      </c>
      <c r="L247" s="17" t="s">
        <v>32</v>
      </c>
      <c r="M247" s="19" t="s">
        <v>28</v>
      </c>
      <c r="N247" s="17"/>
      <c r="O247" s="24" t="s">
        <v>414</v>
      </c>
      <c r="P247" s="20"/>
      <c r="Q247" s="31">
        <f t="shared" ref="Q247:Q309" si="16">IF(OR(F247="",LEFT(TRIM(F247),3)=E247),1,0)</f>
        <v>1</v>
      </c>
      <c r="R247" s="32" t="str">
        <f t="shared" ref="R247:R309" si="17">"P"&amp;TEXT(INT(D247/256),"00")&amp;"."&amp;TEXT(MOD(D247,256),"000")</f>
        <v>P01.044</v>
      </c>
    </row>
    <row r="248" spans="1:18">
      <c r="A248" s="17"/>
      <c r="B248" s="17"/>
      <c r="C248" s="17"/>
      <c r="D248" s="17">
        <f t="shared" ref="D248:D309" si="18">INDEX(D:D,ROW()-1)+_xlfn.IFS(INDEX(E:E,ROW()-1)="u16",1,INDEX(E:E,ROW()-1)="s16",1,INDEX(E:E,ROW()-1)="s32",2,INDEX(E:E,ROW()-1)="s64",4,INDEX(E:E,ROW()-1)="u16",1,INDEX(E:E,ROW()-1)="u32",2,INDEX(E:E,ROW()-1)="u64",4,INDEX(E:E,ROW()-1)="f32",2,INDEX(E:E,ROW()-1)="f64",4)</f>
        <v>301</v>
      </c>
      <c r="E248" s="19" t="s">
        <v>92</v>
      </c>
      <c r="F248" s="22" t="s">
        <v>415</v>
      </c>
      <c r="G248" s="21" t="s">
        <v>23</v>
      </c>
      <c r="H248" s="21" t="s">
        <v>94</v>
      </c>
      <c r="I248" s="21" t="s">
        <v>95</v>
      </c>
      <c r="J248" s="17" t="s">
        <v>413</v>
      </c>
      <c r="K248" s="17" t="s">
        <v>26</v>
      </c>
      <c r="L248" s="17" t="s">
        <v>32</v>
      </c>
      <c r="M248" s="19" t="s">
        <v>28</v>
      </c>
      <c r="N248" s="17"/>
      <c r="O248" s="22" t="s">
        <v>416</v>
      </c>
      <c r="P248" s="20"/>
      <c r="Q248" s="31">
        <f t="shared" si="16"/>
        <v>1</v>
      </c>
      <c r="R248" s="32" t="str">
        <f t="shared" si="17"/>
        <v>P01.045</v>
      </c>
    </row>
    <row r="249" spans="1:18">
      <c r="A249" s="17"/>
      <c r="B249" s="17"/>
      <c r="C249" s="17"/>
      <c r="D249" s="17">
        <f t="shared" si="18"/>
        <v>302</v>
      </c>
      <c r="E249" s="19" t="s">
        <v>92</v>
      </c>
      <c r="F249" s="22" t="s">
        <v>417</v>
      </c>
      <c r="G249" s="21" t="s">
        <v>23</v>
      </c>
      <c r="H249" s="21" t="s">
        <v>94</v>
      </c>
      <c r="I249" s="21" t="s">
        <v>30</v>
      </c>
      <c r="J249" s="17" t="s">
        <v>413</v>
      </c>
      <c r="K249" s="17" t="s">
        <v>26</v>
      </c>
      <c r="L249" s="17" t="s">
        <v>32</v>
      </c>
      <c r="M249" s="19" t="s">
        <v>28</v>
      </c>
      <c r="N249" s="17"/>
      <c r="O249" s="22" t="s">
        <v>418</v>
      </c>
      <c r="P249" s="20"/>
      <c r="Q249" s="31">
        <f t="shared" si="16"/>
        <v>1</v>
      </c>
      <c r="R249" s="32" t="str">
        <f t="shared" si="17"/>
        <v>P01.046</v>
      </c>
    </row>
    <row r="250" spans="1:18">
      <c r="A250" s="17"/>
      <c r="B250" s="17"/>
      <c r="C250" s="17"/>
      <c r="D250" s="17">
        <f t="shared" si="18"/>
        <v>303</v>
      </c>
      <c r="E250" s="19" t="s">
        <v>29</v>
      </c>
      <c r="F250" s="20"/>
      <c r="G250" s="21" t="s">
        <v>23</v>
      </c>
      <c r="H250" s="21" t="s">
        <v>23</v>
      </c>
      <c r="I250" s="21" t="s">
        <v>30</v>
      </c>
      <c r="J250" s="17" t="s">
        <v>25</v>
      </c>
      <c r="K250" s="17" t="s">
        <v>26</v>
      </c>
      <c r="L250" s="17" t="s">
        <v>32</v>
      </c>
      <c r="M250" s="19" t="s">
        <v>28</v>
      </c>
      <c r="N250" s="17"/>
      <c r="O250" s="20"/>
      <c r="P250" s="20"/>
      <c r="Q250" s="31">
        <f t="shared" si="16"/>
        <v>1</v>
      </c>
      <c r="R250" s="32" t="str">
        <f t="shared" si="17"/>
        <v>P01.047</v>
      </c>
    </row>
    <row r="251" spans="1:18">
      <c r="A251" s="17"/>
      <c r="B251" s="17"/>
      <c r="C251" s="17"/>
      <c r="D251" s="17">
        <f t="shared" si="18"/>
        <v>304</v>
      </c>
      <c r="E251" s="19" t="s">
        <v>29</v>
      </c>
      <c r="F251" s="20"/>
      <c r="G251" s="21" t="s">
        <v>23</v>
      </c>
      <c r="H251" s="21" t="s">
        <v>23</v>
      </c>
      <c r="I251" s="21" t="s">
        <v>30</v>
      </c>
      <c r="J251" s="17" t="s">
        <v>25</v>
      </c>
      <c r="K251" s="17" t="s">
        <v>26</v>
      </c>
      <c r="L251" s="17" t="s">
        <v>32</v>
      </c>
      <c r="M251" s="19" t="s">
        <v>28</v>
      </c>
      <c r="N251" s="17"/>
      <c r="O251" s="20"/>
      <c r="P251" s="20"/>
      <c r="Q251" s="31">
        <f t="shared" si="16"/>
        <v>1</v>
      </c>
      <c r="R251" s="32" t="str">
        <f t="shared" si="17"/>
        <v>P01.048</v>
      </c>
    </row>
    <row r="252" spans="1:18">
      <c r="A252" s="17"/>
      <c r="B252" s="17"/>
      <c r="C252" s="17"/>
      <c r="D252" s="17">
        <f t="shared" si="18"/>
        <v>305</v>
      </c>
      <c r="E252" s="19" t="s">
        <v>29</v>
      </c>
      <c r="F252" s="22" t="s">
        <v>419</v>
      </c>
      <c r="G252" s="21" t="s">
        <v>23</v>
      </c>
      <c r="H252" s="21" t="s">
        <v>23</v>
      </c>
      <c r="I252" s="21" t="s">
        <v>30</v>
      </c>
      <c r="J252" s="17" t="s">
        <v>420</v>
      </c>
      <c r="K252" s="17" t="s">
        <v>26</v>
      </c>
      <c r="L252" s="17" t="s">
        <v>32</v>
      </c>
      <c r="M252" s="19" t="s">
        <v>28</v>
      </c>
      <c r="N252" s="17"/>
      <c r="O252" s="22" t="s">
        <v>421</v>
      </c>
      <c r="P252" s="20"/>
      <c r="Q252" s="31">
        <f t="shared" si="16"/>
        <v>1</v>
      </c>
      <c r="R252" s="32" t="str">
        <f t="shared" si="17"/>
        <v>P01.049</v>
      </c>
    </row>
    <row r="253" spans="1:18">
      <c r="A253" s="17"/>
      <c r="B253" s="17"/>
      <c r="C253" s="17"/>
      <c r="D253" s="17">
        <f t="shared" si="18"/>
        <v>306</v>
      </c>
      <c r="E253" s="19" t="s">
        <v>29</v>
      </c>
      <c r="F253" s="22" t="s">
        <v>422</v>
      </c>
      <c r="G253" s="21" t="s">
        <v>23</v>
      </c>
      <c r="H253" s="21" t="s">
        <v>23</v>
      </c>
      <c r="I253" s="21" t="s">
        <v>30</v>
      </c>
      <c r="J253" s="17" t="s">
        <v>420</v>
      </c>
      <c r="K253" s="17" t="s">
        <v>26</v>
      </c>
      <c r="L253" s="17" t="s">
        <v>32</v>
      </c>
      <c r="M253" s="19" t="s">
        <v>28</v>
      </c>
      <c r="N253" s="17"/>
      <c r="O253" s="22" t="s">
        <v>423</v>
      </c>
      <c r="P253" s="20"/>
      <c r="Q253" s="31">
        <f t="shared" si="16"/>
        <v>1</v>
      </c>
      <c r="R253" s="32" t="str">
        <f t="shared" si="17"/>
        <v>P01.050</v>
      </c>
    </row>
    <row r="254" spans="1:18">
      <c r="A254" s="17"/>
      <c r="B254" s="17"/>
      <c r="C254" s="17"/>
      <c r="D254" s="17">
        <f t="shared" si="18"/>
        <v>307</v>
      </c>
      <c r="E254" s="19" t="s">
        <v>92</v>
      </c>
      <c r="F254" s="22" t="s">
        <v>424</v>
      </c>
      <c r="G254" s="21" t="s">
        <v>23</v>
      </c>
      <c r="H254" s="21" t="s">
        <v>94</v>
      </c>
      <c r="I254" s="21" t="s">
        <v>95</v>
      </c>
      <c r="J254" s="17" t="s">
        <v>420</v>
      </c>
      <c r="K254" s="17" t="s">
        <v>26</v>
      </c>
      <c r="L254" s="17" t="s">
        <v>32</v>
      </c>
      <c r="M254" s="19" t="s">
        <v>28</v>
      </c>
      <c r="N254" s="17"/>
      <c r="O254" s="22" t="s">
        <v>425</v>
      </c>
      <c r="P254" s="20"/>
      <c r="Q254" s="31">
        <f t="shared" si="16"/>
        <v>1</v>
      </c>
      <c r="R254" s="32" t="str">
        <f t="shared" si="17"/>
        <v>P01.051</v>
      </c>
    </row>
    <row r="255" spans="1:18">
      <c r="A255" s="17"/>
      <c r="B255" s="17"/>
      <c r="C255" s="17"/>
      <c r="D255" s="17">
        <f t="shared" si="18"/>
        <v>308</v>
      </c>
      <c r="E255" s="19" t="s">
        <v>92</v>
      </c>
      <c r="F255" s="22" t="s">
        <v>426</v>
      </c>
      <c r="G255" s="21" t="s">
        <v>23</v>
      </c>
      <c r="H255" s="21" t="s">
        <v>94</v>
      </c>
      <c r="I255" s="21" t="s">
        <v>95</v>
      </c>
      <c r="J255" s="17" t="s">
        <v>420</v>
      </c>
      <c r="K255" s="17" t="s">
        <v>26</v>
      </c>
      <c r="L255" s="17" t="s">
        <v>32</v>
      </c>
      <c r="M255" s="19" t="s">
        <v>28</v>
      </c>
      <c r="N255" s="17"/>
      <c r="O255" s="22" t="s">
        <v>427</v>
      </c>
      <c r="P255" s="20"/>
      <c r="Q255" s="31">
        <f t="shared" si="16"/>
        <v>1</v>
      </c>
      <c r="R255" s="32" t="str">
        <f t="shared" si="17"/>
        <v>P01.052</v>
      </c>
    </row>
    <row r="256" spans="1:18">
      <c r="A256" s="17"/>
      <c r="B256" s="17"/>
      <c r="C256" s="17"/>
      <c r="D256" s="17">
        <f t="shared" si="18"/>
        <v>309</v>
      </c>
      <c r="E256" s="19" t="s">
        <v>92</v>
      </c>
      <c r="F256" s="22" t="s">
        <v>428</v>
      </c>
      <c r="G256" s="21" t="s">
        <v>23</v>
      </c>
      <c r="H256" s="21" t="s">
        <v>94</v>
      </c>
      <c r="I256" s="21" t="s">
        <v>95</v>
      </c>
      <c r="J256" s="17" t="s">
        <v>420</v>
      </c>
      <c r="K256" s="17" t="s">
        <v>26</v>
      </c>
      <c r="L256" s="17" t="s">
        <v>32</v>
      </c>
      <c r="M256" s="19" t="s">
        <v>28</v>
      </c>
      <c r="N256" s="17"/>
      <c r="O256" s="22" t="s">
        <v>429</v>
      </c>
      <c r="P256" s="20"/>
      <c r="Q256" s="31">
        <f t="shared" si="16"/>
        <v>1</v>
      </c>
      <c r="R256" s="32" t="str">
        <f t="shared" si="17"/>
        <v>P01.053</v>
      </c>
    </row>
    <row r="257" spans="1:18">
      <c r="A257" s="17"/>
      <c r="B257" s="17"/>
      <c r="C257" s="17"/>
      <c r="D257" s="17">
        <f t="shared" si="18"/>
        <v>310</v>
      </c>
      <c r="E257" s="19" t="s">
        <v>92</v>
      </c>
      <c r="F257" s="22" t="s">
        <v>430</v>
      </c>
      <c r="G257" s="21" t="s">
        <v>23</v>
      </c>
      <c r="H257" s="21" t="s">
        <v>94</v>
      </c>
      <c r="I257" s="21" t="s">
        <v>95</v>
      </c>
      <c r="J257" s="17" t="s">
        <v>420</v>
      </c>
      <c r="K257" s="17" t="s">
        <v>26</v>
      </c>
      <c r="L257" s="17" t="s">
        <v>32</v>
      </c>
      <c r="M257" s="19" t="s">
        <v>28</v>
      </c>
      <c r="N257" s="17"/>
      <c r="O257" s="22" t="s">
        <v>431</v>
      </c>
      <c r="P257" s="20"/>
      <c r="Q257" s="31">
        <f t="shared" si="16"/>
        <v>1</v>
      </c>
      <c r="R257" s="32" t="str">
        <f t="shared" si="17"/>
        <v>P01.054</v>
      </c>
    </row>
    <row r="258" spans="1:18">
      <c r="A258" s="17"/>
      <c r="B258" s="17"/>
      <c r="C258" s="17"/>
      <c r="D258" s="17">
        <f t="shared" si="18"/>
        <v>311</v>
      </c>
      <c r="E258" s="19" t="s">
        <v>92</v>
      </c>
      <c r="F258" s="22" t="s">
        <v>432</v>
      </c>
      <c r="G258" s="21" t="s">
        <v>23</v>
      </c>
      <c r="H258" s="21" t="s">
        <v>94</v>
      </c>
      <c r="I258" s="21" t="s">
        <v>95</v>
      </c>
      <c r="J258" s="17" t="s">
        <v>420</v>
      </c>
      <c r="K258" s="17" t="s">
        <v>26</v>
      </c>
      <c r="L258" s="17" t="s">
        <v>32</v>
      </c>
      <c r="M258" s="19" t="s">
        <v>28</v>
      </c>
      <c r="N258" s="17"/>
      <c r="O258" s="22" t="s">
        <v>433</v>
      </c>
      <c r="P258" s="20"/>
      <c r="Q258" s="31">
        <f t="shared" si="16"/>
        <v>1</v>
      </c>
      <c r="R258" s="32" t="str">
        <f t="shared" si="17"/>
        <v>P01.055</v>
      </c>
    </row>
    <row r="259" spans="1:18">
      <c r="A259" s="17"/>
      <c r="B259" s="17"/>
      <c r="C259" s="17"/>
      <c r="D259" s="17">
        <f t="shared" si="18"/>
        <v>312</v>
      </c>
      <c r="E259" s="19" t="s">
        <v>92</v>
      </c>
      <c r="F259" s="22" t="s">
        <v>434</v>
      </c>
      <c r="G259" s="21" t="s">
        <v>23</v>
      </c>
      <c r="H259" s="21" t="s">
        <v>94</v>
      </c>
      <c r="I259" s="21" t="s">
        <v>95</v>
      </c>
      <c r="J259" s="17" t="s">
        <v>420</v>
      </c>
      <c r="K259" s="17" t="s">
        <v>26</v>
      </c>
      <c r="L259" s="17" t="s">
        <v>32</v>
      </c>
      <c r="M259" s="19" t="s">
        <v>28</v>
      </c>
      <c r="N259" s="17"/>
      <c r="O259" s="22" t="s">
        <v>435</v>
      </c>
      <c r="P259" s="20"/>
      <c r="Q259" s="31">
        <f t="shared" si="16"/>
        <v>1</v>
      </c>
      <c r="R259" s="32" t="str">
        <f t="shared" si="17"/>
        <v>P01.056</v>
      </c>
    </row>
    <row r="260" spans="1:18">
      <c r="A260" s="17"/>
      <c r="B260" s="17"/>
      <c r="C260" s="17"/>
      <c r="D260" s="17">
        <f t="shared" si="18"/>
        <v>313</v>
      </c>
      <c r="E260" s="19" t="s">
        <v>29</v>
      </c>
      <c r="F260" s="20"/>
      <c r="G260" s="21" t="s">
        <v>23</v>
      </c>
      <c r="H260" s="21" t="s">
        <v>23</v>
      </c>
      <c r="I260" s="21" t="s">
        <v>30</v>
      </c>
      <c r="J260" s="17" t="s">
        <v>25</v>
      </c>
      <c r="K260" s="17" t="s">
        <v>26</v>
      </c>
      <c r="L260" s="17" t="s">
        <v>32</v>
      </c>
      <c r="M260" s="19" t="s">
        <v>28</v>
      </c>
      <c r="N260" s="17"/>
      <c r="O260" s="20"/>
      <c r="P260" s="20"/>
      <c r="Q260" s="31">
        <f t="shared" si="16"/>
        <v>1</v>
      </c>
      <c r="R260" s="32" t="str">
        <f t="shared" si="17"/>
        <v>P01.057</v>
      </c>
    </row>
    <row r="261" spans="1:18">
      <c r="A261" s="17"/>
      <c r="B261" s="17"/>
      <c r="C261" s="17"/>
      <c r="D261" s="17">
        <f t="shared" si="18"/>
        <v>314</v>
      </c>
      <c r="E261" s="19" t="s">
        <v>29</v>
      </c>
      <c r="F261" s="20"/>
      <c r="G261" s="21" t="s">
        <v>23</v>
      </c>
      <c r="H261" s="21" t="s">
        <v>23</v>
      </c>
      <c r="I261" s="21" t="s">
        <v>30</v>
      </c>
      <c r="J261" s="17" t="s">
        <v>25</v>
      </c>
      <c r="K261" s="17" t="s">
        <v>26</v>
      </c>
      <c r="L261" s="17" t="s">
        <v>32</v>
      </c>
      <c r="M261" s="19" t="s">
        <v>28</v>
      </c>
      <c r="N261" s="17"/>
      <c r="O261" s="20"/>
      <c r="P261" s="20"/>
      <c r="Q261" s="31">
        <f t="shared" si="16"/>
        <v>1</v>
      </c>
      <c r="R261" s="32" t="str">
        <f t="shared" si="17"/>
        <v>P01.058</v>
      </c>
    </row>
    <row r="262" spans="1:18">
      <c r="A262" s="17"/>
      <c r="B262" s="17"/>
      <c r="C262" s="17"/>
      <c r="D262" s="17">
        <f t="shared" si="18"/>
        <v>315</v>
      </c>
      <c r="E262" s="19" t="s">
        <v>29</v>
      </c>
      <c r="F262" s="22" t="s">
        <v>436</v>
      </c>
      <c r="G262" s="21" t="s">
        <v>23</v>
      </c>
      <c r="H262" s="21" t="s">
        <v>23</v>
      </c>
      <c r="I262" s="21" t="s">
        <v>30</v>
      </c>
      <c r="J262" s="17" t="s">
        <v>25</v>
      </c>
      <c r="K262" s="17" t="s">
        <v>26</v>
      </c>
      <c r="L262" s="17" t="s">
        <v>32</v>
      </c>
      <c r="M262" s="19" t="s">
        <v>28</v>
      </c>
      <c r="N262" s="17"/>
      <c r="O262" s="22" t="s">
        <v>437</v>
      </c>
      <c r="P262" s="20"/>
      <c r="Q262" s="31">
        <f t="shared" si="16"/>
        <v>1</v>
      </c>
      <c r="R262" s="32" t="str">
        <f t="shared" si="17"/>
        <v>P01.059</v>
      </c>
    </row>
    <row r="263" spans="1:18">
      <c r="A263" s="17"/>
      <c r="B263" s="17"/>
      <c r="C263" s="17"/>
      <c r="D263" s="17">
        <f t="shared" si="18"/>
        <v>316</v>
      </c>
      <c r="E263" s="19" t="s">
        <v>284</v>
      </c>
      <c r="F263" s="22" t="s">
        <v>438</v>
      </c>
      <c r="G263" s="21" t="s">
        <v>23</v>
      </c>
      <c r="H263" s="21" t="s">
        <v>286</v>
      </c>
      <c r="I263" s="21" t="s">
        <v>287</v>
      </c>
      <c r="J263" s="17" t="s">
        <v>439</v>
      </c>
      <c r="K263" s="17" t="s">
        <v>26</v>
      </c>
      <c r="L263" s="17" t="s">
        <v>32</v>
      </c>
      <c r="M263" s="19" t="s">
        <v>28</v>
      </c>
      <c r="N263" s="17"/>
      <c r="O263" s="22" t="s">
        <v>440</v>
      </c>
      <c r="P263" s="20"/>
      <c r="Q263" s="31">
        <f t="shared" si="16"/>
        <v>1</v>
      </c>
      <c r="R263" s="32" t="str">
        <f t="shared" si="17"/>
        <v>P01.060</v>
      </c>
    </row>
    <row r="264" spans="1:18">
      <c r="A264" s="17"/>
      <c r="B264" s="17"/>
      <c r="C264" s="17"/>
      <c r="D264" s="17">
        <f t="shared" si="18"/>
        <v>320</v>
      </c>
      <c r="E264" s="19" t="s">
        <v>284</v>
      </c>
      <c r="F264" s="22" t="s">
        <v>441</v>
      </c>
      <c r="G264" s="21" t="s">
        <v>23</v>
      </c>
      <c r="H264" s="21" t="s">
        <v>286</v>
      </c>
      <c r="I264" s="21" t="s">
        <v>287</v>
      </c>
      <c r="J264" s="17" t="s">
        <v>439</v>
      </c>
      <c r="K264" s="17" t="s">
        <v>26</v>
      </c>
      <c r="L264" s="17" t="s">
        <v>32</v>
      </c>
      <c r="M264" s="19" t="s">
        <v>28</v>
      </c>
      <c r="N264" s="17"/>
      <c r="O264" s="22" t="s">
        <v>442</v>
      </c>
      <c r="P264" s="20"/>
      <c r="Q264" s="31">
        <f t="shared" si="16"/>
        <v>1</v>
      </c>
      <c r="R264" s="32" t="str">
        <f t="shared" si="17"/>
        <v>P01.064</v>
      </c>
    </row>
    <row r="265" spans="1:18">
      <c r="A265" s="17"/>
      <c r="B265" s="17"/>
      <c r="C265" s="17"/>
      <c r="D265" s="17">
        <f t="shared" si="18"/>
        <v>324</v>
      </c>
      <c r="E265" s="19" t="s">
        <v>284</v>
      </c>
      <c r="F265" s="22" t="s">
        <v>443</v>
      </c>
      <c r="G265" s="21" t="s">
        <v>23</v>
      </c>
      <c r="H265" s="21" t="s">
        <v>286</v>
      </c>
      <c r="I265" s="21" t="s">
        <v>287</v>
      </c>
      <c r="J265" s="17" t="s">
        <v>439</v>
      </c>
      <c r="K265" s="17" t="s">
        <v>26</v>
      </c>
      <c r="L265" s="17" t="s">
        <v>32</v>
      </c>
      <c r="M265" s="19" t="s">
        <v>28</v>
      </c>
      <c r="N265" s="17"/>
      <c r="O265" s="22" t="s">
        <v>444</v>
      </c>
      <c r="P265" s="20"/>
      <c r="Q265" s="31">
        <f t="shared" si="16"/>
        <v>1</v>
      </c>
      <c r="R265" s="32" t="str">
        <f t="shared" si="17"/>
        <v>P01.068</v>
      </c>
    </row>
    <row r="266" spans="1:18">
      <c r="A266" s="17"/>
      <c r="B266" s="17"/>
      <c r="C266" s="17"/>
      <c r="D266" s="17">
        <f t="shared" si="18"/>
        <v>328</v>
      </c>
      <c r="E266" s="19" t="s">
        <v>284</v>
      </c>
      <c r="F266" s="22" t="s">
        <v>445</v>
      </c>
      <c r="G266" s="21" t="s">
        <v>23</v>
      </c>
      <c r="H266" s="21" t="s">
        <v>286</v>
      </c>
      <c r="I266" s="21" t="s">
        <v>287</v>
      </c>
      <c r="J266" s="17" t="s">
        <v>439</v>
      </c>
      <c r="K266" s="17" t="s">
        <v>26</v>
      </c>
      <c r="L266" s="17" t="s">
        <v>32</v>
      </c>
      <c r="M266" s="19" t="s">
        <v>28</v>
      </c>
      <c r="N266" s="17"/>
      <c r="O266" s="22" t="s">
        <v>446</v>
      </c>
      <c r="P266" s="20"/>
      <c r="Q266" s="31">
        <f t="shared" si="16"/>
        <v>1</v>
      </c>
      <c r="R266" s="32" t="str">
        <f t="shared" si="17"/>
        <v>P01.072</v>
      </c>
    </row>
    <row r="267" spans="1:18">
      <c r="A267" s="17"/>
      <c r="B267" s="17"/>
      <c r="C267" s="17"/>
      <c r="D267" s="17">
        <f t="shared" si="18"/>
        <v>332</v>
      </c>
      <c r="E267" s="19" t="s">
        <v>284</v>
      </c>
      <c r="F267" s="22" t="s">
        <v>447</v>
      </c>
      <c r="G267" s="21" t="s">
        <v>23</v>
      </c>
      <c r="H267" s="21" t="s">
        <v>286</v>
      </c>
      <c r="I267" s="21" t="s">
        <v>287</v>
      </c>
      <c r="J267" s="17" t="s">
        <v>439</v>
      </c>
      <c r="K267" s="17" t="s">
        <v>26</v>
      </c>
      <c r="L267" s="17" t="s">
        <v>32</v>
      </c>
      <c r="M267" s="19" t="s">
        <v>28</v>
      </c>
      <c r="N267" s="17"/>
      <c r="O267" s="22" t="s">
        <v>448</v>
      </c>
      <c r="P267" s="20"/>
      <c r="Q267" s="31">
        <f t="shared" si="16"/>
        <v>1</v>
      </c>
      <c r="R267" s="32" t="str">
        <f t="shared" si="17"/>
        <v>P01.076</v>
      </c>
    </row>
    <row r="268" spans="1:18">
      <c r="A268" s="17"/>
      <c r="B268" s="17"/>
      <c r="C268" s="17"/>
      <c r="D268" s="17">
        <f t="shared" si="18"/>
        <v>336</v>
      </c>
      <c r="E268" s="19" t="s">
        <v>284</v>
      </c>
      <c r="F268" s="22" t="s">
        <v>449</v>
      </c>
      <c r="G268" s="21" t="s">
        <v>23</v>
      </c>
      <c r="H268" s="21" t="s">
        <v>286</v>
      </c>
      <c r="I268" s="21" t="s">
        <v>287</v>
      </c>
      <c r="J268" s="17" t="s">
        <v>439</v>
      </c>
      <c r="K268" s="17" t="s">
        <v>26</v>
      </c>
      <c r="L268" s="17" t="s">
        <v>32</v>
      </c>
      <c r="M268" s="19" t="s">
        <v>28</v>
      </c>
      <c r="N268" s="17"/>
      <c r="O268" s="22" t="s">
        <v>450</v>
      </c>
      <c r="P268" s="20"/>
      <c r="Q268" s="31">
        <f t="shared" si="16"/>
        <v>1</v>
      </c>
      <c r="R268" s="32" t="str">
        <f t="shared" si="17"/>
        <v>P01.080</v>
      </c>
    </row>
    <row r="269" spans="1:18">
      <c r="A269" s="17"/>
      <c r="B269" s="17"/>
      <c r="C269" s="17"/>
      <c r="D269" s="17">
        <f t="shared" si="18"/>
        <v>340</v>
      </c>
      <c r="E269" s="19" t="s">
        <v>284</v>
      </c>
      <c r="F269" s="22" t="s">
        <v>451</v>
      </c>
      <c r="G269" s="21" t="s">
        <v>23</v>
      </c>
      <c r="H269" s="21" t="s">
        <v>286</v>
      </c>
      <c r="I269" s="21" t="s">
        <v>287</v>
      </c>
      <c r="J269" s="17" t="s">
        <v>439</v>
      </c>
      <c r="K269" s="17" t="s">
        <v>26</v>
      </c>
      <c r="L269" s="17" t="s">
        <v>32</v>
      </c>
      <c r="M269" s="19" t="s">
        <v>28</v>
      </c>
      <c r="N269" s="17"/>
      <c r="O269" s="22" t="s">
        <v>452</v>
      </c>
      <c r="P269" s="20"/>
      <c r="Q269" s="31">
        <f t="shared" si="16"/>
        <v>1</v>
      </c>
      <c r="R269" s="32" t="str">
        <f t="shared" si="17"/>
        <v>P01.084</v>
      </c>
    </row>
    <row r="270" spans="1:18">
      <c r="A270" s="17"/>
      <c r="B270" s="17"/>
      <c r="C270" s="17"/>
      <c r="D270" s="17">
        <f t="shared" si="18"/>
        <v>344</v>
      </c>
      <c r="E270" s="19" t="s">
        <v>284</v>
      </c>
      <c r="F270" s="22" t="s">
        <v>453</v>
      </c>
      <c r="G270" s="21" t="s">
        <v>23</v>
      </c>
      <c r="H270" s="21" t="s">
        <v>286</v>
      </c>
      <c r="I270" s="21" t="s">
        <v>287</v>
      </c>
      <c r="J270" s="17" t="s">
        <v>439</v>
      </c>
      <c r="K270" s="17" t="s">
        <v>26</v>
      </c>
      <c r="L270" s="17" t="s">
        <v>32</v>
      </c>
      <c r="M270" s="19" t="s">
        <v>28</v>
      </c>
      <c r="N270" s="17"/>
      <c r="O270" s="22" t="s">
        <v>454</v>
      </c>
      <c r="P270" s="20"/>
      <c r="Q270" s="31">
        <f t="shared" si="16"/>
        <v>1</v>
      </c>
      <c r="R270" s="32" t="str">
        <f t="shared" si="17"/>
        <v>P01.088</v>
      </c>
    </row>
    <row r="271" spans="1:18">
      <c r="A271" s="17"/>
      <c r="B271" s="17"/>
      <c r="C271" s="17"/>
      <c r="D271" s="17">
        <f t="shared" si="18"/>
        <v>348</v>
      </c>
      <c r="E271" s="19" t="s">
        <v>29</v>
      </c>
      <c r="F271" s="20"/>
      <c r="G271" s="21" t="s">
        <v>23</v>
      </c>
      <c r="H271" s="21" t="s">
        <v>23</v>
      </c>
      <c r="I271" s="21" t="s">
        <v>30</v>
      </c>
      <c r="J271" s="17" t="s">
        <v>25</v>
      </c>
      <c r="K271" s="17" t="s">
        <v>26</v>
      </c>
      <c r="L271" s="17" t="s">
        <v>32</v>
      </c>
      <c r="M271" s="19" t="s">
        <v>28</v>
      </c>
      <c r="N271" s="17"/>
      <c r="O271" s="20"/>
      <c r="P271" s="20"/>
      <c r="Q271" s="31">
        <f t="shared" si="16"/>
        <v>1</v>
      </c>
      <c r="R271" s="32" t="str">
        <f t="shared" si="17"/>
        <v>P01.092</v>
      </c>
    </row>
    <row r="272" spans="1:18">
      <c r="A272" s="17"/>
      <c r="B272" s="17"/>
      <c r="C272" s="17"/>
      <c r="D272" s="17">
        <f t="shared" si="18"/>
        <v>349</v>
      </c>
      <c r="E272" s="19" t="s">
        <v>29</v>
      </c>
      <c r="F272" s="20"/>
      <c r="G272" s="21" t="s">
        <v>23</v>
      </c>
      <c r="H272" s="21" t="s">
        <v>23</v>
      </c>
      <c r="I272" s="21" t="s">
        <v>30</v>
      </c>
      <c r="J272" s="17" t="s">
        <v>25</v>
      </c>
      <c r="K272" s="17" t="s">
        <v>26</v>
      </c>
      <c r="L272" s="17" t="s">
        <v>32</v>
      </c>
      <c r="M272" s="19" t="s">
        <v>28</v>
      </c>
      <c r="N272" s="17"/>
      <c r="O272" s="20"/>
      <c r="P272" s="20"/>
      <c r="Q272" s="31">
        <f t="shared" si="16"/>
        <v>1</v>
      </c>
      <c r="R272" s="32" t="str">
        <f t="shared" si="17"/>
        <v>P01.093</v>
      </c>
    </row>
    <row r="273" spans="1:18">
      <c r="A273" s="17"/>
      <c r="B273" s="17"/>
      <c r="C273" s="17"/>
      <c r="D273" s="17">
        <f t="shared" si="18"/>
        <v>350</v>
      </c>
      <c r="E273" s="19" t="s">
        <v>29</v>
      </c>
      <c r="F273" s="20"/>
      <c r="G273" s="21" t="s">
        <v>23</v>
      </c>
      <c r="H273" s="21" t="s">
        <v>23</v>
      </c>
      <c r="I273" s="21" t="s">
        <v>30</v>
      </c>
      <c r="J273" s="17" t="s">
        <v>25</v>
      </c>
      <c r="K273" s="17" t="s">
        <v>26</v>
      </c>
      <c r="L273" s="17" t="s">
        <v>32</v>
      </c>
      <c r="M273" s="19" t="s">
        <v>28</v>
      </c>
      <c r="N273" s="17"/>
      <c r="O273" s="20"/>
      <c r="P273" s="20"/>
      <c r="Q273" s="31">
        <f t="shared" si="16"/>
        <v>1</v>
      </c>
      <c r="R273" s="32" t="str">
        <f t="shared" si="17"/>
        <v>P01.094</v>
      </c>
    </row>
    <row r="274" spans="1:18">
      <c r="A274" s="17"/>
      <c r="B274" s="17"/>
      <c r="C274" s="17"/>
      <c r="D274" s="17">
        <f t="shared" si="18"/>
        <v>351</v>
      </c>
      <c r="E274" s="19" t="s">
        <v>29</v>
      </c>
      <c r="F274" s="20"/>
      <c r="G274" s="21" t="s">
        <v>23</v>
      </c>
      <c r="H274" s="21" t="s">
        <v>23</v>
      </c>
      <c r="I274" s="21" t="s">
        <v>30</v>
      </c>
      <c r="J274" s="17" t="s">
        <v>25</v>
      </c>
      <c r="K274" s="17" t="s">
        <v>26</v>
      </c>
      <c r="L274" s="17" t="s">
        <v>32</v>
      </c>
      <c r="M274" s="19" t="s">
        <v>28</v>
      </c>
      <c r="N274" s="17"/>
      <c r="O274" s="20"/>
      <c r="P274" s="20"/>
      <c r="Q274" s="31">
        <f t="shared" si="16"/>
        <v>1</v>
      </c>
      <c r="R274" s="32" t="str">
        <f t="shared" si="17"/>
        <v>P01.095</v>
      </c>
    </row>
    <row r="275" spans="1:18">
      <c r="A275" s="17"/>
      <c r="B275" s="17"/>
      <c r="C275" s="17"/>
      <c r="D275" s="17">
        <f t="shared" si="18"/>
        <v>352</v>
      </c>
      <c r="E275" s="19" t="s">
        <v>29</v>
      </c>
      <c r="F275" s="22" t="s">
        <v>455</v>
      </c>
      <c r="G275" s="21" t="s">
        <v>23</v>
      </c>
      <c r="H275" s="21" t="s">
        <v>23</v>
      </c>
      <c r="I275" s="21" t="s">
        <v>456</v>
      </c>
      <c r="J275" s="17" t="s">
        <v>25</v>
      </c>
      <c r="K275" s="17" t="s">
        <v>63</v>
      </c>
      <c r="L275" s="17" t="s">
        <v>32</v>
      </c>
      <c r="M275" s="19" t="s">
        <v>28</v>
      </c>
      <c r="N275" s="17"/>
      <c r="O275" s="22" t="s">
        <v>457</v>
      </c>
      <c r="P275" s="20"/>
      <c r="Q275" s="31">
        <f t="shared" si="16"/>
        <v>1</v>
      </c>
      <c r="R275" s="32" t="str">
        <f t="shared" si="17"/>
        <v>P01.096</v>
      </c>
    </row>
    <row r="276" spans="1:18">
      <c r="A276" s="17"/>
      <c r="B276" s="17"/>
      <c r="C276" s="17"/>
      <c r="D276" s="17">
        <f t="shared" si="18"/>
        <v>353</v>
      </c>
      <c r="E276" s="19" t="s">
        <v>29</v>
      </c>
      <c r="F276" s="22" t="s">
        <v>458</v>
      </c>
      <c r="G276" s="21" t="s">
        <v>23</v>
      </c>
      <c r="H276" s="21" t="s">
        <v>23</v>
      </c>
      <c r="I276" s="21" t="s">
        <v>30</v>
      </c>
      <c r="J276" s="17" t="s">
        <v>25</v>
      </c>
      <c r="K276" s="17" t="s">
        <v>26</v>
      </c>
      <c r="L276" s="17" t="s">
        <v>32</v>
      </c>
      <c r="M276" s="19" t="s">
        <v>28</v>
      </c>
      <c r="N276" s="17"/>
      <c r="O276" s="22" t="s">
        <v>459</v>
      </c>
      <c r="P276" s="20"/>
      <c r="Q276" s="31">
        <f t="shared" si="16"/>
        <v>1</v>
      </c>
      <c r="R276" s="32" t="str">
        <f t="shared" si="17"/>
        <v>P01.097</v>
      </c>
    </row>
    <row r="277" spans="1:18">
      <c r="A277" s="17"/>
      <c r="B277" s="17"/>
      <c r="C277" s="17"/>
      <c r="D277" s="17">
        <f t="shared" si="18"/>
        <v>354</v>
      </c>
      <c r="E277" s="19" t="s">
        <v>29</v>
      </c>
      <c r="F277" s="22" t="s">
        <v>460</v>
      </c>
      <c r="G277" s="21" t="s">
        <v>23</v>
      </c>
      <c r="H277" s="21" t="s">
        <v>23</v>
      </c>
      <c r="I277" s="21" t="s">
        <v>30</v>
      </c>
      <c r="J277" s="17" t="s">
        <v>25</v>
      </c>
      <c r="K277" s="17" t="s">
        <v>26</v>
      </c>
      <c r="L277" s="17" t="s">
        <v>32</v>
      </c>
      <c r="M277" s="19" t="s">
        <v>28</v>
      </c>
      <c r="N277" s="17"/>
      <c r="O277" s="22" t="s">
        <v>461</v>
      </c>
      <c r="P277" s="20"/>
      <c r="Q277" s="31">
        <f t="shared" si="16"/>
        <v>1</v>
      </c>
      <c r="R277" s="32" t="str">
        <f t="shared" si="17"/>
        <v>P01.098</v>
      </c>
    </row>
    <row r="278" spans="1:18">
      <c r="A278" s="17"/>
      <c r="B278" s="17"/>
      <c r="C278" s="17"/>
      <c r="D278" s="17">
        <f t="shared" si="18"/>
        <v>355</v>
      </c>
      <c r="E278" s="19" t="s">
        <v>29</v>
      </c>
      <c r="F278" s="22" t="s">
        <v>462</v>
      </c>
      <c r="G278" s="21" t="s">
        <v>23</v>
      </c>
      <c r="H278" s="21" t="s">
        <v>23</v>
      </c>
      <c r="I278" s="21" t="s">
        <v>30</v>
      </c>
      <c r="J278" s="17" t="s">
        <v>25</v>
      </c>
      <c r="K278" s="17" t="s">
        <v>26</v>
      </c>
      <c r="L278" s="17" t="s">
        <v>32</v>
      </c>
      <c r="M278" s="19" t="s">
        <v>28</v>
      </c>
      <c r="N278" s="17"/>
      <c r="O278" s="22" t="s">
        <v>463</v>
      </c>
      <c r="P278" s="20"/>
      <c r="Q278" s="31">
        <f t="shared" si="16"/>
        <v>1</v>
      </c>
      <c r="R278" s="32" t="str">
        <f t="shared" si="17"/>
        <v>P01.099</v>
      </c>
    </row>
    <row r="279" spans="1:18">
      <c r="A279" s="17"/>
      <c r="B279" s="17"/>
      <c r="C279" s="17"/>
      <c r="D279" s="17">
        <f t="shared" si="18"/>
        <v>356</v>
      </c>
      <c r="E279" s="19" t="s">
        <v>29</v>
      </c>
      <c r="F279" s="22" t="s">
        <v>464</v>
      </c>
      <c r="G279" s="21" t="s">
        <v>23</v>
      </c>
      <c r="H279" s="21" t="s">
        <v>23</v>
      </c>
      <c r="I279" s="21" t="s">
        <v>30</v>
      </c>
      <c r="J279" s="17" t="s">
        <v>25</v>
      </c>
      <c r="K279" s="17" t="s">
        <v>26</v>
      </c>
      <c r="L279" s="17" t="s">
        <v>32</v>
      </c>
      <c r="M279" s="19" t="s">
        <v>28</v>
      </c>
      <c r="N279" s="17"/>
      <c r="O279" s="22" t="s">
        <v>465</v>
      </c>
      <c r="P279" s="20"/>
      <c r="Q279" s="31">
        <f t="shared" si="16"/>
        <v>1</v>
      </c>
      <c r="R279" s="32" t="str">
        <f t="shared" si="17"/>
        <v>P01.100</v>
      </c>
    </row>
    <row r="280" spans="1:18">
      <c r="A280" s="17"/>
      <c r="B280" s="17"/>
      <c r="C280" s="17"/>
      <c r="D280" s="17">
        <f t="shared" si="18"/>
        <v>357</v>
      </c>
      <c r="E280" s="19" t="s">
        <v>29</v>
      </c>
      <c r="F280" s="22" t="s">
        <v>466</v>
      </c>
      <c r="G280" s="21" t="s">
        <v>23</v>
      </c>
      <c r="H280" s="21" t="s">
        <v>23</v>
      </c>
      <c r="I280" s="21" t="s">
        <v>30</v>
      </c>
      <c r="J280" s="17" t="s">
        <v>25</v>
      </c>
      <c r="K280" s="17" t="s">
        <v>26</v>
      </c>
      <c r="L280" s="17" t="s">
        <v>32</v>
      </c>
      <c r="M280" s="19" t="s">
        <v>28</v>
      </c>
      <c r="N280" s="17"/>
      <c r="O280" s="22" t="s">
        <v>467</v>
      </c>
      <c r="P280" s="20"/>
      <c r="Q280" s="31">
        <f t="shared" si="16"/>
        <v>1</v>
      </c>
      <c r="R280" s="32" t="str">
        <f t="shared" si="17"/>
        <v>P01.101</v>
      </c>
    </row>
    <row r="281" spans="1:18">
      <c r="A281" s="17"/>
      <c r="B281" s="17"/>
      <c r="C281" s="17"/>
      <c r="D281" s="17">
        <f t="shared" si="18"/>
        <v>358</v>
      </c>
      <c r="E281" s="19" t="s">
        <v>29</v>
      </c>
      <c r="F281" s="22" t="s">
        <v>468</v>
      </c>
      <c r="G281" s="21" t="s">
        <v>23</v>
      </c>
      <c r="H281" s="21" t="s">
        <v>23</v>
      </c>
      <c r="I281" s="21" t="s">
        <v>30</v>
      </c>
      <c r="J281" s="17" t="s">
        <v>25</v>
      </c>
      <c r="K281" s="17" t="s">
        <v>26</v>
      </c>
      <c r="L281" s="17" t="s">
        <v>32</v>
      </c>
      <c r="M281" s="19" t="s">
        <v>28</v>
      </c>
      <c r="N281" s="17"/>
      <c r="O281" s="22" t="s">
        <v>469</v>
      </c>
      <c r="P281" s="20"/>
      <c r="Q281" s="31">
        <f t="shared" si="16"/>
        <v>1</v>
      </c>
      <c r="R281" s="32" t="str">
        <f t="shared" si="17"/>
        <v>P01.102</v>
      </c>
    </row>
    <row r="282" spans="1:18">
      <c r="A282" s="17"/>
      <c r="B282" s="17"/>
      <c r="C282" s="17"/>
      <c r="D282" s="17">
        <f t="shared" si="18"/>
        <v>359</v>
      </c>
      <c r="E282" s="19" t="s">
        <v>29</v>
      </c>
      <c r="F282" s="22" t="s">
        <v>470</v>
      </c>
      <c r="G282" s="21" t="s">
        <v>23</v>
      </c>
      <c r="H282" s="21" t="s">
        <v>23</v>
      </c>
      <c r="I282" s="21" t="s">
        <v>30</v>
      </c>
      <c r="J282" s="17" t="s">
        <v>25</v>
      </c>
      <c r="K282" s="17" t="s">
        <v>26</v>
      </c>
      <c r="L282" s="17" t="s">
        <v>32</v>
      </c>
      <c r="M282" s="19" t="s">
        <v>28</v>
      </c>
      <c r="N282" s="17"/>
      <c r="O282" s="22" t="s">
        <v>471</v>
      </c>
      <c r="P282" s="20"/>
      <c r="Q282" s="31">
        <f t="shared" si="16"/>
        <v>1</v>
      </c>
      <c r="R282" s="32" t="str">
        <f t="shared" si="17"/>
        <v>P01.103</v>
      </c>
    </row>
    <row r="283" spans="1:18">
      <c r="A283" s="17"/>
      <c r="B283" s="17"/>
      <c r="C283" s="17"/>
      <c r="D283" s="17">
        <f t="shared" si="18"/>
        <v>360</v>
      </c>
      <c r="E283" s="19" t="s">
        <v>29</v>
      </c>
      <c r="F283" s="22" t="s">
        <v>472</v>
      </c>
      <c r="G283" s="21" t="s">
        <v>23</v>
      </c>
      <c r="H283" s="21" t="s">
        <v>23</v>
      </c>
      <c r="I283" s="21" t="s">
        <v>30</v>
      </c>
      <c r="J283" s="17" t="s">
        <v>25</v>
      </c>
      <c r="K283" s="17" t="s">
        <v>26</v>
      </c>
      <c r="L283" s="17" t="s">
        <v>32</v>
      </c>
      <c r="M283" s="19" t="s">
        <v>28</v>
      </c>
      <c r="N283" s="17"/>
      <c r="O283" s="22" t="s">
        <v>473</v>
      </c>
      <c r="P283" s="20"/>
      <c r="Q283" s="31">
        <f t="shared" si="16"/>
        <v>1</v>
      </c>
      <c r="R283" s="32" t="str">
        <f t="shared" si="17"/>
        <v>P01.104</v>
      </c>
    </row>
    <row r="284" spans="1:18">
      <c r="A284" s="17"/>
      <c r="B284" s="17"/>
      <c r="C284" s="17"/>
      <c r="D284" s="17">
        <f t="shared" si="18"/>
        <v>361</v>
      </c>
      <c r="E284" s="19" t="s">
        <v>29</v>
      </c>
      <c r="F284" s="22"/>
      <c r="G284" s="21" t="s">
        <v>23</v>
      </c>
      <c r="H284" s="21" t="s">
        <v>23</v>
      </c>
      <c r="I284" s="21" t="s">
        <v>30</v>
      </c>
      <c r="J284" s="17" t="s">
        <v>25</v>
      </c>
      <c r="K284" s="17" t="s">
        <v>26</v>
      </c>
      <c r="L284" s="17" t="s">
        <v>32</v>
      </c>
      <c r="M284" s="19" t="s">
        <v>28</v>
      </c>
      <c r="N284" s="17"/>
      <c r="O284" s="20"/>
      <c r="P284" s="20"/>
      <c r="Q284" s="31">
        <f t="shared" si="16"/>
        <v>1</v>
      </c>
      <c r="R284" s="32" t="str">
        <f t="shared" si="17"/>
        <v>P01.105</v>
      </c>
    </row>
    <row r="285" spans="1:18">
      <c r="A285" s="17"/>
      <c r="B285" s="17"/>
      <c r="C285" s="17"/>
      <c r="D285" s="17">
        <f t="shared" si="18"/>
        <v>362</v>
      </c>
      <c r="E285" s="19" t="s">
        <v>29</v>
      </c>
      <c r="F285" s="22"/>
      <c r="G285" s="21" t="s">
        <v>23</v>
      </c>
      <c r="H285" s="21" t="s">
        <v>23</v>
      </c>
      <c r="I285" s="21" t="s">
        <v>30</v>
      </c>
      <c r="J285" s="17" t="s">
        <v>25</v>
      </c>
      <c r="K285" s="17" t="s">
        <v>26</v>
      </c>
      <c r="L285" s="17" t="s">
        <v>32</v>
      </c>
      <c r="M285" s="19" t="s">
        <v>28</v>
      </c>
      <c r="N285" s="17"/>
      <c r="O285" s="20"/>
      <c r="P285" s="20"/>
      <c r="Q285" s="31">
        <f t="shared" si="16"/>
        <v>1</v>
      </c>
      <c r="R285" s="32" t="str">
        <f t="shared" si="17"/>
        <v>P01.106</v>
      </c>
    </row>
    <row r="286" spans="1:18">
      <c r="A286" s="17"/>
      <c r="B286" s="17"/>
      <c r="C286" s="17"/>
      <c r="D286" s="17">
        <f t="shared" si="18"/>
        <v>363</v>
      </c>
      <c r="E286" s="19" t="s">
        <v>29</v>
      </c>
      <c r="F286" s="22"/>
      <c r="G286" s="21" t="s">
        <v>23</v>
      </c>
      <c r="H286" s="21" t="s">
        <v>23</v>
      </c>
      <c r="I286" s="21" t="s">
        <v>30</v>
      </c>
      <c r="J286" s="17" t="s">
        <v>25</v>
      </c>
      <c r="K286" s="17" t="s">
        <v>26</v>
      </c>
      <c r="L286" s="17" t="s">
        <v>32</v>
      </c>
      <c r="M286" s="19" t="s">
        <v>28</v>
      </c>
      <c r="N286" s="17"/>
      <c r="O286" s="20"/>
      <c r="P286" s="20"/>
      <c r="Q286" s="31">
        <f t="shared" si="16"/>
        <v>1</v>
      </c>
      <c r="R286" s="32" t="str">
        <f t="shared" si="17"/>
        <v>P01.107</v>
      </c>
    </row>
    <row r="287" spans="1:18">
      <c r="A287" s="17"/>
      <c r="B287" s="17"/>
      <c r="C287" s="17"/>
      <c r="D287" s="17">
        <f t="shared" si="18"/>
        <v>364</v>
      </c>
      <c r="E287" s="19" t="s">
        <v>29</v>
      </c>
      <c r="F287" s="22"/>
      <c r="G287" s="21" t="s">
        <v>23</v>
      </c>
      <c r="H287" s="21" t="s">
        <v>23</v>
      </c>
      <c r="I287" s="21" t="s">
        <v>30</v>
      </c>
      <c r="J287" s="17" t="s">
        <v>25</v>
      </c>
      <c r="K287" s="17" t="s">
        <v>26</v>
      </c>
      <c r="L287" s="17" t="s">
        <v>32</v>
      </c>
      <c r="M287" s="19" t="s">
        <v>28</v>
      </c>
      <c r="N287" s="17"/>
      <c r="O287" s="20"/>
      <c r="P287" s="20"/>
      <c r="Q287" s="31">
        <f t="shared" si="16"/>
        <v>1</v>
      </c>
      <c r="R287" s="32" t="str">
        <f t="shared" si="17"/>
        <v>P01.108</v>
      </c>
    </row>
    <row r="288" spans="1:18">
      <c r="A288" s="17"/>
      <c r="B288" s="17"/>
      <c r="C288" s="17"/>
      <c r="D288" s="17">
        <f t="shared" si="18"/>
        <v>365</v>
      </c>
      <c r="E288" s="19" t="s">
        <v>29</v>
      </c>
      <c r="F288" s="22"/>
      <c r="G288" s="21" t="s">
        <v>23</v>
      </c>
      <c r="H288" s="21" t="s">
        <v>23</v>
      </c>
      <c r="I288" s="21" t="s">
        <v>30</v>
      </c>
      <c r="J288" s="17" t="s">
        <v>25</v>
      </c>
      <c r="K288" s="17" t="s">
        <v>26</v>
      </c>
      <c r="L288" s="17" t="s">
        <v>32</v>
      </c>
      <c r="M288" s="19" t="s">
        <v>28</v>
      </c>
      <c r="N288" s="17"/>
      <c r="O288" s="20"/>
      <c r="P288" s="20"/>
      <c r="Q288" s="31">
        <f t="shared" si="16"/>
        <v>1</v>
      </c>
      <c r="R288" s="32" t="str">
        <f t="shared" si="17"/>
        <v>P01.109</v>
      </c>
    </row>
    <row r="289" spans="1:18">
      <c r="A289" s="17"/>
      <c r="B289" s="17"/>
      <c r="C289" s="17"/>
      <c r="D289" s="17">
        <f t="shared" si="18"/>
        <v>366</v>
      </c>
      <c r="E289" s="19" t="s">
        <v>29</v>
      </c>
      <c r="F289" s="22"/>
      <c r="G289" s="21" t="s">
        <v>23</v>
      </c>
      <c r="H289" s="21" t="s">
        <v>23</v>
      </c>
      <c r="I289" s="21" t="s">
        <v>30</v>
      </c>
      <c r="J289" s="17" t="s">
        <v>25</v>
      </c>
      <c r="K289" s="17" t="s">
        <v>26</v>
      </c>
      <c r="L289" s="17" t="s">
        <v>32</v>
      </c>
      <c r="M289" s="19" t="s">
        <v>28</v>
      </c>
      <c r="N289" s="17"/>
      <c r="O289" s="20"/>
      <c r="P289" s="20"/>
      <c r="Q289" s="31">
        <f t="shared" si="16"/>
        <v>1</v>
      </c>
      <c r="R289" s="32" t="str">
        <f t="shared" si="17"/>
        <v>P01.110</v>
      </c>
    </row>
    <row r="290" spans="1:18">
      <c r="A290" s="17"/>
      <c r="B290" s="17"/>
      <c r="C290" s="17"/>
      <c r="D290" s="17">
        <f t="shared" si="18"/>
        <v>367</v>
      </c>
      <c r="E290" s="19" t="s">
        <v>29</v>
      </c>
      <c r="F290" s="22"/>
      <c r="G290" s="21" t="s">
        <v>23</v>
      </c>
      <c r="H290" s="21" t="s">
        <v>23</v>
      </c>
      <c r="I290" s="21" t="s">
        <v>30</v>
      </c>
      <c r="J290" s="17" t="s">
        <v>25</v>
      </c>
      <c r="K290" s="17" t="s">
        <v>26</v>
      </c>
      <c r="L290" s="17" t="s">
        <v>32</v>
      </c>
      <c r="M290" s="19" t="s">
        <v>28</v>
      </c>
      <c r="N290" s="17"/>
      <c r="O290" s="20"/>
      <c r="P290" s="20"/>
      <c r="Q290" s="31">
        <f t="shared" si="16"/>
        <v>1</v>
      </c>
      <c r="R290" s="32" t="str">
        <f t="shared" si="17"/>
        <v>P01.111</v>
      </c>
    </row>
    <row r="291" spans="1:18">
      <c r="A291" s="17"/>
      <c r="B291" s="17"/>
      <c r="C291" s="17"/>
      <c r="D291" s="17">
        <f t="shared" si="18"/>
        <v>368</v>
      </c>
      <c r="E291" s="19" t="s">
        <v>29</v>
      </c>
      <c r="F291" s="22"/>
      <c r="G291" s="21" t="s">
        <v>23</v>
      </c>
      <c r="H291" s="21" t="s">
        <v>23</v>
      </c>
      <c r="I291" s="21" t="s">
        <v>30</v>
      </c>
      <c r="J291" s="17" t="s">
        <v>25</v>
      </c>
      <c r="K291" s="17" t="s">
        <v>26</v>
      </c>
      <c r="L291" s="17" t="s">
        <v>32</v>
      </c>
      <c r="M291" s="19" t="s">
        <v>28</v>
      </c>
      <c r="N291" s="17"/>
      <c r="O291" s="20"/>
      <c r="P291" s="20"/>
      <c r="Q291" s="31">
        <f t="shared" si="16"/>
        <v>1</v>
      </c>
      <c r="R291" s="32" t="str">
        <f t="shared" si="17"/>
        <v>P01.112</v>
      </c>
    </row>
    <row r="292" spans="1:18">
      <c r="A292" s="17"/>
      <c r="B292" s="17"/>
      <c r="C292" s="17"/>
      <c r="D292" s="17">
        <f t="shared" si="18"/>
        <v>369</v>
      </c>
      <c r="E292" s="19" t="s">
        <v>29</v>
      </c>
      <c r="F292" s="22"/>
      <c r="G292" s="21" t="s">
        <v>23</v>
      </c>
      <c r="H292" s="21" t="s">
        <v>23</v>
      </c>
      <c r="I292" s="21" t="s">
        <v>30</v>
      </c>
      <c r="J292" s="17" t="s">
        <v>25</v>
      </c>
      <c r="K292" s="17" t="s">
        <v>26</v>
      </c>
      <c r="L292" s="17" t="s">
        <v>32</v>
      </c>
      <c r="M292" s="19" t="s">
        <v>28</v>
      </c>
      <c r="N292" s="17"/>
      <c r="O292" s="20"/>
      <c r="P292" s="20"/>
      <c r="Q292" s="31">
        <f t="shared" si="16"/>
        <v>1</v>
      </c>
      <c r="R292" s="32" t="str">
        <f t="shared" si="17"/>
        <v>P01.113</v>
      </c>
    </row>
    <row r="293" spans="1:18">
      <c r="A293" s="17"/>
      <c r="B293" s="17"/>
      <c r="C293" s="17"/>
      <c r="D293" s="17">
        <f t="shared" si="18"/>
        <v>370</v>
      </c>
      <c r="E293" s="19" t="s">
        <v>29</v>
      </c>
      <c r="F293" s="22"/>
      <c r="G293" s="21" t="s">
        <v>23</v>
      </c>
      <c r="H293" s="21" t="s">
        <v>23</v>
      </c>
      <c r="I293" s="21" t="s">
        <v>30</v>
      </c>
      <c r="J293" s="17" t="s">
        <v>25</v>
      </c>
      <c r="K293" s="17" t="s">
        <v>26</v>
      </c>
      <c r="L293" s="17" t="s">
        <v>32</v>
      </c>
      <c r="M293" s="19" t="s">
        <v>28</v>
      </c>
      <c r="N293" s="17"/>
      <c r="O293" s="20"/>
      <c r="P293" s="20"/>
      <c r="Q293" s="31">
        <f t="shared" si="16"/>
        <v>1</v>
      </c>
      <c r="R293" s="32" t="str">
        <f t="shared" si="17"/>
        <v>P01.114</v>
      </c>
    </row>
    <row r="294" spans="1:18">
      <c r="A294" s="17"/>
      <c r="B294" s="17"/>
      <c r="C294" s="17"/>
      <c r="D294" s="17">
        <f t="shared" si="18"/>
        <v>371</v>
      </c>
      <c r="E294" s="19" t="s">
        <v>29</v>
      </c>
      <c r="F294" s="22"/>
      <c r="G294" s="21" t="s">
        <v>23</v>
      </c>
      <c r="H294" s="21" t="s">
        <v>23</v>
      </c>
      <c r="I294" s="21" t="s">
        <v>30</v>
      </c>
      <c r="J294" s="17" t="s">
        <v>25</v>
      </c>
      <c r="K294" s="17" t="s">
        <v>26</v>
      </c>
      <c r="L294" s="17" t="s">
        <v>32</v>
      </c>
      <c r="M294" s="19" t="s">
        <v>28</v>
      </c>
      <c r="N294" s="17"/>
      <c r="O294" s="20"/>
      <c r="P294" s="20"/>
      <c r="Q294" s="31">
        <f t="shared" si="16"/>
        <v>1</v>
      </c>
      <c r="R294" s="32" t="str">
        <f t="shared" si="17"/>
        <v>P01.115</v>
      </c>
    </row>
    <row r="295" spans="1:18">
      <c r="A295" s="17"/>
      <c r="B295" s="17"/>
      <c r="C295" s="17"/>
      <c r="D295" s="17">
        <f t="shared" si="18"/>
        <v>372</v>
      </c>
      <c r="E295" s="19" t="s">
        <v>29</v>
      </c>
      <c r="F295" s="22"/>
      <c r="G295" s="21" t="s">
        <v>23</v>
      </c>
      <c r="H295" s="21" t="s">
        <v>23</v>
      </c>
      <c r="I295" s="21" t="s">
        <v>30</v>
      </c>
      <c r="J295" s="17" t="s">
        <v>25</v>
      </c>
      <c r="K295" s="17" t="s">
        <v>26</v>
      </c>
      <c r="L295" s="17" t="s">
        <v>32</v>
      </c>
      <c r="M295" s="19" t="s">
        <v>28</v>
      </c>
      <c r="N295" s="17"/>
      <c r="O295" s="20"/>
      <c r="P295" s="20"/>
      <c r="Q295" s="31">
        <f t="shared" si="16"/>
        <v>1</v>
      </c>
      <c r="R295" s="32" t="str">
        <f t="shared" si="17"/>
        <v>P01.116</v>
      </c>
    </row>
    <row r="296" spans="1:18">
      <c r="A296" s="17"/>
      <c r="B296" s="17"/>
      <c r="C296" s="17"/>
      <c r="D296" s="17">
        <f t="shared" si="18"/>
        <v>373</v>
      </c>
      <c r="E296" s="19" t="s">
        <v>29</v>
      </c>
      <c r="F296" s="22"/>
      <c r="G296" s="21" t="s">
        <v>23</v>
      </c>
      <c r="H296" s="21" t="s">
        <v>23</v>
      </c>
      <c r="I296" s="21" t="s">
        <v>30</v>
      </c>
      <c r="J296" s="17" t="s">
        <v>25</v>
      </c>
      <c r="K296" s="17" t="s">
        <v>26</v>
      </c>
      <c r="L296" s="17" t="s">
        <v>32</v>
      </c>
      <c r="M296" s="19" t="s">
        <v>28</v>
      </c>
      <c r="N296" s="17"/>
      <c r="O296" s="20"/>
      <c r="P296" s="20"/>
      <c r="Q296" s="31">
        <f t="shared" si="16"/>
        <v>1</v>
      </c>
      <c r="R296" s="32" t="str">
        <f t="shared" si="17"/>
        <v>P01.117</v>
      </c>
    </row>
    <row r="297" spans="1:18">
      <c r="A297" s="17"/>
      <c r="B297" s="17"/>
      <c r="C297" s="17"/>
      <c r="D297" s="17">
        <f t="shared" si="18"/>
        <v>374</v>
      </c>
      <c r="E297" s="19" t="s">
        <v>29</v>
      </c>
      <c r="F297" s="22"/>
      <c r="G297" s="21" t="s">
        <v>23</v>
      </c>
      <c r="H297" s="21" t="s">
        <v>23</v>
      </c>
      <c r="I297" s="21" t="s">
        <v>30</v>
      </c>
      <c r="J297" s="17" t="s">
        <v>25</v>
      </c>
      <c r="K297" s="17" t="s">
        <v>26</v>
      </c>
      <c r="L297" s="17" t="s">
        <v>32</v>
      </c>
      <c r="M297" s="19" t="s">
        <v>28</v>
      </c>
      <c r="N297" s="17"/>
      <c r="O297" s="20"/>
      <c r="P297" s="20"/>
      <c r="Q297" s="31">
        <f t="shared" si="16"/>
        <v>1</v>
      </c>
      <c r="R297" s="32" t="str">
        <f t="shared" si="17"/>
        <v>P01.118</v>
      </c>
    </row>
    <row r="298" spans="1:18">
      <c r="A298" s="17"/>
      <c r="B298" s="17"/>
      <c r="C298" s="17"/>
      <c r="D298" s="17">
        <f t="shared" si="18"/>
        <v>375</v>
      </c>
      <c r="E298" s="19" t="s">
        <v>29</v>
      </c>
      <c r="F298" s="22"/>
      <c r="G298" s="21" t="s">
        <v>23</v>
      </c>
      <c r="H298" s="21" t="s">
        <v>23</v>
      </c>
      <c r="I298" s="21" t="s">
        <v>30</v>
      </c>
      <c r="J298" s="17" t="s">
        <v>25</v>
      </c>
      <c r="K298" s="17" t="s">
        <v>26</v>
      </c>
      <c r="L298" s="17" t="s">
        <v>32</v>
      </c>
      <c r="M298" s="19" t="s">
        <v>28</v>
      </c>
      <c r="N298" s="17"/>
      <c r="O298" s="20"/>
      <c r="P298" s="20"/>
      <c r="Q298" s="31">
        <f t="shared" si="16"/>
        <v>1</v>
      </c>
      <c r="R298" s="32" t="str">
        <f t="shared" si="17"/>
        <v>P01.119</v>
      </c>
    </row>
    <row r="299" spans="1:18">
      <c r="A299" s="17"/>
      <c r="B299" s="17"/>
      <c r="C299" s="17"/>
      <c r="D299" s="17">
        <f t="shared" si="18"/>
        <v>376</v>
      </c>
      <c r="E299" s="19" t="s">
        <v>29</v>
      </c>
      <c r="F299" s="22"/>
      <c r="G299" s="21" t="s">
        <v>23</v>
      </c>
      <c r="H299" s="21" t="s">
        <v>23</v>
      </c>
      <c r="I299" s="21" t="s">
        <v>30</v>
      </c>
      <c r="J299" s="17" t="s">
        <v>25</v>
      </c>
      <c r="K299" s="17" t="s">
        <v>26</v>
      </c>
      <c r="L299" s="17" t="s">
        <v>32</v>
      </c>
      <c r="M299" s="19" t="s">
        <v>28</v>
      </c>
      <c r="N299" s="17"/>
      <c r="O299" s="20"/>
      <c r="P299" s="20"/>
      <c r="Q299" s="31">
        <f t="shared" si="16"/>
        <v>1</v>
      </c>
      <c r="R299" s="32" t="str">
        <f t="shared" si="17"/>
        <v>P01.120</v>
      </c>
    </row>
    <row r="300" spans="1:18">
      <c r="A300" s="17"/>
      <c r="B300" s="17"/>
      <c r="C300" s="17"/>
      <c r="D300" s="17">
        <f t="shared" si="18"/>
        <v>377</v>
      </c>
      <c r="E300" s="19" t="s">
        <v>29</v>
      </c>
      <c r="F300" s="22"/>
      <c r="G300" s="21" t="s">
        <v>23</v>
      </c>
      <c r="H300" s="21" t="s">
        <v>23</v>
      </c>
      <c r="I300" s="21" t="s">
        <v>30</v>
      </c>
      <c r="J300" s="17" t="s">
        <v>25</v>
      </c>
      <c r="K300" s="17" t="s">
        <v>26</v>
      </c>
      <c r="L300" s="17" t="s">
        <v>32</v>
      </c>
      <c r="M300" s="19" t="s">
        <v>28</v>
      </c>
      <c r="N300" s="17"/>
      <c r="O300" s="20"/>
      <c r="P300" s="20"/>
      <c r="Q300" s="31">
        <f t="shared" si="16"/>
        <v>1</v>
      </c>
      <c r="R300" s="32" t="str">
        <f t="shared" si="17"/>
        <v>P01.121</v>
      </c>
    </row>
    <row r="301" spans="1:18">
      <c r="A301" s="17"/>
      <c r="B301" s="17"/>
      <c r="C301" s="17"/>
      <c r="D301" s="17">
        <f t="shared" si="18"/>
        <v>378</v>
      </c>
      <c r="E301" s="19" t="s">
        <v>29</v>
      </c>
      <c r="F301" s="22"/>
      <c r="G301" s="21" t="s">
        <v>23</v>
      </c>
      <c r="H301" s="21" t="s">
        <v>23</v>
      </c>
      <c r="I301" s="21" t="s">
        <v>30</v>
      </c>
      <c r="J301" s="17" t="s">
        <v>25</v>
      </c>
      <c r="K301" s="17" t="s">
        <v>26</v>
      </c>
      <c r="L301" s="17" t="s">
        <v>32</v>
      </c>
      <c r="M301" s="19" t="s">
        <v>28</v>
      </c>
      <c r="N301" s="17"/>
      <c r="O301" s="20"/>
      <c r="P301" s="20"/>
      <c r="Q301" s="31">
        <f t="shared" si="16"/>
        <v>1</v>
      </c>
      <c r="R301" s="32" t="str">
        <f t="shared" si="17"/>
        <v>P01.122</v>
      </c>
    </row>
    <row r="302" spans="1:18">
      <c r="A302" s="17"/>
      <c r="B302" s="17"/>
      <c r="C302" s="17"/>
      <c r="D302" s="17">
        <f t="shared" si="18"/>
        <v>379</v>
      </c>
      <c r="E302" s="19" t="s">
        <v>29</v>
      </c>
      <c r="F302" s="22"/>
      <c r="G302" s="21" t="s">
        <v>23</v>
      </c>
      <c r="H302" s="21" t="s">
        <v>23</v>
      </c>
      <c r="I302" s="21" t="s">
        <v>30</v>
      </c>
      <c r="J302" s="17" t="s">
        <v>25</v>
      </c>
      <c r="K302" s="17" t="s">
        <v>26</v>
      </c>
      <c r="L302" s="17" t="s">
        <v>32</v>
      </c>
      <c r="M302" s="19" t="s">
        <v>28</v>
      </c>
      <c r="N302" s="17"/>
      <c r="O302" s="20"/>
      <c r="P302" s="20"/>
      <c r="Q302" s="31">
        <f t="shared" si="16"/>
        <v>1</v>
      </c>
      <c r="R302" s="32" t="str">
        <f t="shared" si="17"/>
        <v>P01.123</v>
      </c>
    </row>
    <row r="303" spans="1:18">
      <c r="A303" s="17"/>
      <c r="B303" s="17"/>
      <c r="C303" s="17"/>
      <c r="D303" s="17">
        <f t="shared" si="18"/>
        <v>380</v>
      </c>
      <c r="E303" s="19" t="s">
        <v>29</v>
      </c>
      <c r="F303" s="22"/>
      <c r="G303" s="21" t="s">
        <v>23</v>
      </c>
      <c r="H303" s="21" t="s">
        <v>23</v>
      </c>
      <c r="I303" s="21" t="s">
        <v>30</v>
      </c>
      <c r="J303" s="17" t="s">
        <v>25</v>
      </c>
      <c r="K303" s="17" t="s">
        <v>26</v>
      </c>
      <c r="L303" s="17" t="s">
        <v>32</v>
      </c>
      <c r="M303" s="19" t="s">
        <v>28</v>
      </c>
      <c r="N303" s="17"/>
      <c r="O303" s="20"/>
      <c r="P303" s="20"/>
      <c r="Q303" s="31">
        <f t="shared" si="16"/>
        <v>1</v>
      </c>
      <c r="R303" s="32" t="str">
        <f t="shared" si="17"/>
        <v>P01.124</v>
      </c>
    </row>
    <row r="304" spans="1:18">
      <c r="A304" s="17"/>
      <c r="B304" s="17"/>
      <c r="C304" s="17"/>
      <c r="D304" s="17">
        <f t="shared" si="18"/>
        <v>381</v>
      </c>
      <c r="E304" s="19" t="s">
        <v>29</v>
      </c>
      <c r="F304" s="22"/>
      <c r="G304" s="21" t="s">
        <v>23</v>
      </c>
      <c r="H304" s="21" t="s">
        <v>23</v>
      </c>
      <c r="I304" s="21" t="s">
        <v>30</v>
      </c>
      <c r="J304" s="17" t="s">
        <v>25</v>
      </c>
      <c r="K304" s="17" t="s">
        <v>26</v>
      </c>
      <c r="L304" s="17" t="s">
        <v>32</v>
      </c>
      <c r="M304" s="19" t="s">
        <v>28</v>
      </c>
      <c r="N304" s="17"/>
      <c r="O304" s="20"/>
      <c r="P304" s="20"/>
      <c r="Q304" s="31">
        <f t="shared" si="16"/>
        <v>1</v>
      </c>
      <c r="R304" s="32" t="str">
        <f t="shared" si="17"/>
        <v>P01.125</v>
      </c>
    </row>
    <row r="305" spans="1:18">
      <c r="A305" s="17"/>
      <c r="B305" s="17"/>
      <c r="C305" s="17"/>
      <c r="D305" s="17">
        <f t="shared" si="18"/>
        <v>382</v>
      </c>
      <c r="E305" s="19" t="s">
        <v>29</v>
      </c>
      <c r="F305" s="22"/>
      <c r="G305" s="21" t="s">
        <v>23</v>
      </c>
      <c r="H305" s="21" t="s">
        <v>23</v>
      </c>
      <c r="I305" s="21" t="s">
        <v>30</v>
      </c>
      <c r="J305" s="17" t="s">
        <v>25</v>
      </c>
      <c r="K305" s="17" t="s">
        <v>26</v>
      </c>
      <c r="L305" s="17" t="s">
        <v>32</v>
      </c>
      <c r="M305" s="19" t="s">
        <v>28</v>
      </c>
      <c r="N305" s="17"/>
      <c r="O305" s="20"/>
      <c r="P305" s="20"/>
      <c r="Q305" s="31">
        <f t="shared" si="16"/>
        <v>1</v>
      </c>
      <c r="R305" s="32" t="str">
        <f t="shared" si="17"/>
        <v>P01.126</v>
      </c>
    </row>
    <row r="306" spans="1:18">
      <c r="A306" s="17"/>
      <c r="B306" s="17"/>
      <c r="C306" s="17"/>
      <c r="D306" s="17">
        <f t="shared" si="18"/>
        <v>383</v>
      </c>
      <c r="E306" s="19" t="s">
        <v>29</v>
      </c>
      <c r="F306" s="22"/>
      <c r="G306" s="21" t="s">
        <v>23</v>
      </c>
      <c r="H306" s="21" t="s">
        <v>23</v>
      </c>
      <c r="I306" s="21" t="s">
        <v>30</v>
      </c>
      <c r="J306" s="17" t="s">
        <v>25</v>
      </c>
      <c r="K306" s="17" t="s">
        <v>26</v>
      </c>
      <c r="L306" s="17" t="s">
        <v>32</v>
      </c>
      <c r="M306" s="19" t="s">
        <v>28</v>
      </c>
      <c r="N306" s="17"/>
      <c r="O306" s="20"/>
      <c r="P306" s="20"/>
      <c r="Q306" s="31">
        <f t="shared" si="16"/>
        <v>1</v>
      </c>
      <c r="R306" s="32" t="str">
        <f t="shared" si="17"/>
        <v>P01.127</v>
      </c>
    </row>
    <row r="307" spans="1:18">
      <c r="A307" s="17"/>
      <c r="B307" s="17"/>
      <c r="C307" s="17"/>
      <c r="D307" s="17">
        <f t="shared" si="18"/>
        <v>384</v>
      </c>
      <c r="E307" s="19" t="s">
        <v>29</v>
      </c>
      <c r="F307" s="22"/>
      <c r="G307" s="21" t="s">
        <v>23</v>
      </c>
      <c r="H307" s="21" t="s">
        <v>23</v>
      </c>
      <c r="I307" s="21" t="s">
        <v>30</v>
      </c>
      <c r="J307" s="17" t="s">
        <v>25</v>
      </c>
      <c r="K307" s="17" t="s">
        <v>26</v>
      </c>
      <c r="L307" s="17" t="s">
        <v>32</v>
      </c>
      <c r="M307" s="19" t="s">
        <v>28</v>
      </c>
      <c r="N307" s="17"/>
      <c r="O307" s="20"/>
      <c r="P307" s="20"/>
      <c r="Q307" s="31">
        <f t="shared" si="16"/>
        <v>1</v>
      </c>
      <c r="R307" s="32" t="str">
        <f t="shared" si="17"/>
        <v>P01.128</v>
      </c>
    </row>
  </sheetData>
  <mergeCells count="28">
    <mergeCell ref="J3:M3"/>
    <mergeCell ref="A3:A4"/>
    <mergeCell ref="A5:A75"/>
    <mergeCell ref="A76:A173"/>
    <mergeCell ref="A174:A229"/>
    <mergeCell ref="A230:A307"/>
    <mergeCell ref="B3:B4"/>
    <mergeCell ref="B5:B75"/>
    <mergeCell ref="B76:B173"/>
    <mergeCell ref="B174:B229"/>
    <mergeCell ref="B230:B307"/>
    <mergeCell ref="C3:C4"/>
    <mergeCell ref="C5:C75"/>
    <mergeCell ref="C76:C173"/>
    <mergeCell ref="C174:C229"/>
    <mergeCell ref="C230:C307"/>
    <mergeCell ref="D3:D4"/>
    <mergeCell ref="E3:E4"/>
    <mergeCell ref="F3:F4"/>
    <mergeCell ref="G3:G4"/>
    <mergeCell ref="H3:H4"/>
    <mergeCell ref="I3:I4"/>
    <mergeCell ref="N3:N4"/>
    <mergeCell ref="O3:O4"/>
    <mergeCell ref="P3:P4"/>
    <mergeCell ref="R3:R4"/>
    <mergeCell ref="A1:C2"/>
    <mergeCell ref="D1:P2"/>
  </mergeCells>
  <conditionalFormatting sqref="Q6">
    <cfRule type="cellIs" dxfId="0" priority="189" operator="equal">
      <formula>0</formula>
    </cfRule>
  </conditionalFormatting>
  <conditionalFormatting sqref="R6">
    <cfRule type="containsBlanks" dxfId="1" priority="194">
      <formula>LEN(TRIM(R6))=0</formula>
    </cfRule>
  </conditionalFormatting>
  <conditionalFormatting sqref="Q7">
    <cfRule type="cellIs" dxfId="0" priority="166" operator="equal">
      <formula>0</formula>
    </cfRule>
  </conditionalFormatting>
  <conditionalFormatting sqref="R7">
    <cfRule type="containsBlanks" dxfId="1" priority="171">
      <formula>LEN(TRIM(R7))=0</formula>
    </cfRule>
  </conditionalFormatting>
  <conditionalFormatting sqref="E42">
    <cfRule type="cellIs" dxfId="2" priority="524" operator="equal">
      <formula>"f64"</formula>
    </cfRule>
    <cfRule type="cellIs" dxfId="2" priority="525" operator="equal">
      <formula>"f64"</formula>
    </cfRule>
    <cfRule type="cellIs" dxfId="3" priority="526" operator="equal">
      <formula>"f32"</formula>
    </cfRule>
    <cfRule type="cellIs" dxfId="2" priority="527" operator="equal">
      <formula>"f64"</formula>
    </cfRule>
    <cfRule type="cellIs" dxfId="3" priority="528" operator="equal">
      <formula>"f32"</formula>
    </cfRule>
    <cfRule type="cellIs" dxfId="4" priority="529" operator="equal">
      <formula>"u64"</formula>
    </cfRule>
    <cfRule type="cellIs" dxfId="5" priority="530" operator="equal">
      <formula>"u32"</formula>
    </cfRule>
    <cfRule type="cellIs" priority="531" operator="equal">
      <formula>"u16"</formula>
    </cfRule>
    <cfRule type="cellIs" dxfId="6" priority="532" operator="equal">
      <formula>"s64"</formula>
    </cfRule>
    <cfRule type="cellIs" dxfId="7" priority="533" operator="equal">
      <formula>"s32"</formula>
    </cfRule>
    <cfRule type="cellIs" priority="534" operator="equal">
      <formula>"s16"</formula>
    </cfRule>
  </conditionalFormatting>
  <conditionalFormatting sqref="F42">
    <cfRule type="containsBlanks" dxfId="1" priority="461">
      <formula>LEN(TRIM(F42))=0</formula>
    </cfRule>
  </conditionalFormatting>
  <conditionalFormatting sqref="K42">
    <cfRule type="cellIs" dxfId="8" priority="462" operator="equal">
      <formula>"读写 - 立即更改，立即生效"</formula>
    </cfRule>
    <cfRule type="cellIs" dxfId="9" priority="463" operator="equal">
      <formula>"读写 - 立即更改，重启生效"</formula>
    </cfRule>
    <cfRule type="cellIs" dxfId="10" priority="464" operator="equal">
      <formula>"读写 - 停机更改，立即生效"</formula>
    </cfRule>
  </conditionalFormatting>
  <conditionalFormatting sqref="L42">
    <cfRule type="cellIs" dxfId="11" priority="465" operator="equal">
      <formula>"允许保存，不可恢复"</formula>
    </cfRule>
    <cfRule type="cellIs" dxfId="12" priority="468" operator="equal">
      <formula>"允许保存，可恢复"</formula>
    </cfRule>
  </conditionalFormatting>
  <conditionalFormatting sqref="E44">
    <cfRule type="cellIs" dxfId="2" priority="961" operator="equal">
      <formula>"f64"</formula>
    </cfRule>
    <cfRule type="cellIs" dxfId="2" priority="969" operator="equal">
      <formula>"f64"</formula>
    </cfRule>
    <cfRule type="cellIs" dxfId="3" priority="970" operator="equal">
      <formula>"f32"</formula>
    </cfRule>
    <cfRule type="cellIs" dxfId="2" priority="971" operator="equal">
      <formula>"f64"</formula>
    </cfRule>
    <cfRule type="cellIs" dxfId="3" priority="972" operator="equal">
      <formula>"f32"</formula>
    </cfRule>
    <cfRule type="cellIs" dxfId="4" priority="973" operator="equal">
      <formula>"u64"</formula>
    </cfRule>
    <cfRule type="cellIs" dxfId="5" priority="974" operator="equal">
      <formula>"u32"</formula>
    </cfRule>
    <cfRule type="cellIs" priority="975" operator="equal">
      <formula>"u16"</formula>
    </cfRule>
    <cfRule type="cellIs" dxfId="6" priority="976" operator="equal">
      <formula>"s64"</formula>
    </cfRule>
    <cfRule type="cellIs" dxfId="7" priority="977" operator="equal">
      <formula>"s32"</formula>
    </cfRule>
    <cfRule type="cellIs" priority="978" operator="equal">
      <formula>"s16"</formula>
    </cfRule>
  </conditionalFormatting>
  <conditionalFormatting sqref="F44">
    <cfRule type="containsBlanks" dxfId="1" priority="689">
      <formula>LEN(TRIM(F44))=0</formula>
    </cfRule>
  </conditionalFormatting>
  <conditionalFormatting sqref="K44">
    <cfRule type="cellIs" dxfId="8" priority="690" operator="equal">
      <formula>"读写 - 立即更改，立即生效"</formula>
    </cfRule>
    <cfRule type="cellIs" dxfId="9" priority="691" operator="equal">
      <formula>"读写 - 立即更改，重启生效"</formula>
    </cfRule>
    <cfRule type="cellIs" dxfId="10" priority="692" operator="equal">
      <formula>"读写 - 停机更改，立即生效"</formula>
    </cfRule>
  </conditionalFormatting>
  <conditionalFormatting sqref="L44">
    <cfRule type="cellIs" dxfId="11" priority="687" operator="equal">
      <formula>"允许保存，不可恢复"</formula>
    </cfRule>
    <cfRule type="cellIs" dxfId="12" priority="688" operator="equal">
      <formula>"允许保存，可恢复"</formula>
    </cfRule>
  </conditionalFormatting>
  <conditionalFormatting sqref="E46">
    <cfRule type="cellIs" dxfId="2" priority="656" operator="equal">
      <formula>"f64"</formula>
    </cfRule>
    <cfRule type="cellIs" dxfId="2" priority="657" operator="equal">
      <formula>"f64"</formula>
    </cfRule>
    <cfRule type="cellIs" dxfId="3" priority="658" operator="equal">
      <formula>"f32"</formula>
    </cfRule>
    <cfRule type="cellIs" dxfId="2" priority="659" operator="equal">
      <formula>"f64"</formula>
    </cfRule>
    <cfRule type="cellIs" dxfId="3" priority="660" operator="equal">
      <formula>"f32"</formula>
    </cfRule>
    <cfRule type="cellIs" dxfId="4" priority="661" operator="equal">
      <formula>"u64"</formula>
    </cfRule>
    <cfRule type="cellIs" dxfId="5" priority="662" operator="equal">
      <formula>"u32"</formula>
    </cfRule>
    <cfRule type="cellIs" priority="663" operator="equal">
      <formula>"u16"</formula>
    </cfRule>
    <cfRule type="cellIs" dxfId="6" priority="664" operator="equal">
      <formula>"s64"</formula>
    </cfRule>
    <cfRule type="cellIs" dxfId="7" priority="665" operator="equal">
      <formula>"s32"</formula>
    </cfRule>
    <cfRule type="cellIs" priority="666" operator="equal">
      <formula>"s16"</formula>
    </cfRule>
  </conditionalFormatting>
  <conditionalFormatting sqref="F46">
    <cfRule type="containsBlanks" dxfId="1" priority="651">
      <formula>LEN(TRIM(F46))=0</formula>
    </cfRule>
  </conditionalFormatting>
  <conditionalFormatting sqref="K46">
    <cfRule type="cellIs" dxfId="8" priority="652" operator="equal">
      <formula>"读写 - 立即更改，立即生效"</formula>
    </cfRule>
    <cfRule type="cellIs" dxfId="9" priority="653" operator="equal">
      <formula>"读写 - 立即更改，重启生效"</formula>
    </cfRule>
    <cfRule type="cellIs" dxfId="10" priority="654" operator="equal">
      <formula>"读写 - 停机更改，立即生效"</formula>
    </cfRule>
  </conditionalFormatting>
  <conditionalFormatting sqref="L46">
    <cfRule type="cellIs" dxfId="11" priority="649" operator="equal">
      <formula>"允许保存，不可恢复"</formula>
    </cfRule>
    <cfRule type="cellIs" dxfId="12" priority="650" operator="equal">
      <formula>"允许保存，可恢复"</formula>
    </cfRule>
  </conditionalFormatting>
  <conditionalFormatting sqref="E47">
    <cfRule type="cellIs" dxfId="2" priority="667" operator="equal">
      <formula>"f64"</formula>
    </cfRule>
    <cfRule type="cellIs" dxfId="2" priority="668" operator="equal">
      <formula>"f64"</formula>
    </cfRule>
    <cfRule type="cellIs" dxfId="3" priority="669" operator="equal">
      <formula>"f32"</formula>
    </cfRule>
    <cfRule type="cellIs" dxfId="2" priority="670" operator="equal">
      <formula>"f64"</formula>
    </cfRule>
    <cfRule type="cellIs" dxfId="3" priority="671" operator="equal">
      <formula>"f32"</formula>
    </cfRule>
    <cfRule type="cellIs" dxfId="4" priority="672" operator="equal">
      <formula>"u64"</formula>
    </cfRule>
    <cfRule type="cellIs" dxfId="5" priority="673" operator="equal">
      <formula>"u32"</formula>
    </cfRule>
    <cfRule type="cellIs" priority="674" operator="equal">
      <formula>"u16"</formula>
    </cfRule>
    <cfRule type="cellIs" dxfId="6" priority="675" operator="equal">
      <formula>"s64"</formula>
    </cfRule>
    <cfRule type="cellIs" dxfId="7" priority="676" operator="equal">
      <formula>"s32"</formula>
    </cfRule>
    <cfRule type="cellIs" priority="677" operator="equal">
      <formula>"s16"</formula>
    </cfRule>
  </conditionalFormatting>
  <conditionalFormatting sqref="F47">
    <cfRule type="containsBlanks" dxfId="1" priority="655">
      <formula>LEN(TRIM(F47))=0</formula>
    </cfRule>
  </conditionalFormatting>
  <conditionalFormatting sqref="K47">
    <cfRule type="cellIs" dxfId="8" priority="678" operator="equal">
      <formula>"读写 - 立即更改，立即生效"</formula>
    </cfRule>
    <cfRule type="cellIs" dxfId="9" priority="679" operator="equal">
      <formula>"读写 - 立即更改，重启生效"</formula>
    </cfRule>
    <cfRule type="cellIs" dxfId="10" priority="680" operator="equal">
      <formula>"读写 - 停机更改，立即生效"</formula>
    </cfRule>
  </conditionalFormatting>
  <conditionalFormatting sqref="L47">
    <cfRule type="cellIs" dxfId="11" priority="681" operator="equal">
      <formula>"允许保存，不可恢复"</formula>
    </cfRule>
    <cfRule type="cellIs" dxfId="12" priority="684" operator="equal">
      <formula>"允许保存，可恢复"</formula>
    </cfRule>
  </conditionalFormatting>
  <conditionalFormatting sqref="E49">
    <cfRule type="cellIs" dxfId="2" priority="618" operator="equal">
      <formula>"f64"</formula>
    </cfRule>
    <cfRule type="cellIs" dxfId="2" priority="619" operator="equal">
      <formula>"f64"</formula>
    </cfRule>
    <cfRule type="cellIs" dxfId="3" priority="620" operator="equal">
      <formula>"f32"</formula>
    </cfRule>
    <cfRule type="cellIs" dxfId="2" priority="621" operator="equal">
      <formula>"f64"</formula>
    </cfRule>
    <cfRule type="cellIs" dxfId="3" priority="622" operator="equal">
      <formula>"f32"</formula>
    </cfRule>
    <cfRule type="cellIs" dxfId="4" priority="623" operator="equal">
      <formula>"u64"</formula>
    </cfRule>
    <cfRule type="cellIs" dxfId="5" priority="624" operator="equal">
      <formula>"u32"</formula>
    </cfRule>
    <cfRule type="cellIs" priority="625" operator="equal">
      <formula>"u16"</formula>
    </cfRule>
    <cfRule type="cellIs" dxfId="6" priority="626" operator="equal">
      <formula>"s64"</formula>
    </cfRule>
    <cfRule type="cellIs" dxfId="7" priority="627" operator="equal">
      <formula>"s32"</formula>
    </cfRule>
    <cfRule type="cellIs" priority="628" operator="equal">
      <formula>"s16"</formula>
    </cfRule>
  </conditionalFormatting>
  <conditionalFormatting sqref="F49">
    <cfRule type="containsBlanks" dxfId="1" priority="613">
      <formula>LEN(TRIM(F49))=0</formula>
    </cfRule>
  </conditionalFormatting>
  <conditionalFormatting sqref="K49">
    <cfRule type="cellIs" dxfId="8" priority="614" operator="equal">
      <formula>"读写 - 立即更改，立即生效"</formula>
    </cfRule>
    <cfRule type="cellIs" dxfId="9" priority="615" operator="equal">
      <formula>"读写 - 立即更改，重启生效"</formula>
    </cfRule>
    <cfRule type="cellIs" dxfId="10" priority="616" operator="equal">
      <formula>"读写 - 停机更改，立即生效"</formula>
    </cfRule>
  </conditionalFormatting>
  <conditionalFormatting sqref="L49">
    <cfRule type="cellIs" dxfId="11" priority="611" operator="equal">
      <formula>"允许保存，不可恢复"</formula>
    </cfRule>
    <cfRule type="cellIs" dxfId="12" priority="612" operator="equal">
      <formula>"允许保存，可恢复"</formula>
    </cfRule>
  </conditionalFormatting>
  <conditionalFormatting sqref="E50">
    <cfRule type="cellIs" dxfId="2" priority="629" operator="equal">
      <formula>"f64"</formula>
    </cfRule>
    <cfRule type="cellIs" dxfId="2" priority="630" operator="equal">
      <formula>"f64"</formula>
    </cfRule>
    <cfRule type="cellIs" dxfId="3" priority="631" operator="equal">
      <formula>"f32"</formula>
    </cfRule>
    <cfRule type="cellIs" dxfId="2" priority="632" operator="equal">
      <formula>"f64"</formula>
    </cfRule>
    <cfRule type="cellIs" dxfId="3" priority="633" operator="equal">
      <formula>"f32"</formula>
    </cfRule>
    <cfRule type="cellIs" dxfId="4" priority="634" operator="equal">
      <formula>"u64"</formula>
    </cfRule>
    <cfRule type="cellIs" dxfId="5" priority="635" operator="equal">
      <formula>"u32"</formula>
    </cfRule>
    <cfRule type="cellIs" priority="636" operator="equal">
      <formula>"u16"</formula>
    </cfRule>
    <cfRule type="cellIs" dxfId="6" priority="637" operator="equal">
      <formula>"s64"</formula>
    </cfRule>
    <cfRule type="cellIs" dxfId="7" priority="638" operator="equal">
      <formula>"s32"</formula>
    </cfRule>
    <cfRule type="cellIs" priority="639" operator="equal">
      <formula>"s16"</formula>
    </cfRule>
  </conditionalFormatting>
  <conditionalFormatting sqref="F50">
    <cfRule type="containsBlanks" dxfId="1" priority="617">
      <formula>LEN(TRIM(F50))=0</formula>
    </cfRule>
  </conditionalFormatting>
  <conditionalFormatting sqref="K50">
    <cfRule type="cellIs" dxfId="8" priority="640" operator="equal">
      <formula>"读写 - 立即更改，立即生效"</formula>
    </cfRule>
    <cfRule type="cellIs" dxfId="9" priority="641" operator="equal">
      <formula>"读写 - 立即更改，重启生效"</formula>
    </cfRule>
    <cfRule type="cellIs" dxfId="10" priority="642" operator="equal">
      <formula>"读写 - 停机更改，立即生效"</formula>
    </cfRule>
  </conditionalFormatting>
  <conditionalFormatting sqref="L50">
    <cfRule type="cellIs" dxfId="11" priority="643" operator="equal">
      <formula>"允许保存，不可恢复"</formula>
    </cfRule>
    <cfRule type="cellIs" dxfId="12" priority="646" operator="equal">
      <formula>"允许保存，可恢复"</formula>
    </cfRule>
  </conditionalFormatting>
  <conditionalFormatting sqref="E51">
    <cfRule type="cellIs" dxfId="2" priority="598" operator="equal">
      <formula>"f64"</formula>
    </cfRule>
    <cfRule type="cellIs" dxfId="2" priority="599" operator="equal">
      <formula>"f64"</formula>
    </cfRule>
    <cfRule type="cellIs" dxfId="3" priority="600" operator="equal">
      <formula>"f32"</formula>
    </cfRule>
    <cfRule type="cellIs" dxfId="2" priority="601" operator="equal">
      <formula>"f64"</formula>
    </cfRule>
    <cfRule type="cellIs" dxfId="3" priority="602" operator="equal">
      <formula>"f32"</formula>
    </cfRule>
    <cfRule type="cellIs" dxfId="4" priority="603" operator="equal">
      <formula>"u64"</formula>
    </cfRule>
    <cfRule type="cellIs" dxfId="5" priority="604" operator="equal">
      <formula>"u32"</formula>
    </cfRule>
    <cfRule type="cellIs" priority="605" operator="equal">
      <formula>"u16"</formula>
    </cfRule>
    <cfRule type="cellIs" dxfId="6" priority="606" operator="equal">
      <formula>"s64"</formula>
    </cfRule>
    <cfRule type="cellIs" dxfId="7" priority="607" operator="equal">
      <formula>"s32"</formula>
    </cfRule>
    <cfRule type="cellIs" priority="608" operator="equal">
      <formula>"s16"</formula>
    </cfRule>
  </conditionalFormatting>
  <conditionalFormatting sqref="F51">
    <cfRule type="containsBlanks" dxfId="1" priority="594">
      <formula>LEN(TRIM(F51))=0</formula>
    </cfRule>
  </conditionalFormatting>
  <conditionalFormatting sqref="K51">
    <cfRule type="cellIs" dxfId="8" priority="595" operator="equal">
      <formula>"读写 - 立即更改，立即生效"</formula>
    </cfRule>
    <cfRule type="cellIs" dxfId="9" priority="596" operator="equal">
      <formula>"读写 - 立即更改，重启生效"</formula>
    </cfRule>
    <cfRule type="cellIs" dxfId="10" priority="597" operator="equal">
      <formula>"读写 - 停机更改，立即生效"</formula>
    </cfRule>
  </conditionalFormatting>
  <conditionalFormatting sqref="L51">
    <cfRule type="cellIs" dxfId="11" priority="592" operator="equal">
      <formula>"允许保存，不可恢复"</formula>
    </cfRule>
    <cfRule type="cellIs" dxfId="12" priority="593" operator="equal">
      <formula>"允许保存，可恢复"</formula>
    </cfRule>
  </conditionalFormatting>
  <conditionalFormatting sqref="F52">
    <cfRule type="containsBlanks" dxfId="1" priority="578">
      <formula>LEN(TRIM(F52))=0</formula>
    </cfRule>
  </conditionalFormatting>
  <conditionalFormatting sqref="K52">
    <cfRule type="cellIs" dxfId="8" priority="579" operator="equal">
      <formula>"读写 - 立即更改，立即生效"</formula>
    </cfRule>
    <cfRule type="cellIs" dxfId="9" priority="580" operator="equal">
      <formula>"读写 - 立即更改，重启生效"</formula>
    </cfRule>
    <cfRule type="cellIs" dxfId="10" priority="581" operator="equal">
      <formula>"读写 - 停机更改，立即生效"</formula>
    </cfRule>
  </conditionalFormatting>
  <conditionalFormatting sqref="L52">
    <cfRule type="cellIs" dxfId="11" priority="576" operator="equal">
      <formula>"允许保存，不可恢复"</formula>
    </cfRule>
    <cfRule type="cellIs" dxfId="12" priority="577" operator="equal">
      <formula>"允许保存，可恢复"</formula>
    </cfRule>
  </conditionalFormatting>
  <conditionalFormatting sqref="E53">
    <cfRule type="cellIs" dxfId="2" priority="1013" operator="equal">
      <formula>"f64"</formula>
    </cfRule>
    <cfRule type="cellIs" dxfId="2" priority="1021" operator="equal">
      <formula>"f64"</formula>
    </cfRule>
    <cfRule type="cellIs" dxfId="3" priority="1022" operator="equal">
      <formula>"f32"</formula>
    </cfRule>
    <cfRule type="cellIs" dxfId="2" priority="1023" operator="equal">
      <formula>"f64"</formula>
    </cfRule>
    <cfRule type="cellIs" dxfId="3" priority="1024" operator="equal">
      <formula>"f32"</formula>
    </cfRule>
    <cfRule type="cellIs" dxfId="4" priority="1025" operator="equal">
      <formula>"u64"</formula>
    </cfRule>
    <cfRule type="cellIs" dxfId="5" priority="1026" operator="equal">
      <formula>"u32"</formula>
    </cfRule>
    <cfRule type="cellIs" priority="1027" operator="equal">
      <formula>"u16"</formula>
    </cfRule>
    <cfRule type="cellIs" dxfId="6" priority="1028" operator="equal">
      <formula>"s64"</formula>
    </cfRule>
    <cfRule type="cellIs" dxfId="7" priority="1029" operator="equal">
      <formula>"s32"</formula>
    </cfRule>
    <cfRule type="cellIs" priority="1030" operator="equal">
      <formula>"s16"</formula>
    </cfRule>
  </conditionalFormatting>
  <conditionalFormatting sqref="F53">
    <cfRule type="containsBlanks" dxfId="1" priority="582">
      <formula>LEN(TRIM(F53))=0</formula>
    </cfRule>
  </conditionalFormatting>
  <conditionalFormatting sqref="K53">
    <cfRule type="cellIs" dxfId="8" priority="583" operator="equal">
      <formula>"读写 - 立即更改，立即生效"</formula>
    </cfRule>
    <cfRule type="cellIs" dxfId="9" priority="584" operator="equal">
      <formula>"读写 - 立即更改，重启生效"</formula>
    </cfRule>
    <cfRule type="cellIs" dxfId="10" priority="585" operator="equal">
      <formula>"读写 - 停机更改，立即生效"</formula>
    </cfRule>
  </conditionalFormatting>
  <conditionalFormatting sqref="L53">
    <cfRule type="cellIs" dxfId="11" priority="586" operator="equal">
      <formula>"允许保存，不可恢复"</formula>
    </cfRule>
    <cfRule type="cellIs" dxfId="12" priority="589" operator="equal">
      <formula>"允许保存，可恢复"</formula>
    </cfRule>
  </conditionalFormatting>
  <conditionalFormatting sqref="F54">
    <cfRule type="containsBlanks" dxfId="1" priority="570">
      <formula>LEN(TRIM(F54))=0</formula>
    </cfRule>
  </conditionalFormatting>
  <conditionalFormatting sqref="K54">
    <cfRule type="cellIs" dxfId="8" priority="571" operator="equal">
      <formula>"读写 - 立即更改，立即生效"</formula>
    </cfRule>
    <cfRule type="cellIs" dxfId="9" priority="572" operator="equal">
      <formula>"读写 - 立即更改，重启生效"</formula>
    </cfRule>
    <cfRule type="cellIs" dxfId="10" priority="573" operator="equal">
      <formula>"读写 - 停机更改，立即生效"</formula>
    </cfRule>
  </conditionalFormatting>
  <conditionalFormatting sqref="L54">
    <cfRule type="cellIs" dxfId="11" priority="568" operator="equal">
      <formula>"允许保存，不可恢复"</formula>
    </cfRule>
    <cfRule type="cellIs" dxfId="12" priority="569" operator="equal">
      <formula>"允许保存，可恢复"</formula>
    </cfRule>
  </conditionalFormatting>
  <conditionalFormatting sqref="F55">
    <cfRule type="containsBlanks" dxfId="1" priority="554">
      <formula>LEN(TRIM(F55))=0</formula>
    </cfRule>
  </conditionalFormatting>
  <conditionalFormatting sqref="K55">
    <cfRule type="cellIs" dxfId="8" priority="555" operator="equal">
      <formula>"读写 - 立即更改，立即生效"</formula>
    </cfRule>
    <cfRule type="cellIs" dxfId="9" priority="556" operator="equal">
      <formula>"读写 - 立即更改，重启生效"</formula>
    </cfRule>
    <cfRule type="cellIs" dxfId="10" priority="557" operator="equal">
      <formula>"读写 - 停机更改，立即生效"</formula>
    </cfRule>
  </conditionalFormatting>
  <conditionalFormatting sqref="L55">
    <cfRule type="cellIs" dxfId="11" priority="552" operator="equal">
      <formula>"允许保存，不可恢复"</formula>
    </cfRule>
    <cfRule type="cellIs" dxfId="12" priority="553" operator="equal">
      <formula>"允许保存，可恢复"</formula>
    </cfRule>
  </conditionalFormatting>
  <conditionalFormatting sqref="F56">
    <cfRule type="containsBlanks" dxfId="1" priority="558">
      <formula>LEN(TRIM(F56))=0</formula>
    </cfRule>
  </conditionalFormatting>
  <conditionalFormatting sqref="K56">
    <cfRule type="cellIs" dxfId="8" priority="559" operator="equal">
      <formula>"读写 - 立即更改，立即生效"</formula>
    </cfRule>
    <cfRule type="cellIs" dxfId="9" priority="560" operator="equal">
      <formula>"读写 - 立即更改，重启生效"</formula>
    </cfRule>
    <cfRule type="cellIs" dxfId="10" priority="561" operator="equal">
      <formula>"读写 - 停机更改，立即生效"</formula>
    </cfRule>
  </conditionalFormatting>
  <conditionalFormatting sqref="L56">
    <cfRule type="cellIs" dxfId="11" priority="562" operator="equal">
      <formula>"允许保存，不可恢复"</formula>
    </cfRule>
    <cfRule type="cellIs" dxfId="12" priority="565" operator="equal">
      <formula>"允许保存，可恢复"</formula>
    </cfRule>
  </conditionalFormatting>
  <conditionalFormatting sqref="F57">
    <cfRule type="containsBlanks" dxfId="1" priority="546">
      <formula>LEN(TRIM(F57))=0</formula>
    </cfRule>
  </conditionalFormatting>
  <conditionalFormatting sqref="K57">
    <cfRule type="cellIs" dxfId="8" priority="547" operator="equal">
      <formula>"读写 - 立即更改，立即生效"</formula>
    </cfRule>
    <cfRule type="cellIs" dxfId="9" priority="548" operator="equal">
      <formula>"读写 - 立即更改，重启生效"</formula>
    </cfRule>
    <cfRule type="cellIs" dxfId="10" priority="549" operator="equal">
      <formula>"读写 - 停机更改，立即生效"</formula>
    </cfRule>
  </conditionalFormatting>
  <conditionalFormatting sqref="L57">
    <cfRule type="cellIs" dxfId="11" priority="544" operator="equal">
      <formula>"允许保存，不可恢复"</formula>
    </cfRule>
    <cfRule type="cellIs" dxfId="12" priority="545" operator="equal">
      <formula>"允许保存，可恢复"</formula>
    </cfRule>
  </conditionalFormatting>
  <conditionalFormatting sqref="F59">
    <cfRule type="containsBlanks" dxfId="1" priority="500">
      <formula>LEN(TRIM(F59))=0</formula>
    </cfRule>
  </conditionalFormatting>
  <conditionalFormatting sqref="K59">
    <cfRule type="cellIs" dxfId="8" priority="501" operator="equal">
      <formula>"读写 - 立即更改，立即生效"</formula>
    </cfRule>
    <cfRule type="cellIs" dxfId="9" priority="502" operator="equal">
      <formula>"读写 - 立即更改，重启生效"</formula>
    </cfRule>
    <cfRule type="cellIs" dxfId="10" priority="503" operator="equal">
      <formula>"读写 - 停机更改，立即生效"</formula>
    </cfRule>
  </conditionalFormatting>
  <conditionalFormatting sqref="L59">
    <cfRule type="cellIs" dxfId="11" priority="498" operator="equal">
      <formula>"允许保存，不可恢复"</formula>
    </cfRule>
    <cfRule type="cellIs" dxfId="12" priority="499" operator="equal">
      <formula>"允许保存，可恢复"</formula>
    </cfRule>
  </conditionalFormatting>
  <conditionalFormatting sqref="F60">
    <cfRule type="containsBlanks" dxfId="1" priority="504">
      <formula>LEN(TRIM(F60))=0</formula>
    </cfRule>
  </conditionalFormatting>
  <conditionalFormatting sqref="K60">
    <cfRule type="cellIs" dxfId="8" priority="505" operator="equal">
      <formula>"读写 - 立即更改，立即生效"</formula>
    </cfRule>
    <cfRule type="cellIs" dxfId="9" priority="506" operator="equal">
      <formula>"读写 - 立即更改，重启生效"</formula>
    </cfRule>
    <cfRule type="cellIs" dxfId="10" priority="507" operator="equal">
      <formula>"读写 - 停机更改，立即生效"</formula>
    </cfRule>
  </conditionalFormatting>
  <conditionalFormatting sqref="L60">
    <cfRule type="cellIs" dxfId="11" priority="508" operator="equal">
      <formula>"允许保存，不可恢复"</formula>
    </cfRule>
    <cfRule type="cellIs" dxfId="12" priority="511" operator="equal">
      <formula>"允许保存，可恢复"</formula>
    </cfRule>
  </conditionalFormatting>
  <conditionalFormatting sqref="E61">
    <cfRule type="cellIs" dxfId="2" priority="470" operator="equal">
      <formula>"f64"</formula>
    </cfRule>
    <cfRule type="cellIs" dxfId="2" priority="471" operator="equal">
      <formula>"f64"</formula>
    </cfRule>
    <cfRule type="cellIs" dxfId="3" priority="472" operator="equal">
      <formula>"f32"</formula>
    </cfRule>
    <cfRule type="cellIs" dxfId="2" priority="473" operator="equal">
      <formula>"f64"</formula>
    </cfRule>
    <cfRule type="cellIs" dxfId="3" priority="474" operator="equal">
      <formula>"f32"</formula>
    </cfRule>
    <cfRule type="cellIs" dxfId="4" priority="475" operator="equal">
      <formula>"u64"</formula>
    </cfRule>
    <cfRule type="cellIs" dxfId="5" priority="476" operator="equal">
      <formula>"u32"</formula>
    </cfRule>
    <cfRule type="cellIs" priority="477" operator="equal">
      <formula>"u16"</formula>
    </cfRule>
    <cfRule type="cellIs" dxfId="6" priority="478" operator="equal">
      <formula>"s64"</formula>
    </cfRule>
    <cfRule type="cellIs" dxfId="7" priority="479" operator="equal">
      <formula>"s32"</formula>
    </cfRule>
    <cfRule type="cellIs" priority="480" operator="equal">
      <formula>"s16"</formula>
    </cfRule>
  </conditionalFormatting>
  <conditionalFormatting sqref="F61">
    <cfRule type="containsBlanks" dxfId="1" priority="469">
      <formula>LEN(TRIM(F61))=0</formula>
    </cfRule>
  </conditionalFormatting>
  <conditionalFormatting sqref="K61">
    <cfRule type="cellIs" dxfId="8" priority="481" operator="equal">
      <formula>"读写 - 立即更改，立即生效"</formula>
    </cfRule>
    <cfRule type="cellIs" dxfId="9" priority="482" operator="equal">
      <formula>"读写 - 立即更改，重启生效"</formula>
    </cfRule>
    <cfRule type="cellIs" dxfId="10" priority="483" operator="equal">
      <formula>"读写 - 停机更改，立即生效"</formula>
    </cfRule>
  </conditionalFormatting>
  <conditionalFormatting sqref="L61">
    <cfRule type="cellIs" dxfId="11" priority="484" operator="equal">
      <formula>"允许保存，不可恢复"</formula>
    </cfRule>
    <cfRule type="cellIs" dxfId="12" priority="487" operator="equal">
      <formula>"允许保存，可恢复"</formula>
    </cfRule>
  </conditionalFormatting>
  <conditionalFormatting sqref="F68">
    <cfRule type="containsBlanks" dxfId="1" priority="285">
      <formula>LEN(TRIM(F68))=0</formula>
    </cfRule>
  </conditionalFormatting>
  <conditionalFormatting sqref="K68">
    <cfRule type="cellIs" dxfId="8" priority="286" operator="equal">
      <formula>"读写 - 立即更改，立即生效"</formula>
    </cfRule>
    <cfRule type="cellIs" dxfId="9" priority="287" operator="equal">
      <formula>"读写 - 立即更改，重启生效"</formula>
    </cfRule>
    <cfRule type="cellIs" dxfId="10" priority="288" operator="equal">
      <formula>"读写 - 停机更改，立即生效"</formula>
    </cfRule>
  </conditionalFormatting>
  <conditionalFormatting sqref="L68">
    <cfRule type="cellIs" dxfId="11" priority="289" operator="equal">
      <formula>"允许保存，不可恢复"</formula>
    </cfRule>
    <cfRule type="cellIs" dxfId="12" priority="292" operator="equal">
      <formula>"允许保存，可恢复"</formula>
    </cfRule>
  </conditionalFormatting>
  <conditionalFormatting sqref="F69">
    <cfRule type="containsBlanks" dxfId="1" priority="301">
      <formula>LEN(TRIM(F69))=0</formula>
    </cfRule>
  </conditionalFormatting>
  <conditionalFormatting sqref="K69">
    <cfRule type="cellIs" dxfId="8" priority="302" operator="equal">
      <formula>"读写 - 立即更改，立即生效"</formula>
    </cfRule>
    <cfRule type="cellIs" dxfId="9" priority="303" operator="equal">
      <formula>"读写 - 立即更改，重启生效"</formula>
    </cfRule>
    <cfRule type="cellIs" dxfId="10" priority="304" operator="equal">
      <formula>"读写 - 停机更改，立即生效"</formula>
    </cfRule>
  </conditionalFormatting>
  <conditionalFormatting sqref="L69">
    <cfRule type="cellIs" dxfId="11" priority="305" operator="equal">
      <formula>"允许保存，不可恢复"</formula>
    </cfRule>
    <cfRule type="cellIs" dxfId="12" priority="308" operator="equal">
      <formula>"允许保存，可恢复"</formula>
    </cfRule>
  </conditionalFormatting>
  <conditionalFormatting sqref="K72">
    <cfRule type="cellIs" dxfId="8" priority="1014" operator="equal">
      <formula>"读写 - 立即更改，立即生效"</formula>
    </cfRule>
    <cfRule type="cellIs" dxfId="9" priority="1015" operator="equal">
      <formula>"读写 - 立即更改，重启生效"</formula>
    </cfRule>
    <cfRule type="cellIs" dxfId="10" priority="1016" operator="equal">
      <formula>"读写 - 停机更改，立即生效"</formula>
    </cfRule>
  </conditionalFormatting>
  <conditionalFormatting sqref="L72">
    <cfRule type="cellIs" dxfId="11" priority="1017" operator="equal">
      <formula>"允许保存，不可恢复"</formula>
    </cfRule>
    <cfRule type="cellIs" dxfId="12" priority="1020" operator="equal">
      <formula>"允许保存，可恢复"</formula>
    </cfRule>
  </conditionalFormatting>
  <conditionalFormatting sqref="E83">
    <cfRule type="cellIs" dxfId="2" priority="245" operator="equal">
      <formula>"f64"</formula>
    </cfRule>
    <cfRule type="cellIs" dxfId="2" priority="246" operator="equal">
      <formula>"f64"</formula>
    </cfRule>
    <cfRule type="cellIs" dxfId="3" priority="247" operator="equal">
      <formula>"f32"</formula>
    </cfRule>
    <cfRule type="cellIs" dxfId="2" priority="248" operator="equal">
      <formula>"f64"</formula>
    </cfRule>
    <cfRule type="cellIs" dxfId="3" priority="249" operator="equal">
      <formula>"f32"</formula>
    </cfRule>
    <cfRule type="cellIs" dxfId="4" priority="250" operator="equal">
      <formula>"u64"</formula>
    </cfRule>
    <cfRule type="cellIs" dxfId="5" priority="251" operator="equal">
      <formula>"u32"</formula>
    </cfRule>
    <cfRule type="cellIs" priority="252" operator="equal">
      <formula>"u16"</formula>
    </cfRule>
    <cfRule type="cellIs" dxfId="6" priority="253" operator="equal">
      <formula>"s64"</formula>
    </cfRule>
    <cfRule type="cellIs" dxfId="7" priority="254" operator="equal">
      <formula>"s32"</formula>
    </cfRule>
    <cfRule type="cellIs" priority="255" operator="equal">
      <formula>"s16"</formula>
    </cfRule>
  </conditionalFormatting>
  <conditionalFormatting sqref="F83">
    <cfRule type="containsBlanks" dxfId="1" priority="244">
      <formula>LEN(TRIM(F83))=0</formula>
    </cfRule>
  </conditionalFormatting>
  <conditionalFormatting sqref="K83">
    <cfRule type="cellIs" dxfId="8" priority="256" operator="equal">
      <formula>"读写 - 立即更改，立即生效"</formula>
    </cfRule>
    <cfRule type="cellIs" dxfId="9" priority="257" operator="equal">
      <formula>"读写 - 立即更改，重启生效"</formula>
    </cfRule>
    <cfRule type="cellIs" dxfId="10" priority="258" operator="equal">
      <formula>"读写 - 停机更改，立即生效"</formula>
    </cfRule>
  </conditionalFormatting>
  <conditionalFormatting sqref="L83">
    <cfRule type="cellIs" dxfId="11" priority="259" operator="equal">
      <formula>"允许保存，不可恢复"</formula>
    </cfRule>
    <cfRule type="cellIs" dxfId="12" priority="262" operator="equal">
      <formula>"允许保存，可恢复"</formula>
    </cfRule>
  </conditionalFormatting>
  <conditionalFormatting sqref="E119">
    <cfRule type="cellIs" dxfId="2" priority="310" operator="equal">
      <formula>"f64"</formula>
    </cfRule>
    <cfRule type="cellIs" dxfId="2" priority="311" operator="equal">
      <formula>"f64"</formula>
    </cfRule>
    <cfRule type="cellIs" dxfId="3" priority="312" operator="equal">
      <formula>"f32"</formula>
    </cfRule>
    <cfRule type="cellIs" dxfId="2" priority="313" operator="equal">
      <formula>"f64"</formula>
    </cfRule>
    <cfRule type="cellIs" dxfId="3" priority="314" operator="equal">
      <formula>"f32"</formula>
    </cfRule>
    <cfRule type="cellIs" dxfId="4" priority="315" operator="equal">
      <formula>"u64"</formula>
    </cfRule>
    <cfRule type="cellIs" dxfId="5" priority="316" operator="equal">
      <formula>"u32"</formula>
    </cfRule>
    <cfRule type="cellIs" priority="317" operator="equal">
      <formula>"u16"</formula>
    </cfRule>
    <cfRule type="cellIs" dxfId="6" priority="318" operator="equal">
      <formula>"s64"</formula>
    </cfRule>
    <cfRule type="cellIs" dxfId="7" priority="319" operator="equal">
      <formula>"s32"</formula>
    </cfRule>
    <cfRule type="cellIs" priority="320" operator="equal">
      <formula>"s16"</formula>
    </cfRule>
  </conditionalFormatting>
  <conditionalFormatting sqref="F119">
    <cfRule type="containsBlanks" dxfId="1" priority="309">
      <formula>LEN(TRIM(F119))=0</formula>
    </cfRule>
  </conditionalFormatting>
  <conditionalFormatting sqref="K119">
    <cfRule type="cellIs" dxfId="8" priority="321" operator="equal">
      <formula>"读写 - 立即更改，立即生效"</formula>
    </cfRule>
    <cfRule type="cellIs" dxfId="9" priority="322" operator="equal">
      <formula>"读写 - 立即更改，重启生效"</formula>
    </cfRule>
    <cfRule type="cellIs" dxfId="10" priority="323" operator="equal">
      <formula>"读写 - 停机更改，立即生效"</formula>
    </cfRule>
  </conditionalFormatting>
  <conditionalFormatting sqref="L119">
    <cfRule type="cellIs" dxfId="11" priority="324" operator="equal">
      <formula>"允许保存，不可恢复"</formula>
    </cfRule>
    <cfRule type="cellIs" dxfId="12" priority="327" operator="equal">
      <formula>"允许保存，可恢复"</formula>
    </cfRule>
  </conditionalFormatting>
  <conditionalFormatting sqref="E124">
    <cfRule type="cellIs" dxfId="2" priority="18" operator="equal">
      <formula>"f64"</formula>
    </cfRule>
    <cfRule type="cellIs" dxfId="2" priority="19" operator="equal">
      <formula>"f64"</formula>
    </cfRule>
    <cfRule type="cellIs" dxfId="3" priority="20" operator="equal">
      <formula>"f32"</formula>
    </cfRule>
    <cfRule type="cellIs" dxfId="2" priority="21" operator="equal">
      <formula>"f64"</formula>
    </cfRule>
    <cfRule type="cellIs" dxfId="3" priority="22" operator="equal">
      <formula>"f32"</formula>
    </cfRule>
    <cfRule type="cellIs" dxfId="4" priority="23" operator="equal">
      <formula>"u64"</formula>
    </cfRule>
    <cfRule type="cellIs" dxfId="5" priority="24" operator="equal">
      <formula>"u32"</formula>
    </cfRule>
    <cfRule type="cellIs" priority="25" operator="equal">
      <formula>"u16"</formula>
    </cfRule>
    <cfRule type="cellIs" dxfId="6" priority="26" operator="equal">
      <formula>"s64"</formula>
    </cfRule>
    <cfRule type="cellIs" dxfId="7" priority="27" operator="equal">
      <formula>"s32"</formula>
    </cfRule>
    <cfRule type="cellIs" priority="28" operator="equal">
      <formula>"s16"</formula>
    </cfRule>
  </conditionalFormatting>
  <conditionalFormatting sqref="F124">
    <cfRule type="containsBlanks" dxfId="1" priority="17">
      <formula>LEN(TRIM(F124))=0</formula>
    </cfRule>
  </conditionalFormatting>
  <conditionalFormatting sqref="K124">
    <cfRule type="cellIs" dxfId="8" priority="7" operator="equal">
      <formula>"读写 - 立即更改，立即生效"</formula>
    </cfRule>
    <cfRule type="cellIs" dxfId="9" priority="8" operator="equal">
      <formula>"读写 - 立即更改，重启生效"</formula>
    </cfRule>
    <cfRule type="cellIs" dxfId="10" priority="9" operator="equal">
      <formula>"读写 - 停机更改，立即生效"</formula>
    </cfRule>
  </conditionalFormatting>
  <conditionalFormatting sqref="L124">
    <cfRule type="cellIs" dxfId="11" priority="10" operator="equal">
      <formula>"允许保存，不可恢复"</formula>
    </cfRule>
    <cfRule type="cellIs" dxfId="12" priority="11" operator="equal">
      <formula>"允许保存，可恢复"</formula>
    </cfRule>
  </conditionalFormatting>
  <conditionalFormatting sqref="M124">
    <cfRule type="cellIs" dxfId="13" priority="2" operator="equal">
      <formula>"User"</formula>
    </cfRule>
    <cfRule type="cellIs" dxfId="14" priority="3" operator="equal">
      <formula>"Admin"</formula>
    </cfRule>
  </conditionalFormatting>
  <conditionalFormatting sqref="O124">
    <cfRule type="containsBlanks" dxfId="1" priority="4">
      <formula>LEN(TRIM(O124))=0</formula>
    </cfRule>
  </conditionalFormatting>
  <conditionalFormatting sqref="P124">
    <cfRule type="containsBlanks" dxfId="1" priority="5">
      <formula>LEN(TRIM(P124))=0</formula>
    </cfRule>
  </conditionalFormatting>
  <conditionalFormatting sqref="Q124">
    <cfRule type="cellIs" dxfId="0" priority="1" operator="equal">
      <formula>0</formula>
    </cfRule>
  </conditionalFormatting>
  <conditionalFormatting sqref="R124">
    <cfRule type="containsBlanks" dxfId="1" priority="6">
      <formula>LEN(TRIM(R124))=0</formula>
    </cfRule>
  </conditionalFormatting>
  <conditionalFormatting sqref="F127">
    <cfRule type="containsBlanks" dxfId="1" priority="12">
      <formula>LEN(TRIM(F127))=0</formula>
    </cfRule>
  </conditionalFormatting>
  <conditionalFormatting sqref="E129">
    <cfRule type="cellIs" dxfId="2" priority="329" operator="equal">
      <formula>"f64"</formula>
    </cfRule>
    <cfRule type="cellIs" dxfId="2" priority="330" operator="equal">
      <formula>"f64"</formula>
    </cfRule>
    <cfRule type="cellIs" dxfId="3" priority="331" operator="equal">
      <formula>"f32"</formula>
    </cfRule>
    <cfRule type="cellIs" dxfId="2" priority="332" operator="equal">
      <formula>"f64"</formula>
    </cfRule>
    <cfRule type="cellIs" dxfId="3" priority="333" operator="equal">
      <formula>"f32"</formula>
    </cfRule>
    <cfRule type="cellIs" dxfId="4" priority="334" operator="equal">
      <formula>"u64"</formula>
    </cfRule>
    <cfRule type="cellIs" dxfId="5" priority="335" operator="equal">
      <formula>"u32"</formula>
    </cfRule>
    <cfRule type="cellIs" priority="336" operator="equal">
      <formula>"u16"</formula>
    </cfRule>
    <cfRule type="cellIs" dxfId="6" priority="337" operator="equal">
      <formula>"s64"</formula>
    </cfRule>
    <cfRule type="cellIs" dxfId="7" priority="338" operator="equal">
      <formula>"s32"</formula>
    </cfRule>
    <cfRule type="cellIs" priority="339" operator="equal">
      <formula>"s16"</formula>
    </cfRule>
  </conditionalFormatting>
  <conditionalFormatting sqref="F129">
    <cfRule type="containsBlanks" dxfId="1" priority="328">
      <formula>LEN(TRIM(F129))=0</formula>
    </cfRule>
  </conditionalFormatting>
  <conditionalFormatting sqref="K129">
    <cfRule type="cellIs" dxfId="8" priority="340" operator="equal">
      <formula>"读写 - 立即更改，立即生效"</formula>
    </cfRule>
    <cfRule type="cellIs" dxfId="9" priority="341" operator="equal">
      <formula>"读写 - 立即更改，重启生效"</formula>
    </cfRule>
    <cfRule type="cellIs" dxfId="10" priority="342" operator="equal">
      <formula>"读写 - 停机更改，立即生效"</formula>
    </cfRule>
  </conditionalFormatting>
  <conditionalFormatting sqref="L129">
    <cfRule type="cellIs" dxfId="11" priority="343" operator="equal">
      <formula>"允许保存，不可恢复"</formula>
    </cfRule>
    <cfRule type="cellIs" dxfId="12" priority="346" operator="equal">
      <formula>"允许保存，可恢复"</formula>
    </cfRule>
  </conditionalFormatting>
  <conditionalFormatting sqref="K192">
    <cfRule type="cellIs" dxfId="8" priority="397" operator="equal">
      <formula>"读写 - 立即更改，立即生效"</formula>
    </cfRule>
    <cfRule type="cellIs" dxfId="9" priority="398" operator="equal">
      <formula>"读写 - 立即更改，重启生效"</formula>
    </cfRule>
    <cfRule type="cellIs" dxfId="10" priority="399" operator="equal">
      <formula>"读写 - 停机更改，立即生效"</formula>
    </cfRule>
  </conditionalFormatting>
  <conditionalFormatting sqref="L192">
    <cfRule type="cellIs" dxfId="11" priority="400" operator="equal">
      <formula>"允许保存，不可恢复"</formula>
    </cfRule>
    <cfRule type="cellIs" dxfId="12" priority="403" operator="equal">
      <formula>"允许保存，可恢复"</formula>
    </cfRule>
  </conditionalFormatting>
  <conditionalFormatting sqref="E253">
    <cfRule type="cellIs" dxfId="2" priority="789" operator="equal">
      <formula>"f64"</formula>
    </cfRule>
    <cfRule type="cellIs" dxfId="2" priority="790" operator="equal">
      <formula>"f64"</formula>
    </cfRule>
    <cfRule type="cellIs" dxfId="3" priority="791" operator="equal">
      <formula>"f32"</formula>
    </cfRule>
    <cfRule type="cellIs" dxfId="2" priority="792" operator="equal">
      <formula>"f64"</formula>
    </cfRule>
    <cfRule type="cellIs" dxfId="3" priority="793" operator="equal">
      <formula>"f32"</formula>
    </cfRule>
    <cfRule type="cellIs" dxfId="4" priority="794" operator="equal">
      <formula>"u64"</formula>
    </cfRule>
    <cfRule type="cellIs" dxfId="5" priority="795" operator="equal">
      <formula>"u32"</formula>
    </cfRule>
    <cfRule type="cellIs" priority="796" operator="equal">
      <formula>"u16"</formula>
    </cfRule>
    <cfRule type="cellIs" dxfId="6" priority="797" operator="equal">
      <formula>"s64"</formula>
    </cfRule>
    <cfRule type="cellIs" dxfId="7" priority="798" operator="equal">
      <formula>"s32"</formula>
    </cfRule>
    <cfRule type="cellIs" priority="799" operator="equal">
      <formula>"s16"</formula>
    </cfRule>
  </conditionalFormatting>
  <conditionalFormatting sqref="F253">
    <cfRule type="containsBlanks" dxfId="1" priority="788">
      <formula>LEN(TRIM(F253))=0</formula>
    </cfRule>
  </conditionalFormatting>
  <conditionalFormatting sqref="K253">
    <cfRule type="cellIs" dxfId="8" priority="800" operator="equal">
      <formula>"读写 - 立即更改，立即生效"</formula>
    </cfRule>
    <cfRule type="cellIs" dxfId="9" priority="801" operator="equal">
      <formula>"读写 - 立即更改，重启生效"</formula>
    </cfRule>
    <cfRule type="cellIs" dxfId="10" priority="802" operator="equal">
      <formula>"读写 - 停机更改，立即生效"</formula>
    </cfRule>
  </conditionalFormatting>
  <conditionalFormatting sqref="L253">
    <cfRule type="cellIs" dxfId="11" priority="803" operator="equal">
      <formula>"允许保存，不可恢复"</formula>
    </cfRule>
    <cfRule type="cellIs" dxfId="12" priority="806" operator="equal">
      <formula>"允许保存，可恢复"</formula>
    </cfRule>
  </conditionalFormatting>
  <conditionalFormatting sqref="F262">
    <cfRule type="containsBlanks" dxfId="1" priority="721">
      <formula>LEN(TRIM(F262))=0</formula>
    </cfRule>
  </conditionalFormatting>
  <conditionalFormatting sqref="E6:E7">
    <cfRule type="cellIs" priority="59" operator="equal">
      <formula>"s16"</formula>
    </cfRule>
    <cfRule type="cellIs" dxfId="7" priority="58" operator="equal">
      <formula>"s32"</formula>
    </cfRule>
    <cfRule type="cellIs" dxfId="6" priority="57" operator="equal">
      <formula>"s64"</formula>
    </cfRule>
    <cfRule type="cellIs" priority="56" operator="equal">
      <formula>"u16"</formula>
    </cfRule>
    <cfRule type="cellIs" dxfId="5" priority="55" operator="equal">
      <formula>"u32"</formula>
    </cfRule>
    <cfRule type="cellIs" dxfId="4" priority="54" operator="equal">
      <formula>"u64"</formula>
    </cfRule>
    <cfRule type="cellIs" dxfId="3" priority="53" operator="equal">
      <formula>"f32"</formula>
    </cfRule>
    <cfRule type="cellIs" dxfId="2" priority="52" operator="equal">
      <formula>"f64"</formula>
    </cfRule>
    <cfRule type="cellIs" dxfId="3" priority="51" operator="equal">
      <formula>"f32"</formula>
    </cfRule>
    <cfRule type="cellIs" dxfId="2" priority="50" operator="equal">
      <formula>"f64"</formula>
    </cfRule>
    <cfRule type="cellIs" dxfId="2" priority="49" operator="equal">
      <formula>"f64"</formula>
    </cfRule>
  </conditionalFormatting>
  <conditionalFormatting sqref="E8:E9">
    <cfRule type="cellIs" priority="100" operator="equal">
      <formula>"s16"</formula>
    </cfRule>
    <cfRule type="cellIs" dxfId="7" priority="99" operator="equal">
      <formula>"s32"</formula>
    </cfRule>
    <cfRule type="cellIs" dxfId="6" priority="98" operator="equal">
      <formula>"s64"</formula>
    </cfRule>
    <cfRule type="cellIs" priority="97" operator="equal">
      <formula>"u16"</formula>
    </cfRule>
    <cfRule type="cellIs" dxfId="5" priority="96" operator="equal">
      <formula>"u32"</formula>
    </cfRule>
    <cfRule type="cellIs" dxfId="4" priority="95" operator="equal">
      <formula>"u64"</formula>
    </cfRule>
    <cfRule type="cellIs" dxfId="3" priority="94" operator="equal">
      <formula>"f32"</formula>
    </cfRule>
    <cfRule type="cellIs" dxfId="2" priority="93" operator="equal">
      <formula>"f64"</formula>
    </cfRule>
    <cfRule type="cellIs" dxfId="3" priority="92" operator="equal">
      <formula>"f32"</formula>
    </cfRule>
    <cfRule type="cellIs" dxfId="2" priority="91" operator="equal">
      <formula>"f64"</formula>
    </cfRule>
    <cfRule type="cellIs" dxfId="2" priority="90" operator="equal">
      <formula>"f64"</formula>
    </cfRule>
  </conditionalFormatting>
  <conditionalFormatting sqref="E59:E60">
    <cfRule type="cellIs" dxfId="2" priority="512" operator="equal">
      <formula>"f64"</formula>
    </cfRule>
    <cfRule type="cellIs" dxfId="2" priority="513" operator="equal">
      <formula>"f64"</formula>
    </cfRule>
    <cfRule type="cellIs" dxfId="3" priority="514" operator="equal">
      <formula>"f32"</formula>
    </cfRule>
    <cfRule type="cellIs" dxfId="2" priority="515" operator="equal">
      <formula>"f64"</formula>
    </cfRule>
    <cfRule type="cellIs" dxfId="3" priority="516" operator="equal">
      <formula>"f32"</formula>
    </cfRule>
    <cfRule type="cellIs" dxfId="4" priority="517" operator="equal">
      <formula>"u64"</formula>
    </cfRule>
    <cfRule type="cellIs" dxfId="5" priority="518" operator="equal">
      <formula>"u32"</formula>
    </cfRule>
    <cfRule type="cellIs" priority="519" operator="equal">
      <formula>"u16"</formula>
    </cfRule>
    <cfRule type="cellIs" dxfId="6" priority="520" operator="equal">
      <formula>"s64"</formula>
    </cfRule>
    <cfRule type="cellIs" dxfId="7" priority="521" operator="equal">
      <formula>"s32"</formula>
    </cfRule>
    <cfRule type="cellIs" priority="522" operator="equal">
      <formula>"s16"</formula>
    </cfRule>
  </conditionalFormatting>
  <conditionalFormatting sqref="E254:E256">
    <cfRule type="cellIs" dxfId="2" priority="828" operator="equal">
      <formula>"f64"</formula>
    </cfRule>
    <cfRule type="cellIs" dxfId="2" priority="829" operator="equal">
      <formula>"f64"</formula>
    </cfRule>
    <cfRule type="cellIs" dxfId="3" priority="830" operator="equal">
      <formula>"f32"</formula>
    </cfRule>
    <cfRule type="cellIs" dxfId="2" priority="831" operator="equal">
      <formula>"f64"</formula>
    </cfRule>
    <cfRule type="cellIs" dxfId="3" priority="832" operator="equal">
      <formula>"f32"</formula>
    </cfRule>
    <cfRule type="cellIs" dxfId="4" priority="833" operator="equal">
      <formula>"u64"</formula>
    </cfRule>
    <cfRule type="cellIs" dxfId="5" priority="834" operator="equal">
      <formula>"u32"</formula>
    </cfRule>
    <cfRule type="cellIs" priority="835" operator="equal">
      <formula>"u16"</formula>
    </cfRule>
    <cfRule type="cellIs" dxfId="6" priority="836" operator="equal">
      <formula>"s64"</formula>
    </cfRule>
    <cfRule type="cellIs" dxfId="7" priority="837" operator="equal">
      <formula>"s32"</formula>
    </cfRule>
    <cfRule type="cellIs" priority="838" operator="equal">
      <formula>"s16"</formula>
    </cfRule>
  </conditionalFormatting>
  <conditionalFormatting sqref="F6:F7">
    <cfRule type="containsBlanks" dxfId="1" priority="48">
      <formula>LEN(TRIM(F6))=0</formula>
    </cfRule>
  </conditionalFormatting>
  <conditionalFormatting sqref="F8:F9">
    <cfRule type="containsBlanks" dxfId="1" priority="89">
      <formula>LEN(TRIM(F8))=0</formula>
    </cfRule>
  </conditionalFormatting>
  <conditionalFormatting sqref="F254:F256">
    <cfRule type="containsBlanks" dxfId="1" priority="827">
      <formula>LEN(TRIM(F254))=0</formula>
    </cfRule>
  </conditionalFormatting>
  <conditionalFormatting sqref="F263:F266">
    <cfRule type="containsBlanks" dxfId="1" priority="722">
      <formula>LEN(TRIM(F263))=0</formula>
    </cfRule>
  </conditionalFormatting>
  <conditionalFormatting sqref="F271:F274">
    <cfRule type="containsBlanks" dxfId="1" priority="720">
      <formula>LEN(TRIM(F271))=0</formula>
    </cfRule>
  </conditionalFormatting>
  <conditionalFormatting sqref="F275:F278">
    <cfRule type="containsBlanks" dxfId="1" priority="719">
      <formula>LEN(TRIM(F275))=0</formula>
    </cfRule>
  </conditionalFormatting>
  <conditionalFormatting sqref="K6:K7">
    <cfRule type="cellIs" dxfId="10" priority="62" operator="equal">
      <formula>"读写 - 停机更改，立即生效"</formula>
    </cfRule>
    <cfRule type="cellIs" dxfId="9" priority="61" operator="equal">
      <formula>"读写 - 立即更改，重启生效"</formula>
    </cfRule>
    <cfRule type="cellIs" dxfId="8" priority="60" operator="equal">
      <formula>"读写 - 立即更改，立即生效"</formula>
    </cfRule>
  </conditionalFormatting>
  <conditionalFormatting sqref="K8:K9">
    <cfRule type="cellIs" dxfId="10" priority="103" operator="equal">
      <formula>"读写 - 停机更改，立即生效"</formula>
    </cfRule>
    <cfRule type="cellIs" dxfId="9" priority="102" operator="equal">
      <formula>"读写 - 立即更改，重启生效"</formula>
    </cfRule>
    <cfRule type="cellIs" dxfId="8" priority="101" operator="equal">
      <formula>"读写 - 立即更改，立即生效"</formula>
    </cfRule>
  </conditionalFormatting>
  <conditionalFormatting sqref="K254:K256">
    <cfRule type="cellIs" dxfId="8" priority="839" operator="equal">
      <formula>"读写 - 立即更改，立即生效"</formula>
    </cfRule>
    <cfRule type="cellIs" dxfId="9" priority="840" operator="equal">
      <formula>"读写 - 立即更改，重启生效"</formula>
    </cfRule>
    <cfRule type="cellIs" dxfId="10" priority="841" operator="equal">
      <formula>"读写 - 停机更改，立即生效"</formula>
    </cfRule>
  </conditionalFormatting>
  <conditionalFormatting sqref="K263:K266">
    <cfRule type="cellIs" dxfId="8" priority="745" operator="equal">
      <formula>"读写 - 立即更改，立即生效"</formula>
    </cfRule>
    <cfRule type="cellIs" dxfId="9" priority="746" operator="equal">
      <formula>"读写 - 立即更改，重启生效"</formula>
    </cfRule>
    <cfRule type="cellIs" dxfId="10" priority="747" operator="equal">
      <formula>"读写 - 停机更改，立即生效"</formula>
    </cfRule>
  </conditionalFormatting>
  <conditionalFormatting sqref="L6:L7">
    <cfRule type="cellIs" dxfId="12" priority="64" operator="equal">
      <formula>"允许保存，可恢复"</formula>
    </cfRule>
    <cfRule type="cellIs" dxfId="11" priority="63" operator="equal">
      <formula>"允许保存，不可恢复"</formula>
    </cfRule>
  </conditionalFormatting>
  <conditionalFormatting sqref="L8:L9">
    <cfRule type="cellIs" dxfId="12" priority="105" operator="equal">
      <formula>"允许保存，可恢复"</formula>
    </cfRule>
    <cfRule type="cellIs" dxfId="11" priority="104" operator="equal">
      <formula>"允许保存，不可恢复"</formula>
    </cfRule>
  </conditionalFormatting>
  <conditionalFormatting sqref="L254:L256">
    <cfRule type="cellIs" dxfId="11" priority="842" operator="equal">
      <formula>"允许保存，不可恢复"</formula>
    </cfRule>
    <cfRule type="cellIs" dxfId="12" priority="845" operator="equal">
      <formula>"允许保存，可恢复"</formula>
    </cfRule>
  </conditionalFormatting>
  <conditionalFormatting sqref="M6:M7">
    <cfRule type="cellIs" dxfId="14" priority="46" operator="equal">
      <formula>"Admin"</formula>
    </cfRule>
    <cfRule type="cellIs" dxfId="13" priority="45" operator="equal">
      <formula>"User"</formula>
    </cfRule>
  </conditionalFormatting>
  <conditionalFormatting sqref="M8:M9">
    <cfRule type="cellIs" dxfId="14" priority="87" operator="equal">
      <formula>"Admin"</formula>
    </cfRule>
    <cfRule type="cellIs" dxfId="13" priority="86" operator="equal">
      <formula>"User"</formula>
    </cfRule>
  </conditionalFormatting>
  <conditionalFormatting sqref="O6:O7">
    <cfRule type="containsBlanks" dxfId="1" priority="47">
      <formula>LEN(TRIM(O6))=0</formula>
    </cfRule>
  </conditionalFormatting>
  <conditionalFormatting sqref="O8:O9">
    <cfRule type="containsBlanks" dxfId="1" priority="88">
      <formula>LEN(TRIM(O8))=0</formula>
    </cfRule>
  </conditionalFormatting>
  <conditionalFormatting sqref="O70:O73">
    <cfRule type="containsBlanks" dxfId="1" priority="1012">
      <formula>LEN(TRIM(O70))=0</formula>
    </cfRule>
  </conditionalFormatting>
  <conditionalFormatting sqref="P6:P7">
    <cfRule type="containsBlanks" dxfId="1" priority="68">
      <formula>LEN(TRIM(P6))=0</formula>
    </cfRule>
  </conditionalFormatting>
  <conditionalFormatting sqref="E1:E5 E10:E41 E48 E45 E62:E82 E84:E118 E43 E55:E58 E191 E189 E271:E1048576 E263:E266 E201:E252 E187 E182 E179 E176 E169:E170 E173 E166 E163 E160 E148 E157 E130 E142 E151 E139 E154 E145 E133 E136 E195 E197 E199 E193 E125:E128 E120:E123">
    <cfRule type="cellIs" dxfId="2" priority="1068" operator="equal">
      <formula>"f64"</formula>
    </cfRule>
    <cfRule type="cellIs" dxfId="2" priority="1069" operator="equal">
      <formula>"f64"</formula>
    </cfRule>
    <cfRule type="cellIs" dxfId="3" priority="1070" operator="equal">
      <formula>"f32"</formula>
    </cfRule>
    <cfRule type="cellIs" dxfId="2" priority="1071" operator="equal">
      <formula>"f64"</formula>
    </cfRule>
    <cfRule type="cellIs" dxfId="3" priority="1072" operator="equal">
      <formula>"f32"</formula>
    </cfRule>
    <cfRule type="cellIs" dxfId="4" priority="1073" operator="equal">
      <formula>"u64"</formula>
    </cfRule>
    <cfRule type="cellIs" dxfId="5" priority="1074" operator="equal">
      <formula>"u32"</formula>
    </cfRule>
    <cfRule type="cellIs" priority="1075" operator="equal">
      <formula>"u16"</formula>
    </cfRule>
    <cfRule type="cellIs" dxfId="6" priority="1076" operator="equal">
      <formula>"s64"</formula>
    </cfRule>
    <cfRule type="cellIs" dxfId="7" priority="1077" operator="equal">
      <formula>"s32"</formula>
    </cfRule>
    <cfRule type="cellIs" priority="1078" operator="equal">
      <formula>"s16"</formula>
    </cfRule>
  </conditionalFormatting>
  <conditionalFormatting sqref="F1:F5 F10:F41 F58 F84:F118 F70:F82 F48 F62:F67 F43 F45 F133 F130 F142 F136 F157:F182 F187:F252 F148 F154 F128 F139 F151 F145 F279:F1048576 F120:F123 F125:F126">
    <cfRule type="containsBlanks" dxfId="1" priority="959">
      <formula>LEN(TRIM(F1))=0</formula>
    </cfRule>
  </conditionalFormatting>
  <conditionalFormatting sqref="K1:K5 K10:K41 K58 K62:K67 K48 K43 K74:K82 K45 K84:K118 K142 K157:K182 K154 K148 K151 K130 K145 K136 K139 K133 K187 K267:K1048576 K193:K252 K189 K120:K123 K125:K128">
    <cfRule type="cellIs" dxfId="8" priority="1079" operator="equal">
      <formula>"读写 - 立即更改，立即生效"</formula>
    </cfRule>
    <cfRule type="cellIs" dxfId="9" priority="1080" operator="equal">
      <formula>"读写 - 立即更改，重启生效"</formula>
    </cfRule>
    <cfRule type="cellIs" dxfId="10" priority="1081" operator="equal">
      <formula>"读写 - 停机更改，立即生效"</formula>
    </cfRule>
  </conditionalFormatting>
  <conditionalFormatting sqref="L1:L5 L10:L41 L58 L62:L67 L48 L43 L74:L82 L45 L84:L118 L182 L179 L176 L173 L169:L170 L166 L163 L160 L142 L157 L154 L148 L151 L130 L145 L136 L139 L133 L187 L266:L1048576 L193:L252 L189 L120:L123 L125:L128">
    <cfRule type="cellIs" dxfId="11" priority="1082" operator="equal">
      <formula>"允许保存，不可恢复"</formula>
    </cfRule>
    <cfRule type="cellIs" dxfId="12" priority="1085" operator="equal">
      <formula>"允许保存，可恢复"</formula>
    </cfRule>
  </conditionalFormatting>
  <conditionalFormatting sqref="M1:M5 M10:M123 M125:M1048576">
    <cfRule type="cellIs" dxfId="13" priority="236" operator="equal">
      <formula>"User"</formula>
    </cfRule>
    <cfRule type="cellIs" dxfId="14" priority="237" operator="equal">
      <formula>"Admin"</formula>
    </cfRule>
  </conditionalFormatting>
  <conditionalFormatting sqref="O1:O5 O10:O123 O125:O1048576">
    <cfRule type="containsBlanks" dxfId="1" priority="240">
      <formula>LEN(TRIM(O1))=0</formula>
    </cfRule>
  </conditionalFormatting>
  <conditionalFormatting sqref="P1:P5 P8:P123 P125:P1048576">
    <cfRule type="containsBlanks" dxfId="1" priority="241">
      <formula>LEN(TRIM(P1))=0</formula>
    </cfRule>
  </conditionalFormatting>
  <conditionalFormatting sqref="Q1:Q4 Q308:Q1048576">
    <cfRule type="cellIs" dxfId="0" priority="787" operator="equal">
      <formula>0</formula>
    </cfRule>
  </conditionalFormatting>
  <conditionalFormatting sqref="Q5 Q8:Q123 Q125:Q307">
    <cfRule type="cellIs" dxfId="0" priority="235" operator="equal">
      <formula>0</formula>
    </cfRule>
  </conditionalFormatting>
  <conditionalFormatting sqref="R5 R8:R123 R125:R307">
    <cfRule type="containsBlanks" dxfId="1" priority="263">
      <formula>LEN(TRIM(R5))=0</formula>
    </cfRule>
  </conditionalFormatting>
  <conditionalFormatting sqref="E52 E54">
    <cfRule type="cellIs" dxfId="2" priority="1031" operator="equal">
      <formula>"f64"</formula>
    </cfRule>
    <cfRule type="cellIs" dxfId="2" priority="1039" operator="equal">
      <formula>"f64"</formula>
    </cfRule>
    <cfRule type="cellIs" dxfId="3" priority="1040" operator="equal">
      <formula>"f32"</formula>
    </cfRule>
    <cfRule type="cellIs" dxfId="2" priority="1041" operator="equal">
      <formula>"f64"</formula>
    </cfRule>
    <cfRule type="cellIs" dxfId="3" priority="1042" operator="equal">
      <formula>"f32"</formula>
    </cfRule>
    <cfRule type="cellIs" dxfId="4" priority="1043" operator="equal">
      <formula>"u64"</formula>
    </cfRule>
    <cfRule type="cellIs" dxfId="5" priority="1044" operator="equal">
      <formula>"u32"</formula>
    </cfRule>
    <cfRule type="cellIs" priority="1045" operator="equal">
      <formula>"u16"</formula>
    </cfRule>
    <cfRule type="cellIs" dxfId="6" priority="1046" operator="equal">
      <formula>"s64"</formula>
    </cfRule>
    <cfRule type="cellIs" dxfId="7" priority="1047" operator="equal">
      <formula>"s32"</formula>
    </cfRule>
    <cfRule type="cellIs" priority="1048" operator="equal">
      <formula>"s16"</formula>
    </cfRule>
  </conditionalFormatting>
  <conditionalFormatting sqref="K73 K70:K71">
    <cfRule type="cellIs" dxfId="8" priority="1032" operator="equal">
      <formula>"读写 - 立即更改，立即生效"</formula>
    </cfRule>
    <cfRule type="cellIs" dxfId="9" priority="1033" operator="equal">
      <formula>"读写 - 立即更改，重启生效"</formula>
    </cfRule>
    <cfRule type="cellIs" dxfId="10" priority="1034" operator="equal">
      <formula>"读写 - 停机更改，立即生效"</formula>
    </cfRule>
  </conditionalFormatting>
  <conditionalFormatting sqref="L70:L71 L73">
    <cfRule type="cellIs" dxfId="11" priority="1035" operator="equal">
      <formula>"允许保存，不可恢复"</formula>
    </cfRule>
    <cfRule type="cellIs" dxfId="12" priority="1038" operator="equal">
      <formula>"允许保存，可恢复"</formula>
    </cfRule>
  </conditionalFormatting>
  <conditionalFormatting sqref="E158 E186 E183:E184 E174 E177 E180 E161 E164 E167 E171 E155 E152 E149 E146 E131 E134 E137 E140 E143">
    <cfRule type="cellIs" dxfId="2" priority="424" operator="equal">
      <formula>"f64"</formula>
    </cfRule>
    <cfRule type="cellIs" dxfId="2" priority="425" operator="equal">
      <formula>"f64"</formula>
    </cfRule>
    <cfRule type="cellIs" dxfId="3" priority="426" operator="equal">
      <formula>"f32"</formula>
    </cfRule>
    <cfRule type="cellIs" dxfId="2" priority="427" operator="equal">
      <formula>"f64"</formula>
    </cfRule>
    <cfRule type="cellIs" dxfId="3" priority="428" operator="equal">
      <formula>"f32"</formula>
    </cfRule>
    <cfRule type="cellIs" dxfId="4" priority="429" operator="equal">
      <formula>"u64"</formula>
    </cfRule>
    <cfRule type="cellIs" dxfId="5" priority="430" operator="equal">
      <formula>"u32"</formula>
    </cfRule>
    <cfRule type="cellIs" priority="431" operator="equal">
      <formula>"u16"</formula>
    </cfRule>
    <cfRule type="cellIs" dxfId="6" priority="432" operator="equal">
      <formula>"s64"</formula>
    </cfRule>
    <cfRule type="cellIs" dxfId="7" priority="433" operator="equal">
      <formula>"s32"</formula>
    </cfRule>
    <cfRule type="cellIs" priority="434" operator="equal">
      <formula>"s16"</formula>
    </cfRule>
  </conditionalFormatting>
  <conditionalFormatting sqref="F143 F186 F183:F184 F155 F152 F149 F146 F131 F134 F137 F140">
    <cfRule type="containsBlanks" dxfId="1" priority="423">
      <formula>LEN(TRIM(F131))=0</formula>
    </cfRule>
  </conditionalFormatting>
  <conditionalFormatting sqref="K143 K190 K188 K186 K183:K184 K155 K152 K149 K146 K131 K134 K137 K140">
    <cfRule type="cellIs" dxfId="8" priority="435" operator="equal">
      <formula>"读写 - 立即更改，立即生效"</formula>
    </cfRule>
    <cfRule type="cellIs" dxfId="9" priority="436" operator="equal">
      <formula>"读写 - 立即更改，重启生效"</formula>
    </cfRule>
    <cfRule type="cellIs" dxfId="10" priority="437" operator="equal">
      <formula>"读写 - 停机更改，立即生效"</formula>
    </cfRule>
  </conditionalFormatting>
  <conditionalFormatting sqref="L158 L190 L188 L186 L183:L184 L174 L177 L180 L161 L164 L167 L171 L155 L152 L149 L146 L131 L134 L137 L140 L143">
    <cfRule type="cellIs" dxfId="11" priority="438" operator="equal">
      <formula>"允许保存，不可恢复"</formula>
    </cfRule>
    <cfRule type="cellIs" dxfId="12" priority="441" operator="equal">
      <formula>"允许保存，可恢复"</formula>
    </cfRule>
  </conditionalFormatting>
  <conditionalFormatting sqref="E159 E185 E175 E178 E181 E162 E165 E168 E172 E156 E153 E150 E147 E132 E135 E138 E141 E144">
    <cfRule type="cellIs" dxfId="2" priority="405" operator="equal">
      <formula>"f64"</formula>
    </cfRule>
    <cfRule type="cellIs" dxfId="2" priority="406" operator="equal">
      <formula>"f64"</formula>
    </cfRule>
    <cfRule type="cellIs" dxfId="3" priority="407" operator="equal">
      <formula>"f32"</formula>
    </cfRule>
    <cfRule type="cellIs" dxfId="2" priority="408" operator="equal">
      <formula>"f64"</formula>
    </cfRule>
    <cfRule type="cellIs" dxfId="3" priority="409" operator="equal">
      <formula>"f32"</formula>
    </cfRule>
    <cfRule type="cellIs" dxfId="4" priority="410" operator="equal">
      <formula>"u64"</formula>
    </cfRule>
    <cfRule type="cellIs" dxfId="5" priority="411" operator="equal">
      <formula>"u32"</formula>
    </cfRule>
    <cfRule type="cellIs" priority="412" operator="equal">
      <formula>"u16"</formula>
    </cfRule>
    <cfRule type="cellIs" dxfId="6" priority="413" operator="equal">
      <formula>"s64"</formula>
    </cfRule>
    <cfRule type="cellIs" dxfId="7" priority="414" operator="equal">
      <formula>"s32"</formula>
    </cfRule>
    <cfRule type="cellIs" priority="415" operator="equal">
      <formula>"s16"</formula>
    </cfRule>
  </conditionalFormatting>
  <conditionalFormatting sqref="F144 F185 F156 F153 F150 F147 F132 F135 F138 F141">
    <cfRule type="containsBlanks" dxfId="1" priority="404">
      <formula>LEN(TRIM(F132))=0</formula>
    </cfRule>
  </conditionalFormatting>
  <conditionalFormatting sqref="K144 K191 K185 K156 K153 K150 K147 K132 K135 K138 K141">
    <cfRule type="cellIs" dxfId="8" priority="416" operator="equal">
      <formula>"读写 - 立即更改，立即生效"</formula>
    </cfRule>
    <cfRule type="cellIs" dxfId="9" priority="417" operator="equal">
      <formula>"读写 - 立即更改，重启生效"</formula>
    </cfRule>
    <cfRule type="cellIs" dxfId="10" priority="418" operator="equal">
      <formula>"读写 - 停机更改，立即生效"</formula>
    </cfRule>
  </conditionalFormatting>
  <conditionalFormatting sqref="L159 L191 L185 L175 L178 L181 L162 L165 L168 L172 L156 L153 L150 L147 L132 L135 L138 L141 L144">
    <cfRule type="cellIs" dxfId="11" priority="419" operator="equal">
      <formula>"允许保存，不可恢复"</formula>
    </cfRule>
    <cfRule type="cellIs" dxfId="12" priority="422" operator="equal">
      <formula>"允许保存，可恢复"</formula>
    </cfRule>
  </conditionalFormatting>
  <conditionalFormatting sqref="E188 E200 E198 E196 E194 E192 E190">
    <cfRule type="cellIs" dxfId="2" priority="34" operator="equal">
      <formula>"f64"</formula>
    </cfRule>
    <cfRule type="cellIs" dxfId="2" priority="35" operator="equal">
      <formula>"f64"</formula>
    </cfRule>
    <cfRule type="cellIs" dxfId="3" priority="36" operator="equal">
      <formula>"f32"</formula>
    </cfRule>
    <cfRule type="cellIs" dxfId="2" priority="37" operator="equal">
      <formula>"f64"</formula>
    </cfRule>
    <cfRule type="cellIs" dxfId="3" priority="38" operator="equal">
      <formula>"f32"</formula>
    </cfRule>
    <cfRule type="cellIs" dxfId="4" priority="39" operator="equal">
      <formula>"u64"</formula>
    </cfRule>
    <cfRule type="cellIs" dxfId="5" priority="40" operator="equal">
      <formula>"u32"</formula>
    </cfRule>
    <cfRule type="cellIs" priority="41" operator="equal">
      <formula>"u16"</formula>
    </cfRule>
    <cfRule type="cellIs" dxfId="6" priority="42" operator="equal">
      <formula>"s64"</formula>
    </cfRule>
    <cfRule type="cellIs" dxfId="7" priority="43" operator="equal">
      <formula>"s32"</formula>
    </cfRule>
    <cfRule type="cellIs" priority="44" operator="equal">
      <formula>"s16"</formula>
    </cfRule>
  </conditionalFormatting>
  <conditionalFormatting sqref="E257 E259:E260 E262">
    <cfRule type="cellIs" dxfId="2" priority="768" operator="equal">
      <formula>"f64"</formula>
    </cfRule>
    <cfRule type="cellIs" dxfId="2" priority="769" operator="equal">
      <formula>"f64"</formula>
    </cfRule>
    <cfRule type="cellIs" dxfId="3" priority="770" operator="equal">
      <formula>"f32"</formula>
    </cfRule>
    <cfRule type="cellIs" dxfId="2" priority="771" operator="equal">
      <formula>"f64"</formula>
    </cfRule>
    <cfRule type="cellIs" dxfId="3" priority="772" operator="equal">
      <formula>"f32"</formula>
    </cfRule>
    <cfRule type="cellIs" dxfId="4" priority="773" operator="equal">
      <formula>"u64"</formula>
    </cfRule>
    <cfRule type="cellIs" dxfId="5" priority="774" operator="equal">
      <formula>"u32"</formula>
    </cfRule>
    <cfRule type="cellIs" priority="775" operator="equal">
      <formula>"u16"</formula>
    </cfRule>
    <cfRule type="cellIs" dxfId="6" priority="776" operator="equal">
      <formula>"s64"</formula>
    </cfRule>
    <cfRule type="cellIs" dxfId="7" priority="777" operator="equal">
      <formula>"s32"</formula>
    </cfRule>
    <cfRule type="cellIs" priority="778" operator="equal">
      <formula>"s16"</formula>
    </cfRule>
  </conditionalFormatting>
  <conditionalFormatting sqref="F257 F259:F260 F267:F270">
    <cfRule type="containsBlanks" dxfId="1" priority="767">
      <formula>LEN(TRIM(F257))=0</formula>
    </cfRule>
  </conditionalFormatting>
  <conditionalFormatting sqref="K257 K259:K260 K262">
    <cfRule type="cellIs" dxfId="8" priority="779" operator="equal">
      <formula>"读写 - 立即更改，立即生效"</formula>
    </cfRule>
    <cfRule type="cellIs" dxfId="9" priority="780" operator="equal">
      <formula>"读写 - 立即更改，重启生效"</formula>
    </cfRule>
    <cfRule type="cellIs" dxfId="10" priority="781" operator="equal">
      <formula>"读写 - 停机更改，立即生效"</formula>
    </cfRule>
  </conditionalFormatting>
  <conditionalFormatting sqref="L257 L259:L260 L264 L262">
    <cfRule type="cellIs" dxfId="11" priority="782" operator="equal">
      <formula>"允许保存，不可恢复"</formula>
    </cfRule>
    <cfRule type="cellIs" dxfId="12" priority="785" operator="equal">
      <formula>"允许保存，可恢复"</formula>
    </cfRule>
  </conditionalFormatting>
  <conditionalFormatting sqref="E258 E261">
    <cfRule type="cellIs" dxfId="2" priority="749" operator="equal">
      <formula>"f64"</formula>
    </cfRule>
    <cfRule type="cellIs" dxfId="2" priority="750" operator="equal">
      <formula>"f64"</formula>
    </cfRule>
    <cfRule type="cellIs" dxfId="3" priority="751" operator="equal">
      <formula>"f32"</formula>
    </cfRule>
    <cfRule type="cellIs" dxfId="2" priority="752" operator="equal">
      <formula>"f64"</formula>
    </cfRule>
    <cfRule type="cellIs" dxfId="3" priority="753" operator="equal">
      <formula>"f32"</formula>
    </cfRule>
    <cfRule type="cellIs" dxfId="4" priority="754" operator="equal">
      <formula>"u64"</formula>
    </cfRule>
    <cfRule type="cellIs" dxfId="5" priority="755" operator="equal">
      <formula>"u32"</formula>
    </cfRule>
    <cfRule type="cellIs" priority="756" operator="equal">
      <formula>"u16"</formula>
    </cfRule>
    <cfRule type="cellIs" dxfId="6" priority="757" operator="equal">
      <formula>"s64"</formula>
    </cfRule>
    <cfRule type="cellIs" dxfId="7" priority="758" operator="equal">
      <formula>"s32"</formula>
    </cfRule>
    <cfRule type="cellIs" priority="759" operator="equal">
      <formula>"s16"</formula>
    </cfRule>
  </conditionalFormatting>
  <conditionalFormatting sqref="F258 F261">
    <cfRule type="containsBlanks" dxfId="1" priority="748">
      <formula>LEN(TRIM(F258))=0</formula>
    </cfRule>
  </conditionalFormatting>
  <conditionalFormatting sqref="K258 K261">
    <cfRule type="cellIs" dxfId="8" priority="760" operator="equal">
      <formula>"读写 - 立即更改，立即生效"</formula>
    </cfRule>
    <cfRule type="cellIs" dxfId="9" priority="761" operator="equal">
      <formula>"读写 - 立即更改，重启生效"</formula>
    </cfRule>
    <cfRule type="cellIs" dxfId="10" priority="762" operator="equal">
      <formula>"读写 - 停机更改，立即生效"</formula>
    </cfRule>
  </conditionalFormatting>
  <conditionalFormatting sqref="L258 L265 L261 L263">
    <cfRule type="cellIs" dxfId="11" priority="763" operator="equal">
      <formula>"允许保存，不可恢复"</formula>
    </cfRule>
    <cfRule type="cellIs" dxfId="12" priority="766" operator="equal">
      <formula>"允许保存，可恢复"</formula>
    </cfRule>
  </conditionalFormatting>
  <conditionalFormatting sqref="E267 E269">
    <cfRule type="cellIs" dxfId="2" priority="723" operator="equal">
      <formula>"f64"</formula>
    </cfRule>
    <cfRule type="cellIs" dxfId="2" priority="724" operator="equal">
      <formula>"f64"</formula>
    </cfRule>
    <cfRule type="cellIs" dxfId="3" priority="725" operator="equal">
      <formula>"f32"</formula>
    </cfRule>
    <cfRule type="cellIs" dxfId="2" priority="726" operator="equal">
      <formula>"f64"</formula>
    </cfRule>
    <cfRule type="cellIs" dxfId="3" priority="727" operator="equal">
      <formula>"f32"</formula>
    </cfRule>
    <cfRule type="cellIs" dxfId="4" priority="728" operator="equal">
      <formula>"u64"</formula>
    </cfRule>
    <cfRule type="cellIs" dxfId="5" priority="729" operator="equal">
      <formula>"u32"</formula>
    </cfRule>
    <cfRule type="cellIs" priority="730" operator="equal">
      <formula>"u16"</formula>
    </cfRule>
    <cfRule type="cellIs" dxfId="6" priority="731" operator="equal">
      <formula>"s64"</formula>
    </cfRule>
    <cfRule type="cellIs" dxfId="7" priority="732" operator="equal">
      <formula>"s32"</formula>
    </cfRule>
    <cfRule type="cellIs" priority="733" operator="equal">
      <formula>"s16"</formula>
    </cfRule>
  </conditionalFormatting>
  <conditionalFormatting sqref="E268 E270">
    <cfRule type="cellIs" dxfId="2" priority="734" operator="equal">
      <formula>"f64"</formula>
    </cfRule>
    <cfRule type="cellIs" dxfId="2" priority="735" operator="equal">
      <formula>"f64"</formula>
    </cfRule>
    <cfRule type="cellIs" dxfId="3" priority="736" operator="equal">
      <formula>"f32"</formula>
    </cfRule>
    <cfRule type="cellIs" dxfId="2" priority="737" operator="equal">
      <formula>"f64"</formula>
    </cfRule>
    <cfRule type="cellIs" dxfId="3" priority="738" operator="equal">
      <formula>"f32"</formula>
    </cfRule>
    <cfRule type="cellIs" dxfId="4" priority="739" operator="equal">
      <formula>"u64"</formula>
    </cfRule>
    <cfRule type="cellIs" dxfId="5" priority="740" operator="equal">
      <formula>"u32"</formula>
    </cfRule>
    <cfRule type="cellIs" priority="741" operator="equal">
      <formula>"u16"</formula>
    </cfRule>
    <cfRule type="cellIs" dxfId="6" priority="742" operator="equal">
      <formula>"s64"</formula>
    </cfRule>
    <cfRule type="cellIs" dxfId="7" priority="743" operator="equal">
      <formula>"s32"</formula>
    </cfRule>
    <cfRule type="cellIs" priority="744" operator="equal">
      <formula>"s16"</formula>
    </cfRule>
  </conditionalFormatting>
  <dataValidations count="5">
    <dataValidation type="list" allowBlank="1" showInputMessage="1" showErrorMessage="1" sqref="J5 J6 J7 J8 J9 J23 J24 J25 J26 J27 J28 J29 J30 J31 J32 J36 J42 J43 J44 J45 J46 J47 J48 J49 J50 J51 J52 J53 J54 J55 J56 J57 J58 J59 J60 J61 J62 J63 J64 J65 J66 J67 J68 J69 J70 J71 J72 J73 J74 J75 J76 J83 J84 J96 J97 J98 J99 J100 J101 J102 J103 J104 J105 J106 J107 J108 J109 J117 J118 J119 J120 J121 J122 J123 J124 J125 J126 J127 J128 J129 J130 J131 J132 J133 J134 J135 J136 J137 J138 J139 J140 J141 J142 J143 J144 J145 J146 J147 J148 J149 J150 J151 J152 J153 J154 J155 J156 J157 J158 J159 J160 J161 J162 J163 J164 J165 J166 J167 J168 J169 J170 J171 J172 J173 J174 J175 J176 J177 J178 J179 J180 J181 J182 J183 J184 J185 J186 J187 J188 J189 J190 J191 J192 J195 J196 J197 J198 J201 J202 J205 J206 J207 J208 J209 J210 J211 J212 J213 J214 J215 J216 J217 J218 J219 J220 J221 J222 J223 J224 J225 J226 J227 J228 J229 J235 J236 J237 J238 J248 J252 J253 J256 J257 J258 J259 J260 J261 J262 J263 J264 J265 J266 J267 J268 J269 J270 J271 J272 J273 J274 J275 J276 J277 J278 J10:J11 J12:J22 J33:J35 J37:J41 J77:J80 J81:J82 J85:J95 J110:J112 J113:J116 J193:J194 J199:J200 J203:J204 J230:J234 J239:J247 J249:J251 J254:J255">
      <formula1>Unit!$A$2:$A$62</formula1>
    </dataValidation>
    <dataValidation type="list" allowBlank="1" showInputMessage="1" showErrorMessage="1" sqref="E5 E6 E7 E8 E9 E10 E11 E12 E23 E24 E25 E26 E27 E28 E29 E30 E31 E32 E33 E36 E41 E42 E43 E44 E45 E46 E47 E48 E49 E50 E51 E52 E53 E54 E55 E56 E57 E58 E59 E60 E61 E62 E63 E64 E65 E66 E67 E68 E69 E70 E71 E72 E73 E74 E75 E76 E83 E84 E96 E97 E98 E99 E100 E101 E102 E103 E104 E105 E106 E107 E108 E109 E117 E118 E119 E120 E121 E122 E123 E124 E125 E126 E127 E128 E129 E130 E131 E132 E133 E134 E135 E136 E137 E138 E139 E140 E141 E142 E143 E144 E145 E146 E147 E148 E149 E150 E151 E152 E153 E154 E155 E156 E157 E158 E159 E160 E161 E162 E163 E164 E165 E166 E167 E168 E169 E170 E171 E172 E173 E174 E175 E176 E177 E178 E179 E180 E181 E182 E183 E184 E185 E186 E235 E236 E237 E238 E248 E252 E253 E256 E257 E258 E259 E260 E261 E262 E263 E264 E265 E266 E267 E268 E269 E270 E271 E272 E273 E274 E275 E276 E277 E278 E13:E20 E21:E22 E34:E35 E37:E40 E77:E82 E85:E95 E110:E112 E113:E116 E187:E201 E202:E216 E217:E232 E233:E234 E239:E247 E249:E251 E254:E255">
      <formula1>"s16,u16,s32,u32,s64,u64,f32,f64"</formula1>
    </dataValidation>
    <dataValidation type="list" allowBlank="1" showInputMessage="1" showErrorMessage="1" sqref="M5 M6 M7 M8 M9 X21 M23 M24 M25 M26 M27 M28 M29 M30 M31 M32 M36 M42 M43 M44 M45 M46 M47 M48 M49 M50 M51 M52 M53 M54 M55 M56 M57 M58 M59 M60 M61 M62 M63 M64 M65 M66 M67 M68 M69 M70 M71 M72 M73 M74 M75 M76 M83 M84 M96 M97 M98 M99 M100 M101 M102 M103 M104 M105 M106 M107 M108 M109 M117 M118 M119 M120 M121 M122 M123 M124 M125 M126 M127 M128 M129 M130 M131 M132 M133 M134 M135 M136 M137 M138 M139 M140 M141 M142 M143 M144 M145 M146 M147 M148 M149 M150 M151 M152 M153 M154 M155 M156 M157 M158 M159 M160 M161 M162 M163 M164 M165 M166 M167 M168 M169 M170 M171 M172 M173 M174 M175 M176 M177 M178 M179 M180 M181 M182 M183 M184 M185 M186 M187 M188 M189 M190 M191 M192 M195 M196 M197 M198 M205 M206 M207 M208 M209 M210 M213 M214 M215 M216 M235 M236 M237 M238 M248 M252 M253 M256 M257 M258 M259 M260 M261 M262 M263 M264 M265 M266 M267 M268 M269 M270 M271 M272 M273 M274 M275 M276 M277 M278 M10:M11 M12:M22 M33:M35 M37:M41 M77:M82 M85:M89 M90:M95 M110:M112 M113:M116 M193:M194 M199:M200 M201:M202 M203:M204 M211:M212 M217:M228 M229:M234 M239:M247 M249:M251 M254:M255">
      <formula1>"Admin,User,Anyone"</formula1>
    </dataValidation>
    <dataValidation type="list" allowBlank="1" showInputMessage="1" showErrorMessage="1" sqref="K5 K6 K7 K8 K9 K23 K24 K25 K26 K27 K28 K29 K30 K31 K32 K36 K42 K43 K44 K45 K46 K47 K48 K49 K50 K51 K52 K53 K54 K55 K56 K57 K58 K59 K60 K61 K62 K63 K64 K65 K66 K67 K68 K69 K70 K71 K72 K73 K74 K75 K76 K83 K84 K96 K97 K98 K99 K100 K101 K102 K103 K104 K105 K106 K107 K108 K109 K117 K118 K119 K120 K121 K122 K123 K124 K125 K126 K127 K128 K129 K130 K131 K132 K133 K134 K135 K136 K137 K138 K139 K140 K141 K142 K143 K144 K145 K146 K147 K148 K149 K150 K151 K152 K153 K154 K155 K156 K182 K183 K184 K185 K186 K187 K188 K189 K190 K191 K192 K195 K196 K197 K198 K205 K206 K207 K208 K209 K210 K213 K214 K215 K216 K235 K236 K237 K238 K248 K252 K253 K256 K257 K258 K259 K260 K261 K262 K10:K11 K12:K22 K33:K35 K37:K41 K77:K79 K80:K82 K85:K95 K110:K112 K113:K116 K157:K172 K173:K181 K193:K194 K199:K200 K201:K202 K203:K204 K211:K212 K217:K228 K229:K234 K239:K247 K249:K251 K254:K255 K263:K266 K267:K273 K274:K278">
      <formula1>"只读,读写 - 立即更改，立即生效,读写 - 立即更改，重启生效,读写 - 停机更改，立即生效"</formula1>
    </dataValidation>
    <dataValidation type="list" allowBlank="1" showInputMessage="1" showErrorMessage="1" sqref="L5 L6 L7 L8 L9 L10 L11 L12 L13 L14 L15 L16 L17 L23 L24 L25 L26 L27 L28 L29 L30 L31 L32 L36 L42 L43 L44 L45 L46 L47 L48 L49 L50 L51 L52 L53 L54 L55 L56 L57 L58 L59 L60 L61 L62 L63 L64 L65 L66 L67 L68 L69 L70 L71 L72 L73 L74 L75 L76 L83 L84 L89 L96 L97 L98 L99 L100 L101 L102 L103 L104 L105 L106 L107 L108 L109 L117 L118 L119 L120 L121 L122 L123 L124 L125 L126 L127 L128 L129 L130 L131 L132 L133 L134 L135 L136 L137 L138 L139 L140 L141 L142 L143 L144 L145 L146 L147 L148 L149 L150 L151 L152 L153 L154 L155 L156 L157 L158 L159 L160 L161 L162 L163 L164 L165 L166 L167 L168 L169 L170 L171 L172 L173 L174 L175 L176 L177 L178 L179 L180 L181 L182 L183 L184 L185 L186 L187 L188 L189 L190 L191 L192 L195 L196 L197 L198 L205 L206 L207 L208 L209 L210 L213 L214 L215 L216 L235 L236 L237 L238 L248 L252 L253 L256 L257 L258 L259 L260 L261 L262 L263 L264 L265 L266 L267 L268 L269 L270 L271 L272 L273 L274 L275 L276 L277 L278 L18:L22 L33:L35 L37:L41 L77:L82 L85:L88 L90:L95 L110:L112 L113:L116 L193:L194 L199:L200 L201:L202 L203:L204 L211:L212 L217:L228 L229:L234 L239:L247 L249:L251 L254:L255">
      <formula1>"允许保存，可恢复,允许保存，不可恢复,不允许保存，不可恢复"</formula1>
    </dataValidation>
  </dataValidations>
  <pageMargins left="0.75" right="0.75" top="1" bottom="1" header="0.5" footer="0.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T560"/>
  <sheetViews>
    <sheetView showGridLines="0" tabSelected="1" zoomScale="70" zoomScaleNormal="70" topLeftCell="A123" workbookViewId="0">
      <selection activeCell="F145" sqref="F145"/>
    </sheetView>
  </sheetViews>
  <sheetFormatPr defaultColWidth="9" defaultRowHeight="14.4"/>
  <cols>
    <col min="1" max="1" width="5.22222222222222" style="7" customWidth="1"/>
    <col min="2" max="2" width="9.66666666666667" style="7" customWidth="1"/>
    <col min="3" max="3" width="8.77777777777778" style="7" customWidth="1"/>
    <col min="4" max="4" width="6.66666666666667" style="7" customWidth="1"/>
    <col min="5" max="5" width="5.22222222222222" style="7" customWidth="1"/>
    <col min="6" max="6" width="34.4444444444444" style="8" customWidth="1"/>
    <col min="7" max="7" width="7.22222222222222" style="7" customWidth="1"/>
    <col min="8" max="9" width="8.66666666666667" style="7" customWidth="1"/>
    <col min="10" max="10" width="13" style="7" customWidth="1"/>
    <col min="11" max="11" width="26.8888888888889" style="7" customWidth="1"/>
    <col min="12" max="12" width="21.4444444444444" style="7" customWidth="1"/>
    <col min="13" max="14" width="9.22222222222222" style="7" customWidth="1"/>
    <col min="15" max="15" width="45.3888888888889" style="8" customWidth="1"/>
    <col min="16" max="16" width="73.7777777777778" style="7" customWidth="1"/>
    <col min="17" max="17" width="2.66666666666667" style="9" customWidth="1"/>
    <col min="18" max="18" width="15.1574074074074" style="10" customWidth="1"/>
    <col min="19" max="16374" width="9" style="7"/>
    <col min="16375" max="16384" width="9" style="1"/>
  </cols>
  <sheetData>
    <row r="1" spans="1:18">
      <c r="A1" s="11" t="s">
        <v>0</v>
      </c>
      <c r="B1" s="11"/>
      <c r="C1" s="11"/>
      <c r="D1" s="11" t="s">
        <v>1</v>
      </c>
      <c r="E1" s="11"/>
      <c r="F1" s="12"/>
      <c r="G1" s="11"/>
      <c r="H1" s="11"/>
      <c r="I1" s="11"/>
      <c r="J1" s="11"/>
      <c r="K1" s="11"/>
      <c r="L1" s="11"/>
      <c r="M1" s="11"/>
      <c r="N1" s="11"/>
      <c r="O1" s="12"/>
      <c r="P1" s="11"/>
      <c r="Q1" s="29"/>
      <c r="R1" s="30"/>
    </row>
    <row r="2" spans="1:18">
      <c r="A2" s="11"/>
      <c r="B2" s="11"/>
      <c r="C2" s="11"/>
      <c r="D2" s="11"/>
      <c r="E2" s="11"/>
      <c r="F2" s="12"/>
      <c r="G2" s="11"/>
      <c r="H2" s="11"/>
      <c r="I2" s="11"/>
      <c r="J2" s="11"/>
      <c r="K2" s="11"/>
      <c r="L2" s="11"/>
      <c r="M2" s="11"/>
      <c r="N2" s="11"/>
      <c r="O2" s="12"/>
      <c r="P2" s="11"/>
      <c r="Q2" s="29"/>
      <c r="R2" s="30"/>
    </row>
    <row r="3" spans="1:18">
      <c r="A3" s="13" t="s">
        <v>2</v>
      </c>
      <c r="B3" s="13" t="s">
        <v>3</v>
      </c>
      <c r="C3" s="13" t="s">
        <v>4</v>
      </c>
      <c r="D3" s="11" t="s">
        <v>5</v>
      </c>
      <c r="E3" s="14" t="s">
        <v>6</v>
      </c>
      <c r="F3" s="15" t="s">
        <v>3</v>
      </c>
      <c r="G3" s="14" t="s">
        <v>7</v>
      </c>
      <c r="H3" s="16" t="s">
        <v>8</v>
      </c>
      <c r="I3" s="16" t="s">
        <v>9</v>
      </c>
      <c r="J3" s="11" t="s">
        <v>10</v>
      </c>
      <c r="K3" s="11"/>
      <c r="L3" s="11"/>
      <c r="M3" s="11"/>
      <c r="N3" s="14" t="s">
        <v>11</v>
      </c>
      <c r="O3" s="14" t="s">
        <v>12</v>
      </c>
      <c r="P3" s="14" t="s">
        <v>13</v>
      </c>
      <c r="Q3" s="29"/>
      <c r="R3" s="30"/>
    </row>
    <row r="4" spans="1:18">
      <c r="A4" s="13"/>
      <c r="B4" s="13"/>
      <c r="C4" s="13"/>
      <c r="D4" s="11"/>
      <c r="E4" s="11"/>
      <c r="F4" s="12"/>
      <c r="G4" s="11"/>
      <c r="H4" s="11"/>
      <c r="I4" s="11"/>
      <c r="J4" s="11" t="s">
        <v>14</v>
      </c>
      <c r="K4" s="11" t="s">
        <v>15</v>
      </c>
      <c r="L4" s="11" t="s">
        <v>16</v>
      </c>
      <c r="M4" s="14" t="s">
        <v>17</v>
      </c>
      <c r="N4" s="11"/>
      <c r="O4" s="11"/>
      <c r="P4" s="11"/>
      <c r="Q4" s="29"/>
      <c r="R4" s="30"/>
    </row>
    <row r="5" spans="1:18">
      <c r="A5" s="17"/>
      <c r="B5" s="17"/>
      <c r="C5" s="18"/>
      <c r="D5" s="17">
        <v>400</v>
      </c>
      <c r="E5" s="19" t="s">
        <v>29</v>
      </c>
      <c r="F5" s="20" t="s">
        <v>474</v>
      </c>
      <c r="G5" s="21" t="s">
        <v>40</v>
      </c>
      <c r="H5" s="21" t="s">
        <v>23</v>
      </c>
      <c r="I5" s="21" t="s">
        <v>30</v>
      </c>
      <c r="J5" s="17" t="s">
        <v>25</v>
      </c>
      <c r="K5" s="17" t="s">
        <v>26</v>
      </c>
      <c r="L5" s="17" t="s">
        <v>32</v>
      </c>
      <c r="M5" s="19" t="s">
        <v>28</v>
      </c>
      <c r="N5" s="17"/>
      <c r="O5" s="24" t="s">
        <v>475</v>
      </c>
      <c r="P5" s="25"/>
      <c r="Q5" s="31">
        <f>IF(OR(F5="",LEFT(TRIM(F5),3)=E5),1,0)</f>
        <v>1</v>
      </c>
      <c r="R5" s="32" t="str">
        <f>"P"&amp;TEXT(INT(D5/256),"00")&amp;"."&amp;TEXT(MOD(D5,256),"000")</f>
        <v>P01.144</v>
      </c>
    </row>
    <row r="6" spans="1:18">
      <c r="A6" s="17"/>
      <c r="B6" s="17"/>
      <c r="C6" s="18"/>
      <c r="D6" s="17">
        <f>INDEX(D:D,ROW()-1)+_xlfn.IFS(INDEX(E:E,ROW()-1)="u16",1,INDEX(E:E,ROW()-1)="s16",1,INDEX(E:E,ROW()-1)="s32",2,INDEX(E:E,ROW()-1)="s64",4,INDEX(E:E,ROW()-1)="u16",1,INDEX(E:E,ROW()-1)="u32",2,INDEX(E:E,ROW()-1)="u64",4,INDEX(E:E,ROW()-1)="f32",2,INDEX(E:E,ROW()-1)="f64",4)</f>
        <v>401</v>
      </c>
      <c r="E6" s="19" t="s">
        <v>29</v>
      </c>
      <c r="F6" s="20"/>
      <c r="G6" s="21" t="s">
        <v>23</v>
      </c>
      <c r="H6" s="21" t="s">
        <v>23</v>
      </c>
      <c r="I6" s="21" t="s">
        <v>30</v>
      </c>
      <c r="J6" s="17" t="s">
        <v>25</v>
      </c>
      <c r="K6" s="17" t="s">
        <v>26</v>
      </c>
      <c r="L6" s="17" t="s">
        <v>32</v>
      </c>
      <c r="M6" s="19" t="s">
        <v>28</v>
      </c>
      <c r="N6" s="17"/>
      <c r="O6" s="22"/>
      <c r="P6" s="25"/>
      <c r="Q6" s="31">
        <f t="shared" ref="Q6:Q69" si="0">IF(OR(F6="",LEFT(TRIM(F6),3)=E6),1,0)</f>
        <v>1</v>
      </c>
      <c r="R6" s="32" t="str">
        <f t="shared" ref="R6:R69" si="1">"P"&amp;TEXT(INT(D6/256),"00")&amp;"."&amp;TEXT(MOD(D6,256),"000")</f>
        <v>P01.145</v>
      </c>
    </row>
    <row r="7" ht="26.4" spans="1:18">
      <c r="A7" s="17"/>
      <c r="B7" s="17"/>
      <c r="C7" s="18"/>
      <c r="D7" s="17">
        <f>INDEX(D:D,ROW()-1)+_xlfn.IFS(INDEX(E:E,ROW()-1)="u16",1,INDEX(E:E,ROW()-1)="s16",1,INDEX(E:E,ROW()-1)="s32",2,INDEX(E:E,ROW()-1)="s64",4,INDEX(E:E,ROW()-1)="u16",1,INDEX(E:E,ROW()-1)="u32",2,INDEX(E:E,ROW()-1)="u64",4,INDEX(E:E,ROW()-1)="f32",2,INDEX(E:E,ROW()-1)="f64",4)</f>
        <v>402</v>
      </c>
      <c r="E7" s="19" t="s">
        <v>29</v>
      </c>
      <c r="F7" s="20" t="s">
        <v>476</v>
      </c>
      <c r="G7" s="21" t="s">
        <v>40</v>
      </c>
      <c r="H7" s="21" t="s">
        <v>23</v>
      </c>
      <c r="I7" s="21" t="s">
        <v>43</v>
      </c>
      <c r="J7" s="17" t="s">
        <v>25</v>
      </c>
      <c r="K7" s="17" t="s">
        <v>69</v>
      </c>
      <c r="L7" s="17" t="s">
        <v>27</v>
      </c>
      <c r="M7" s="19" t="s">
        <v>28</v>
      </c>
      <c r="N7" s="17"/>
      <c r="O7" s="26" t="s">
        <v>477</v>
      </c>
      <c r="P7" s="25" t="s">
        <v>478</v>
      </c>
      <c r="Q7" s="31">
        <f t="shared" si="0"/>
        <v>1</v>
      </c>
      <c r="R7" s="32" t="str">
        <f t="shared" si="1"/>
        <v>P01.146</v>
      </c>
    </row>
    <row r="8" spans="1:18">
      <c r="A8" s="17"/>
      <c r="B8" s="17"/>
      <c r="C8" s="18"/>
      <c r="D8" s="17">
        <f>INDEX(D:D,ROW()-1)+_xlfn.IFS(INDEX(E:E,ROW()-1)="u16",1,INDEX(E:E,ROW()-1)="s16",1,INDEX(E:E,ROW()-1)="s32",2,INDEX(E:E,ROW()-1)="s64",4,INDEX(E:E,ROW()-1)="u16",1,INDEX(E:E,ROW()-1)="u32",2,INDEX(E:E,ROW()-1)="u64",4,INDEX(E:E,ROW()-1)="f32",2,INDEX(E:E,ROW()-1)="f64",4)</f>
        <v>403</v>
      </c>
      <c r="E8" s="19" t="s">
        <v>29</v>
      </c>
      <c r="F8" s="22" t="s">
        <v>479</v>
      </c>
      <c r="G8" s="21" t="s">
        <v>252</v>
      </c>
      <c r="H8" s="21" t="s">
        <v>23</v>
      </c>
      <c r="I8" s="21" t="s">
        <v>30</v>
      </c>
      <c r="J8" s="17" t="s">
        <v>25</v>
      </c>
      <c r="K8" s="17" t="s">
        <v>69</v>
      </c>
      <c r="L8" s="17" t="s">
        <v>480</v>
      </c>
      <c r="M8" s="19" t="s">
        <v>75</v>
      </c>
      <c r="N8" s="17"/>
      <c r="O8" s="22" t="s">
        <v>481</v>
      </c>
      <c r="P8" s="22"/>
      <c r="Q8" s="31">
        <f t="shared" si="0"/>
        <v>1</v>
      </c>
      <c r="R8" s="32" t="str">
        <f t="shared" si="1"/>
        <v>P01.147</v>
      </c>
    </row>
    <row r="9" spans="1:20">
      <c r="A9" s="17"/>
      <c r="B9" s="17"/>
      <c r="C9" s="18"/>
      <c r="D9" s="17">
        <f t="shared" ref="D9:D72" si="2">INDEX(D:D,ROW()-1)+_xlfn.IFS(INDEX(E:E,ROW()-1)="u16",1,INDEX(E:E,ROW()-1)="s16",1,INDEX(E:E,ROW()-1)="s32",2,INDEX(E:E,ROW()-1)="s64",4,INDEX(E:E,ROW()-1)="u16",1,INDEX(E:E,ROW()-1)="u32",2,INDEX(E:E,ROW()-1)="u64",4,INDEX(E:E,ROW()-1)="f32",2,INDEX(E:E,ROW()-1)="f64",4)</f>
        <v>404</v>
      </c>
      <c r="E9" s="19" t="s">
        <v>20</v>
      </c>
      <c r="F9" s="22" t="s">
        <v>482</v>
      </c>
      <c r="G9" s="21" t="s">
        <v>23</v>
      </c>
      <c r="H9" s="21" t="s">
        <v>23</v>
      </c>
      <c r="I9" s="21" t="s">
        <v>24</v>
      </c>
      <c r="J9" s="17" t="s">
        <v>483</v>
      </c>
      <c r="K9" s="17" t="s">
        <v>69</v>
      </c>
      <c r="L9" s="17" t="s">
        <v>480</v>
      </c>
      <c r="M9" s="19" t="s">
        <v>75</v>
      </c>
      <c r="N9" s="17"/>
      <c r="O9" s="22" t="s">
        <v>484</v>
      </c>
      <c r="P9" s="22"/>
      <c r="Q9" s="31">
        <f t="shared" si="0"/>
        <v>1</v>
      </c>
      <c r="R9" s="32" t="str">
        <f t="shared" si="1"/>
        <v>P01.148</v>
      </c>
      <c r="T9" s="19"/>
    </row>
    <row r="10" spans="1:18">
      <c r="A10" s="17"/>
      <c r="B10" s="17"/>
      <c r="C10" s="18"/>
      <c r="D10" s="17">
        <f t="shared" si="2"/>
        <v>406</v>
      </c>
      <c r="E10" s="19" t="s">
        <v>29</v>
      </c>
      <c r="F10" s="22" t="s">
        <v>485</v>
      </c>
      <c r="G10" s="21" t="s">
        <v>23</v>
      </c>
      <c r="H10" s="21" t="s">
        <v>23</v>
      </c>
      <c r="I10" s="21" t="s">
        <v>30</v>
      </c>
      <c r="J10" s="17" t="s">
        <v>486</v>
      </c>
      <c r="K10" s="17" t="s">
        <v>69</v>
      </c>
      <c r="L10" s="17" t="s">
        <v>480</v>
      </c>
      <c r="M10" s="19" t="s">
        <v>75</v>
      </c>
      <c r="N10" s="17"/>
      <c r="O10" s="22" t="s">
        <v>487</v>
      </c>
      <c r="P10" s="22"/>
      <c r="Q10" s="31">
        <f t="shared" si="0"/>
        <v>1</v>
      </c>
      <c r="R10" s="32" t="str">
        <f t="shared" si="1"/>
        <v>P01.150</v>
      </c>
    </row>
    <row r="11" spans="1:18">
      <c r="A11" s="17"/>
      <c r="B11" s="17"/>
      <c r="C11" s="18"/>
      <c r="D11" s="17">
        <f t="shared" si="2"/>
        <v>407</v>
      </c>
      <c r="E11" s="19" t="s">
        <v>29</v>
      </c>
      <c r="F11" s="22" t="s">
        <v>488</v>
      </c>
      <c r="G11" s="21" t="s">
        <v>23</v>
      </c>
      <c r="H11" s="21" t="s">
        <v>23</v>
      </c>
      <c r="I11" s="21" t="s">
        <v>30</v>
      </c>
      <c r="J11" s="17" t="s">
        <v>489</v>
      </c>
      <c r="K11" s="17" t="s">
        <v>69</v>
      </c>
      <c r="L11" s="17" t="s">
        <v>480</v>
      </c>
      <c r="M11" s="19" t="s">
        <v>75</v>
      </c>
      <c r="N11" s="17"/>
      <c r="O11" s="22" t="s">
        <v>490</v>
      </c>
      <c r="P11" s="22"/>
      <c r="Q11" s="31">
        <f t="shared" si="0"/>
        <v>1</v>
      </c>
      <c r="R11" s="32" t="str">
        <f t="shared" si="1"/>
        <v>P01.151</v>
      </c>
    </row>
    <row r="12" spans="1:18">
      <c r="A12" s="17"/>
      <c r="B12" s="17"/>
      <c r="C12" s="18"/>
      <c r="D12" s="17">
        <f t="shared" si="2"/>
        <v>408</v>
      </c>
      <c r="E12" s="19" t="s">
        <v>29</v>
      </c>
      <c r="F12" s="22" t="s">
        <v>491</v>
      </c>
      <c r="G12" s="21" t="s">
        <v>23</v>
      </c>
      <c r="H12" s="21" t="s">
        <v>23</v>
      </c>
      <c r="I12" s="21" t="s">
        <v>30</v>
      </c>
      <c r="J12" s="17" t="s">
        <v>489</v>
      </c>
      <c r="K12" s="17" t="s">
        <v>69</v>
      </c>
      <c r="L12" s="17" t="s">
        <v>480</v>
      </c>
      <c r="M12" s="19" t="s">
        <v>75</v>
      </c>
      <c r="N12" s="17"/>
      <c r="O12" s="22" t="s">
        <v>492</v>
      </c>
      <c r="P12" s="22"/>
      <c r="Q12" s="31">
        <f t="shared" si="0"/>
        <v>1</v>
      </c>
      <c r="R12" s="32" t="str">
        <f t="shared" si="1"/>
        <v>P01.152</v>
      </c>
    </row>
    <row r="13" spans="1:18">
      <c r="A13" s="17"/>
      <c r="B13" s="17"/>
      <c r="C13" s="18"/>
      <c r="D13" s="17">
        <f t="shared" si="2"/>
        <v>409</v>
      </c>
      <c r="E13" s="19" t="s">
        <v>29</v>
      </c>
      <c r="F13" s="22" t="s">
        <v>493</v>
      </c>
      <c r="G13" s="21" t="s">
        <v>23</v>
      </c>
      <c r="H13" s="21" t="s">
        <v>23</v>
      </c>
      <c r="I13" s="21" t="s">
        <v>30</v>
      </c>
      <c r="J13" s="17" t="s">
        <v>25</v>
      </c>
      <c r="K13" s="17" t="s">
        <v>69</v>
      </c>
      <c r="L13" s="17" t="s">
        <v>480</v>
      </c>
      <c r="M13" s="19" t="s">
        <v>75</v>
      </c>
      <c r="N13" s="17"/>
      <c r="O13" s="22" t="s">
        <v>494</v>
      </c>
      <c r="P13" s="22"/>
      <c r="Q13" s="31">
        <f t="shared" si="0"/>
        <v>1</v>
      </c>
      <c r="R13" s="32" t="str">
        <f t="shared" si="1"/>
        <v>P01.153</v>
      </c>
    </row>
    <row r="14" spans="1:18">
      <c r="A14" s="17"/>
      <c r="B14" s="17"/>
      <c r="C14" s="18"/>
      <c r="D14" s="17">
        <f t="shared" si="2"/>
        <v>410</v>
      </c>
      <c r="E14" s="19" t="s">
        <v>29</v>
      </c>
      <c r="F14" s="22" t="s">
        <v>495</v>
      </c>
      <c r="G14" s="21" t="s">
        <v>23</v>
      </c>
      <c r="H14" s="21" t="s">
        <v>23</v>
      </c>
      <c r="I14" s="21" t="s">
        <v>30</v>
      </c>
      <c r="J14" s="17" t="s">
        <v>25</v>
      </c>
      <c r="K14" s="17" t="s">
        <v>69</v>
      </c>
      <c r="L14" s="17" t="s">
        <v>480</v>
      </c>
      <c r="M14" s="19" t="s">
        <v>75</v>
      </c>
      <c r="N14" s="17"/>
      <c r="O14" s="22" t="s">
        <v>496</v>
      </c>
      <c r="P14" s="22"/>
      <c r="Q14" s="31">
        <f t="shared" si="0"/>
        <v>1</v>
      </c>
      <c r="R14" s="32" t="str">
        <f t="shared" si="1"/>
        <v>P01.154</v>
      </c>
    </row>
    <row r="15" spans="1:18">
      <c r="A15" s="17"/>
      <c r="B15" s="17"/>
      <c r="C15" s="18"/>
      <c r="D15" s="17">
        <f t="shared" si="2"/>
        <v>411</v>
      </c>
      <c r="E15" s="19" t="s">
        <v>29</v>
      </c>
      <c r="F15" s="22" t="s">
        <v>497</v>
      </c>
      <c r="G15" s="21" t="s">
        <v>23</v>
      </c>
      <c r="H15" s="21" t="s">
        <v>23</v>
      </c>
      <c r="I15" s="21" t="s">
        <v>30</v>
      </c>
      <c r="J15" s="17" t="s">
        <v>498</v>
      </c>
      <c r="K15" s="17" t="s">
        <v>69</v>
      </c>
      <c r="L15" s="17" t="s">
        <v>480</v>
      </c>
      <c r="M15" s="19" t="s">
        <v>75</v>
      </c>
      <c r="N15" s="17"/>
      <c r="O15" s="22" t="s">
        <v>499</v>
      </c>
      <c r="P15" s="22"/>
      <c r="Q15" s="31">
        <f t="shared" si="0"/>
        <v>1</v>
      </c>
      <c r="R15" s="32" t="str">
        <f t="shared" si="1"/>
        <v>P01.155</v>
      </c>
    </row>
    <row r="16" ht="66" spans="1:18">
      <c r="A16" s="17"/>
      <c r="B16" s="17"/>
      <c r="C16" s="18"/>
      <c r="D16" s="17">
        <f t="shared" si="2"/>
        <v>412</v>
      </c>
      <c r="E16" s="19" t="s">
        <v>29</v>
      </c>
      <c r="F16" s="22" t="s">
        <v>500</v>
      </c>
      <c r="G16" s="21" t="s">
        <v>23</v>
      </c>
      <c r="H16" s="21" t="s">
        <v>23</v>
      </c>
      <c r="I16" s="21" t="s">
        <v>389</v>
      </c>
      <c r="J16" s="17" t="s">
        <v>501</v>
      </c>
      <c r="K16" s="17" t="s">
        <v>69</v>
      </c>
      <c r="L16" s="17" t="s">
        <v>480</v>
      </c>
      <c r="M16" s="19" t="s">
        <v>75</v>
      </c>
      <c r="N16" s="17"/>
      <c r="O16" s="20" t="s">
        <v>502</v>
      </c>
      <c r="P16" s="25" t="s">
        <v>503</v>
      </c>
      <c r="Q16" s="31">
        <f t="shared" si="0"/>
        <v>1</v>
      </c>
      <c r="R16" s="32" t="str">
        <f t="shared" si="1"/>
        <v>P01.156</v>
      </c>
    </row>
    <row r="17" spans="1:18">
      <c r="A17" s="17"/>
      <c r="B17" s="17"/>
      <c r="C17" s="18"/>
      <c r="D17" s="17">
        <f t="shared" si="2"/>
        <v>413</v>
      </c>
      <c r="E17" s="19" t="s">
        <v>29</v>
      </c>
      <c r="F17" s="22" t="s">
        <v>504</v>
      </c>
      <c r="G17" s="21" t="s">
        <v>23</v>
      </c>
      <c r="H17" s="21" t="s">
        <v>23</v>
      </c>
      <c r="I17" s="21" t="s">
        <v>30</v>
      </c>
      <c r="J17" s="17" t="s">
        <v>505</v>
      </c>
      <c r="K17" s="17" t="s">
        <v>69</v>
      </c>
      <c r="L17" s="17" t="s">
        <v>480</v>
      </c>
      <c r="M17" s="19" t="s">
        <v>75</v>
      </c>
      <c r="N17" s="17"/>
      <c r="O17" s="20" t="s">
        <v>506</v>
      </c>
      <c r="P17" s="22"/>
      <c r="Q17" s="31">
        <f t="shared" si="0"/>
        <v>1</v>
      </c>
      <c r="R17" s="32" t="str">
        <f t="shared" si="1"/>
        <v>P01.157</v>
      </c>
    </row>
    <row r="18" spans="1:18">
      <c r="A18" s="17"/>
      <c r="B18" s="17"/>
      <c r="C18" s="18"/>
      <c r="D18" s="17">
        <f t="shared" si="2"/>
        <v>414</v>
      </c>
      <c r="E18" s="19" t="s">
        <v>29</v>
      </c>
      <c r="F18" s="22" t="s">
        <v>507</v>
      </c>
      <c r="G18" s="21" t="s">
        <v>23</v>
      </c>
      <c r="H18" s="21" t="s">
        <v>23</v>
      </c>
      <c r="I18" s="21" t="s">
        <v>30</v>
      </c>
      <c r="J18" s="17" t="s">
        <v>125</v>
      </c>
      <c r="K18" s="17" t="s">
        <v>69</v>
      </c>
      <c r="L18" s="17" t="s">
        <v>480</v>
      </c>
      <c r="M18" s="19" t="s">
        <v>75</v>
      </c>
      <c r="N18" s="17"/>
      <c r="O18" s="22" t="s">
        <v>508</v>
      </c>
      <c r="P18" s="22"/>
      <c r="Q18" s="31">
        <f t="shared" si="0"/>
        <v>1</v>
      </c>
      <c r="R18" s="32" t="str">
        <f t="shared" si="1"/>
        <v>P01.158</v>
      </c>
    </row>
    <row r="19" spans="1:18">
      <c r="A19" s="17"/>
      <c r="B19" s="17"/>
      <c r="C19" s="18"/>
      <c r="D19" s="17">
        <f t="shared" si="2"/>
        <v>415</v>
      </c>
      <c r="E19" s="19" t="s">
        <v>29</v>
      </c>
      <c r="F19" s="22" t="s">
        <v>509</v>
      </c>
      <c r="G19" s="21" t="s">
        <v>23</v>
      </c>
      <c r="H19" s="21" t="s">
        <v>23</v>
      </c>
      <c r="I19" s="21" t="s">
        <v>30</v>
      </c>
      <c r="J19" s="17" t="s">
        <v>125</v>
      </c>
      <c r="K19" s="17" t="s">
        <v>69</v>
      </c>
      <c r="L19" s="17" t="s">
        <v>480</v>
      </c>
      <c r="M19" s="19" t="s">
        <v>75</v>
      </c>
      <c r="N19" s="17"/>
      <c r="O19" s="22" t="s">
        <v>510</v>
      </c>
      <c r="P19" s="22"/>
      <c r="Q19" s="31">
        <f t="shared" si="0"/>
        <v>1</v>
      </c>
      <c r="R19" s="32" t="str">
        <f t="shared" si="1"/>
        <v>P01.159</v>
      </c>
    </row>
    <row r="20" spans="1:18">
      <c r="A20" s="17"/>
      <c r="B20" s="17"/>
      <c r="C20" s="18"/>
      <c r="D20" s="17">
        <f t="shared" si="2"/>
        <v>416</v>
      </c>
      <c r="E20" s="19" t="s">
        <v>29</v>
      </c>
      <c r="F20" s="22" t="s">
        <v>511</v>
      </c>
      <c r="G20" s="21" t="s">
        <v>23</v>
      </c>
      <c r="H20" s="21" t="s">
        <v>23</v>
      </c>
      <c r="I20" s="21" t="s">
        <v>30</v>
      </c>
      <c r="J20" s="17" t="s">
        <v>512</v>
      </c>
      <c r="K20" s="17" t="s">
        <v>69</v>
      </c>
      <c r="L20" s="17" t="s">
        <v>480</v>
      </c>
      <c r="M20" s="19" t="s">
        <v>75</v>
      </c>
      <c r="N20" s="17"/>
      <c r="O20" s="22" t="s">
        <v>513</v>
      </c>
      <c r="P20" s="22"/>
      <c r="Q20" s="31">
        <f t="shared" si="0"/>
        <v>1</v>
      </c>
      <c r="R20" s="32" t="str">
        <f t="shared" si="1"/>
        <v>P01.160</v>
      </c>
    </row>
    <row r="21" spans="1:18">
      <c r="A21" s="17"/>
      <c r="B21" s="17"/>
      <c r="C21" s="18"/>
      <c r="D21" s="17">
        <f t="shared" si="2"/>
        <v>417</v>
      </c>
      <c r="E21" s="19" t="s">
        <v>29</v>
      </c>
      <c r="F21" s="22" t="s">
        <v>514</v>
      </c>
      <c r="G21" s="21" t="s">
        <v>23</v>
      </c>
      <c r="H21" s="21" t="s">
        <v>23</v>
      </c>
      <c r="I21" s="21" t="s">
        <v>30</v>
      </c>
      <c r="J21" s="17" t="s">
        <v>512</v>
      </c>
      <c r="K21" s="17" t="s">
        <v>69</v>
      </c>
      <c r="L21" s="17" t="s">
        <v>480</v>
      </c>
      <c r="M21" s="19" t="s">
        <v>75</v>
      </c>
      <c r="N21" s="17"/>
      <c r="O21" s="22" t="s">
        <v>515</v>
      </c>
      <c r="P21" s="22"/>
      <c r="Q21" s="31">
        <f t="shared" si="0"/>
        <v>1</v>
      </c>
      <c r="R21" s="32" t="str">
        <f t="shared" si="1"/>
        <v>P01.161</v>
      </c>
    </row>
    <row r="22" spans="1:18">
      <c r="A22" s="17"/>
      <c r="B22" s="17"/>
      <c r="C22" s="18"/>
      <c r="D22" s="17">
        <f t="shared" si="2"/>
        <v>418</v>
      </c>
      <c r="E22" s="19" t="s">
        <v>29</v>
      </c>
      <c r="F22" s="22" t="s">
        <v>516</v>
      </c>
      <c r="G22" s="21" t="s">
        <v>23</v>
      </c>
      <c r="H22" s="21" t="s">
        <v>23</v>
      </c>
      <c r="I22" s="21" t="s">
        <v>30</v>
      </c>
      <c r="J22" s="17" t="s">
        <v>517</v>
      </c>
      <c r="K22" s="17" t="s">
        <v>69</v>
      </c>
      <c r="L22" s="17" t="s">
        <v>480</v>
      </c>
      <c r="M22" s="19" t="s">
        <v>75</v>
      </c>
      <c r="N22" s="17"/>
      <c r="O22" s="22" t="s">
        <v>518</v>
      </c>
      <c r="P22" s="22"/>
      <c r="Q22" s="31">
        <f t="shared" si="0"/>
        <v>1</v>
      </c>
      <c r="R22" s="32" t="str">
        <f t="shared" si="1"/>
        <v>P01.162</v>
      </c>
    </row>
    <row r="23" spans="1:18">
      <c r="A23" s="17"/>
      <c r="B23" s="17"/>
      <c r="C23" s="18"/>
      <c r="D23" s="17">
        <f t="shared" si="2"/>
        <v>419</v>
      </c>
      <c r="E23" s="19" t="s">
        <v>29</v>
      </c>
      <c r="F23" s="22" t="s">
        <v>519</v>
      </c>
      <c r="G23" s="21" t="s">
        <v>23</v>
      </c>
      <c r="H23" s="21" t="s">
        <v>23</v>
      </c>
      <c r="I23" s="21" t="s">
        <v>30</v>
      </c>
      <c r="J23" s="17" t="s">
        <v>517</v>
      </c>
      <c r="K23" s="17" t="s">
        <v>69</v>
      </c>
      <c r="L23" s="17" t="s">
        <v>480</v>
      </c>
      <c r="M23" s="19" t="s">
        <v>75</v>
      </c>
      <c r="N23" s="17"/>
      <c r="O23" s="22" t="s">
        <v>520</v>
      </c>
      <c r="P23" s="22"/>
      <c r="Q23" s="31">
        <f t="shared" si="0"/>
        <v>1</v>
      </c>
      <c r="R23" s="32" t="str">
        <f t="shared" si="1"/>
        <v>P01.163</v>
      </c>
    </row>
    <row r="24" spans="1:18">
      <c r="A24" s="17"/>
      <c r="B24" s="17"/>
      <c r="C24" s="18"/>
      <c r="D24" s="17">
        <f t="shared" si="2"/>
        <v>420</v>
      </c>
      <c r="E24" s="19" t="s">
        <v>29</v>
      </c>
      <c r="F24" s="23" t="s">
        <v>521</v>
      </c>
      <c r="G24" s="21" t="s">
        <v>23</v>
      </c>
      <c r="H24" s="21" t="s">
        <v>23</v>
      </c>
      <c r="I24" s="21" t="s">
        <v>30</v>
      </c>
      <c r="J24" s="17" t="s">
        <v>522</v>
      </c>
      <c r="K24" s="17" t="s">
        <v>69</v>
      </c>
      <c r="L24" s="17" t="s">
        <v>480</v>
      </c>
      <c r="M24" s="19" t="s">
        <v>75</v>
      </c>
      <c r="N24" s="17"/>
      <c r="O24" s="24" t="s">
        <v>523</v>
      </c>
      <c r="P24" s="22"/>
      <c r="Q24" s="31">
        <f t="shared" si="0"/>
        <v>1</v>
      </c>
      <c r="R24" s="32" t="str">
        <f t="shared" si="1"/>
        <v>P01.164</v>
      </c>
    </row>
    <row r="25" spans="1:18">
      <c r="A25" s="17"/>
      <c r="B25" s="17"/>
      <c r="C25" s="18"/>
      <c r="D25" s="17">
        <f t="shared" si="2"/>
        <v>421</v>
      </c>
      <c r="E25" s="19" t="s">
        <v>29</v>
      </c>
      <c r="F25" s="22" t="s">
        <v>524</v>
      </c>
      <c r="G25" s="21" t="s">
        <v>23</v>
      </c>
      <c r="H25" s="21" t="s">
        <v>23</v>
      </c>
      <c r="I25" s="21" t="s">
        <v>30</v>
      </c>
      <c r="J25" s="17" t="s">
        <v>25</v>
      </c>
      <c r="K25" s="17" t="s">
        <v>69</v>
      </c>
      <c r="L25" s="17" t="s">
        <v>480</v>
      </c>
      <c r="M25" s="19" t="s">
        <v>75</v>
      </c>
      <c r="N25" s="17"/>
      <c r="O25" s="22" t="s">
        <v>525</v>
      </c>
      <c r="P25" s="22"/>
      <c r="Q25" s="31">
        <f t="shared" si="0"/>
        <v>1</v>
      </c>
      <c r="R25" s="32" t="str">
        <f t="shared" si="1"/>
        <v>P01.165</v>
      </c>
    </row>
    <row r="26" ht="79.2" spans="1:18">
      <c r="A26" s="17"/>
      <c r="B26" s="17"/>
      <c r="C26" s="18"/>
      <c r="D26" s="17">
        <f t="shared" si="2"/>
        <v>422</v>
      </c>
      <c r="E26" s="19" t="s">
        <v>29</v>
      </c>
      <c r="F26" s="20" t="s">
        <v>526</v>
      </c>
      <c r="G26" s="21" t="s">
        <v>23</v>
      </c>
      <c r="H26" s="21" t="s">
        <v>23</v>
      </c>
      <c r="I26" s="21" t="s">
        <v>30</v>
      </c>
      <c r="J26" s="17" t="s">
        <v>25</v>
      </c>
      <c r="K26" s="17" t="s">
        <v>69</v>
      </c>
      <c r="L26" s="17" t="s">
        <v>480</v>
      </c>
      <c r="M26" s="19" t="s">
        <v>75</v>
      </c>
      <c r="N26" s="27"/>
      <c r="O26" s="27" t="s">
        <v>527</v>
      </c>
      <c r="P26" s="25" t="s">
        <v>528</v>
      </c>
      <c r="Q26" s="31">
        <f t="shared" si="0"/>
        <v>1</v>
      </c>
      <c r="R26" s="32" t="str">
        <f t="shared" si="1"/>
        <v>P01.166</v>
      </c>
    </row>
    <row r="27" ht="105.6" spans="1:18">
      <c r="A27" s="17"/>
      <c r="B27" s="17"/>
      <c r="C27" s="18"/>
      <c r="D27" s="17">
        <f t="shared" si="2"/>
        <v>423</v>
      </c>
      <c r="E27" s="19" t="s">
        <v>29</v>
      </c>
      <c r="F27" s="20" t="s">
        <v>529</v>
      </c>
      <c r="G27" s="21" t="s">
        <v>23</v>
      </c>
      <c r="H27" s="21" t="s">
        <v>23</v>
      </c>
      <c r="I27" s="21" t="s">
        <v>30</v>
      </c>
      <c r="J27" s="17" t="s">
        <v>25</v>
      </c>
      <c r="K27" s="17" t="s">
        <v>69</v>
      </c>
      <c r="L27" s="17" t="s">
        <v>480</v>
      </c>
      <c r="M27" s="19" t="s">
        <v>75</v>
      </c>
      <c r="N27" s="17"/>
      <c r="O27" s="22" t="s">
        <v>530</v>
      </c>
      <c r="P27" s="25" t="s">
        <v>531</v>
      </c>
      <c r="Q27" s="31">
        <f t="shared" si="0"/>
        <v>1</v>
      </c>
      <c r="R27" s="32" t="str">
        <f t="shared" si="1"/>
        <v>P01.167</v>
      </c>
    </row>
    <row r="28" spans="1:18">
      <c r="A28" s="17"/>
      <c r="B28" s="17"/>
      <c r="C28" s="18"/>
      <c r="D28" s="17">
        <f t="shared" si="2"/>
        <v>424</v>
      </c>
      <c r="E28" s="19" t="s">
        <v>20</v>
      </c>
      <c r="F28" s="20" t="s">
        <v>532</v>
      </c>
      <c r="G28" s="21" t="s">
        <v>533</v>
      </c>
      <c r="H28" s="21" t="s">
        <v>23</v>
      </c>
      <c r="I28" s="21" t="s">
        <v>24</v>
      </c>
      <c r="J28" s="17" t="s">
        <v>25</v>
      </c>
      <c r="K28" s="17" t="s">
        <v>69</v>
      </c>
      <c r="L28" s="17" t="s">
        <v>480</v>
      </c>
      <c r="M28" s="19" t="s">
        <v>75</v>
      </c>
      <c r="N28" s="17"/>
      <c r="O28" s="22" t="s">
        <v>534</v>
      </c>
      <c r="P28" s="22"/>
      <c r="Q28" s="31">
        <f t="shared" si="0"/>
        <v>1</v>
      </c>
      <c r="R28" s="32" t="str">
        <f t="shared" si="1"/>
        <v>P01.168</v>
      </c>
    </row>
    <row r="29" spans="1:18">
      <c r="A29" s="17"/>
      <c r="B29" s="17"/>
      <c r="C29" s="18"/>
      <c r="D29" s="17">
        <f t="shared" si="2"/>
        <v>426</v>
      </c>
      <c r="E29" s="19" t="s">
        <v>20</v>
      </c>
      <c r="F29" s="20" t="s">
        <v>535</v>
      </c>
      <c r="G29" s="21" t="s">
        <v>23</v>
      </c>
      <c r="H29" s="21" t="s">
        <v>536</v>
      </c>
      <c r="I29" s="21" t="s">
        <v>24</v>
      </c>
      <c r="J29" s="17" t="s">
        <v>25</v>
      </c>
      <c r="K29" s="17" t="s">
        <v>69</v>
      </c>
      <c r="L29" s="17" t="s">
        <v>74</v>
      </c>
      <c r="M29" s="19" t="s">
        <v>75</v>
      </c>
      <c r="N29" s="20"/>
      <c r="O29" s="24" t="s">
        <v>537</v>
      </c>
      <c r="P29" s="22"/>
      <c r="Q29" s="31">
        <f t="shared" si="0"/>
        <v>1</v>
      </c>
      <c r="R29" s="32" t="str">
        <f t="shared" si="1"/>
        <v>P01.170</v>
      </c>
    </row>
    <row r="30" spans="1:18">
      <c r="A30" s="17"/>
      <c r="B30" s="17"/>
      <c r="C30" s="18"/>
      <c r="D30" s="17">
        <f t="shared" si="2"/>
        <v>428</v>
      </c>
      <c r="E30" s="19" t="s">
        <v>20</v>
      </c>
      <c r="F30" s="20" t="s">
        <v>538</v>
      </c>
      <c r="G30" s="21" t="s">
        <v>23</v>
      </c>
      <c r="H30" s="21" t="s">
        <v>23</v>
      </c>
      <c r="I30" s="21" t="s">
        <v>24</v>
      </c>
      <c r="J30" s="17" t="s">
        <v>25</v>
      </c>
      <c r="K30" s="17" t="s">
        <v>26</v>
      </c>
      <c r="L30" s="17" t="s">
        <v>32</v>
      </c>
      <c r="M30" s="19" t="s">
        <v>28</v>
      </c>
      <c r="N30" s="17"/>
      <c r="O30" s="22" t="s">
        <v>539</v>
      </c>
      <c r="P30" s="22"/>
      <c r="Q30" s="31">
        <f t="shared" si="0"/>
        <v>1</v>
      </c>
      <c r="R30" s="32" t="str">
        <f t="shared" si="1"/>
        <v>P01.172</v>
      </c>
    </row>
    <row r="31" spans="1:18">
      <c r="A31" s="17"/>
      <c r="B31" s="17"/>
      <c r="C31" s="18"/>
      <c r="D31" s="17">
        <f t="shared" si="2"/>
        <v>430</v>
      </c>
      <c r="E31" s="19" t="s">
        <v>20</v>
      </c>
      <c r="F31" s="20" t="s">
        <v>540</v>
      </c>
      <c r="G31" s="21" t="s">
        <v>23</v>
      </c>
      <c r="H31" s="21" t="s">
        <v>23</v>
      </c>
      <c r="I31" s="21" t="s">
        <v>24</v>
      </c>
      <c r="J31" s="17" t="s">
        <v>25</v>
      </c>
      <c r="K31" s="17" t="s">
        <v>26</v>
      </c>
      <c r="L31" s="17" t="s">
        <v>32</v>
      </c>
      <c r="M31" s="19" t="s">
        <v>28</v>
      </c>
      <c r="N31" s="17"/>
      <c r="O31" s="22" t="s">
        <v>541</v>
      </c>
      <c r="P31" s="22"/>
      <c r="Q31" s="31">
        <f t="shared" si="0"/>
        <v>1</v>
      </c>
      <c r="R31" s="32" t="str">
        <f t="shared" si="1"/>
        <v>P01.174</v>
      </c>
    </row>
    <row r="32" spans="1:18">
      <c r="A32" s="17"/>
      <c r="B32" s="17"/>
      <c r="C32" s="18"/>
      <c r="D32" s="17">
        <f t="shared" si="2"/>
        <v>432</v>
      </c>
      <c r="E32" s="19" t="s">
        <v>273</v>
      </c>
      <c r="F32" s="20" t="s">
        <v>542</v>
      </c>
      <c r="G32" s="21" t="s">
        <v>23</v>
      </c>
      <c r="H32" s="21" t="s">
        <v>275</v>
      </c>
      <c r="I32" s="21" t="s">
        <v>276</v>
      </c>
      <c r="J32" s="17" t="s">
        <v>25</v>
      </c>
      <c r="K32" s="17" t="s">
        <v>26</v>
      </c>
      <c r="L32" s="17" t="s">
        <v>32</v>
      </c>
      <c r="M32" s="19" t="s">
        <v>28</v>
      </c>
      <c r="N32" s="17"/>
      <c r="O32" s="22" t="s">
        <v>543</v>
      </c>
      <c r="P32" s="22"/>
      <c r="Q32" s="31">
        <f t="shared" si="0"/>
        <v>1</v>
      </c>
      <c r="R32" s="32" t="str">
        <f t="shared" si="1"/>
        <v>P01.176</v>
      </c>
    </row>
    <row r="33" spans="1:18">
      <c r="A33" s="17"/>
      <c r="B33" s="17"/>
      <c r="C33" s="18"/>
      <c r="D33" s="17">
        <f t="shared" si="2"/>
        <v>434</v>
      </c>
      <c r="E33" s="19" t="s">
        <v>284</v>
      </c>
      <c r="F33" s="20" t="s">
        <v>544</v>
      </c>
      <c r="G33" s="21" t="s">
        <v>23</v>
      </c>
      <c r="H33" s="21" t="s">
        <v>286</v>
      </c>
      <c r="I33" s="21" t="s">
        <v>287</v>
      </c>
      <c r="J33" s="17" t="s">
        <v>25</v>
      </c>
      <c r="K33" s="17" t="s">
        <v>26</v>
      </c>
      <c r="L33" s="17" t="s">
        <v>32</v>
      </c>
      <c r="M33" s="19" t="s">
        <v>28</v>
      </c>
      <c r="N33" s="17"/>
      <c r="O33" s="24" t="s">
        <v>545</v>
      </c>
      <c r="P33" s="22"/>
      <c r="Q33" s="31">
        <f t="shared" si="0"/>
        <v>1</v>
      </c>
      <c r="R33" s="32" t="str">
        <f t="shared" si="1"/>
        <v>P01.178</v>
      </c>
    </row>
    <row r="34" spans="1:18">
      <c r="A34" s="17"/>
      <c r="B34" s="17"/>
      <c r="C34" s="18"/>
      <c r="D34" s="17">
        <f t="shared" si="2"/>
        <v>438</v>
      </c>
      <c r="E34" s="19" t="s">
        <v>29</v>
      </c>
      <c r="F34" s="20" t="s">
        <v>546</v>
      </c>
      <c r="G34" s="21" t="s">
        <v>23</v>
      </c>
      <c r="H34" s="21" t="s">
        <v>23</v>
      </c>
      <c r="I34" s="21" t="s">
        <v>30</v>
      </c>
      <c r="J34" s="17" t="s">
        <v>25</v>
      </c>
      <c r="K34" s="17" t="s">
        <v>26</v>
      </c>
      <c r="L34" s="17" t="s">
        <v>32</v>
      </c>
      <c r="M34" s="19" t="s">
        <v>28</v>
      </c>
      <c r="N34" s="17"/>
      <c r="O34" s="24" t="s">
        <v>547</v>
      </c>
      <c r="P34" s="22"/>
      <c r="Q34" s="31">
        <f t="shared" si="0"/>
        <v>1</v>
      </c>
      <c r="R34" s="32" t="str">
        <f t="shared" si="1"/>
        <v>P01.182</v>
      </c>
    </row>
    <row r="35" spans="1:18">
      <c r="A35" s="17"/>
      <c r="B35" s="17"/>
      <c r="C35" s="18"/>
      <c r="D35" s="17">
        <f t="shared" si="2"/>
        <v>439</v>
      </c>
      <c r="E35" s="19" t="s">
        <v>29</v>
      </c>
      <c r="F35" s="20"/>
      <c r="G35" s="21" t="s">
        <v>23</v>
      </c>
      <c r="H35" s="21" t="s">
        <v>23</v>
      </c>
      <c r="I35" s="21" t="s">
        <v>30</v>
      </c>
      <c r="J35" s="17" t="s">
        <v>25</v>
      </c>
      <c r="K35" s="17" t="s">
        <v>26</v>
      </c>
      <c r="L35" s="17" t="s">
        <v>32</v>
      </c>
      <c r="M35" s="19" t="s">
        <v>28</v>
      </c>
      <c r="N35" s="17"/>
      <c r="O35" s="22"/>
      <c r="P35" s="22"/>
      <c r="Q35" s="31">
        <f t="shared" si="0"/>
        <v>1</v>
      </c>
      <c r="R35" s="32" t="str">
        <f t="shared" si="1"/>
        <v>P01.183</v>
      </c>
    </row>
    <row r="36" ht="26.4" spans="1:18">
      <c r="A36" s="17"/>
      <c r="B36" s="17"/>
      <c r="C36" s="18"/>
      <c r="D36" s="17">
        <f t="shared" si="2"/>
        <v>440</v>
      </c>
      <c r="E36" s="19" t="s">
        <v>29</v>
      </c>
      <c r="F36" s="20" t="s">
        <v>548</v>
      </c>
      <c r="G36" s="21" t="s">
        <v>23</v>
      </c>
      <c r="H36" s="21" t="s">
        <v>23</v>
      </c>
      <c r="I36" s="21" t="s">
        <v>30</v>
      </c>
      <c r="J36" s="17" t="s">
        <v>25</v>
      </c>
      <c r="K36" s="17" t="s">
        <v>69</v>
      </c>
      <c r="L36" s="17" t="s">
        <v>27</v>
      </c>
      <c r="M36" s="19" t="s">
        <v>28</v>
      </c>
      <c r="N36" s="17"/>
      <c r="O36" s="22" t="s">
        <v>549</v>
      </c>
      <c r="P36" s="25" t="s">
        <v>550</v>
      </c>
      <c r="Q36" s="31">
        <f t="shared" si="0"/>
        <v>1</v>
      </c>
      <c r="R36" s="32" t="str">
        <f t="shared" si="1"/>
        <v>P01.184</v>
      </c>
    </row>
    <row r="37" spans="1:18">
      <c r="A37" s="17"/>
      <c r="B37" s="17"/>
      <c r="C37" s="18"/>
      <c r="D37" s="17">
        <f t="shared" si="2"/>
        <v>441</v>
      </c>
      <c r="E37" s="19" t="s">
        <v>29</v>
      </c>
      <c r="F37" s="20"/>
      <c r="G37" s="21" t="s">
        <v>23</v>
      </c>
      <c r="H37" s="21" t="s">
        <v>23</v>
      </c>
      <c r="I37" s="21" t="s">
        <v>30</v>
      </c>
      <c r="J37" s="17" t="s">
        <v>25</v>
      </c>
      <c r="K37" s="17" t="s">
        <v>26</v>
      </c>
      <c r="L37" s="17" t="s">
        <v>32</v>
      </c>
      <c r="M37" s="19" t="s">
        <v>28</v>
      </c>
      <c r="N37" s="17"/>
      <c r="O37" s="22"/>
      <c r="P37" s="28"/>
      <c r="Q37" s="31">
        <f t="shared" si="0"/>
        <v>1</v>
      </c>
      <c r="R37" s="32" t="str">
        <f t="shared" si="1"/>
        <v>P01.185</v>
      </c>
    </row>
    <row r="38" spans="1:18">
      <c r="A38" s="17"/>
      <c r="B38" s="17"/>
      <c r="C38" s="18"/>
      <c r="D38" s="17">
        <f t="shared" si="2"/>
        <v>442</v>
      </c>
      <c r="E38" s="19" t="s">
        <v>29</v>
      </c>
      <c r="F38" s="20"/>
      <c r="G38" s="21" t="s">
        <v>23</v>
      </c>
      <c r="H38" s="21" t="s">
        <v>23</v>
      </c>
      <c r="I38" s="21" t="s">
        <v>30</v>
      </c>
      <c r="J38" s="17" t="s">
        <v>25</v>
      </c>
      <c r="K38" s="17" t="s">
        <v>26</v>
      </c>
      <c r="L38" s="17" t="s">
        <v>32</v>
      </c>
      <c r="M38" s="19" t="s">
        <v>28</v>
      </c>
      <c r="N38" s="17"/>
      <c r="O38" s="22"/>
      <c r="P38" s="22"/>
      <c r="Q38" s="31">
        <f t="shared" si="0"/>
        <v>1</v>
      </c>
      <c r="R38" s="32" t="str">
        <f t="shared" si="1"/>
        <v>P01.186</v>
      </c>
    </row>
    <row r="39" spans="1:18">
      <c r="A39" s="17"/>
      <c r="B39" s="17"/>
      <c r="C39" s="18"/>
      <c r="D39" s="17">
        <f t="shared" si="2"/>
        <v>443</v>
      </c>
      <c r="E39" s="19" t="s">
        <v>29</v>
      </c>
      <c r="F39" s="20" t="s">
        <v>551</v>
      </c>
      <c r="G39" s="21" t="s">
        <v>136</v>
      </c>
      <c r="H39" s="21" t="s">
        <v>23</v>
      </c>
      <c r="I39" s="21" t="s">
        <v>30</v>
      </c>
      <c r="J39" s="17" t="s">
        <v>552</v>
      </c>
      <c r="K39" s="17" t="s">
        <v>26</v>
      </c>
      <c r="L39" s="17" t="s">
        <v>32</v>
      </c>
      <c r="M39" s="19" t="s">
        <v>28</v>
      </c>
      <c r="N39" s="17"/>
      <c r="O39" s="22" t="s">
        <v>553</v>
      </c>
      <c r="P39" s="22"/>
      <c r="Q39" s="31">
        <f t="shared" si="0"/>
        <v>1</v>
      </c>
      <c r="R39" s="32" t="str">
        <f t="shared" si="1"/>
        <v>P01.187</v>
      </c>
    </row>
    <row r="40" spans="1:18">
      <c r="A40" s="17"/>
      <c r="B40" s="17"/>
      <c r="C40" s="18"/>
      <c r="D40" s="17">
        <f t="shared" si="2"/>
        <v>444</v>
      </c>
      <c r="E40" s="19" t="s">
        <v>29</v>
      </c>
      <c r="F40" s="20" t="s">
        <v>554</v>
      </c>
      <c r="G40" s="21" t="s">
        <v>23</v>
      </c>
      <c r="H40" s="21" t="s">
        <v>23</v>
      </c>
      <c r="I40" s="21" t="s">
        <v>30</v>
      </c>
      <c r="J40" s="17" t="s">
        <v>25</v>
      </c>
      <c r="K40" s="17" t="s">
        <v>26</v>
      </c>
      <c r="L40" s="17" t="s">
        <v>32</v>
      </c>
      <c r="M40" s="19" t="s">
        <v>28</v>
      </c>
      <c r="N40" s="17"/>
      <c r="O40" s="22" t="s">
        <v>555</v>
      </c>
      <c r="P40" s="22"/>
      <c r="Q40" s="31">
        <f t="shared" si="0"/>
        <v>1</v>
      </c>
      <c r="R40" s="32" t="str">
        <f t="shared" si="1"/>
        <v>P01.188</v>
      </c>
    </row>
    <row r="41" spans="1:18">
      <c r="A41" s="17"/>
      <c r="B41" s="17"/>
      <c r="C41" s="18"/>
      <c r="D41" s="17">
        <f t="shared" si="2"/>
        <v>445</v>
      </c>
      <c r="E41" s="19" t="s">
        <v>29</v>
      </c>
      <c r="F41" s="20" t="s">
        <v>556</v>
      </c>
      <c r="G41" s="21" t="s">
        <v>557</v>
      </c>
      <c r="H41" s="21" t="s">
        <v>23</v>
      </c>
      <c r="I41" s="21" t="s">
        <v>30</v>
      </c>
      <c r="J41" s="17" t="s">
        <v>558</v>
      </c>
      <c r="K41" s="17" t="s">
        <v>26</v>
      </c>
      <c r="L41" s="17" t="s">
        <v>32</v>
      </c>
      <c r="M41" s="19" t="s">
        <v>28</v>
      </c>
      <c r="N41" s="17"/>
      <c r="O41" s="22" t="s">
        <v>559</v>
      </c>
      <c r="P41" s="22"/>
      <c r="Q41" s="31">
        <f t="shared" si="0"/>
        <v>1</v>
      </c>
      <c r="R41" s="32" t="str">
        <f t="shared" si="1"/>
        <v>P01.189</v>
      </c>
    </row>
    <row r="42" spans="1:18">
      <c r="A42" s="17"/>
      <c r="B42" s="17"/>
      <c r="C42" s="18"/>
      <c r="D42" s="17">
        <f t="shared" si="2"/>
        <v>446</v>
      </c>
      <c r="E42" s="19" t="s">
        <v>29</v>
      </c>
      <c r="F42" s="20"/>
      <c r="G42" s="21" t="s">
        <v>23</v>
      </c>
      <c r="H42" s="21" t="s">
        <v>23</v>
      </c>
      <c r="I42" s="21" t="s">
        <v>30</v>
      </c>
      <c r="J42" s="17" t="s">
        <v>25</v>
      </c>
      <c r="K42" s="17" t="s">
        <v>26</v>
      </c>
      <c r="L42" s="17" t="s">
        <v>32</v>
      </c>
      <c r="M42" s="19" t="s">
        <v>28</v>
      </c>
      <c r="N42" s="17"/>
      <c r="O42" s="22"/>
      <c r="P42" s="22"/>
      <c r="Q42" s="31">
        <f t="shared" si="0"/>
        <v>1</v>
      </c>
      <c r="R42" s="32" t="str">
        <f t="shared" si="1"/>
        <v>P01.190</v>
      </c>
    </row>
    <row r="43" spans="1:18">
      <c r="A43" s="17"/>
      <c r="B43" s="17"/>
      <c r="C43" s="18"/>
      <c r="D43" s="17">
        <f t="shared" si="2"/>
        <v>447</v>
      </c>
      <c r="E43" s="19" t="s">
        <v>29</v>
      </c>
      <c r="F43" s="20"/>
      <c r="G43" s="21" t="s">
        <v>23</v>
      </c>
      <c r="H43" s="21" t="s">
        <v>23</v>
      </c>
      <c r="I43" s="21" t="s">
        <v>30</v>
      </c>
      <c r="J43" s="17" t="s">
        <v>25</v>
      </c>
      <c r="K43" s="17" t="s">
        <v>26</v>
      </c>
      <c r="L43" s="17" t="s">
        <v>32</v>
      </c>
      <c r="M43" s="19" t="s">
        <v>28</v>
      </c>
      <c r="N43" s="17"/>
      <c r="O43" s="22"/>
      <c r="P43" s="22"/>
      <c r="Q43" s="31">
        <f t="shared" si="0"/>
        <v>1</v>
      </c>
      <c r="R43" s="32" t="str">
        <f t="shared" si="1"/>
        <v>P01.191</v>
      </c>
    </row>
    <row r="44" spans="1:18">
      <c r="A44" s="17"/>
      <c r="B44" s="17"/>
      <c r="C44" s="18"/>
      <c r="D44" s="17">
        <f t="shared" si="2"/>
        <v>448</v>
      </c>
      <c r="E44" s="19" t="s">
        <v>29</v>
      </c>
      <c r="F44" s="20"/>
      <c r="G44" s="21" t="s">
        <v>23</v>
      </c>
      <c r="H44" s="21" t="s">
        <v>23</v>
      </c>
      <c r="I44" s="21" t="s">
        <v>30</v>
      </c>
      <c r="J44" s="17" t="s">
        <v>25</v>
      </c>
      <c r="K44" s="17" t="s">
        <v>26</v>
      </c>
      <c r="L44" s="17" t="s">
        <v>32</v>
      </c>
      <c r="M44" s="19" t="s">
        <v>28</v>
      </c>
      <c r="N44" s="17"/>
      <c r="O44" s="22"/>
      <c r="P44" s="22"/>
      <c r="Q44" s="31">
        <f t="shared" si="0"/>
        <v>1</v>
      </c>
      <c r="R44" s="32" t="str">
        <f t="shared" si="1"/>
        <v>P01.192</v>
      </c>
    </row>
    <row r="45" spans="1:18">
      <c r="A45" s="17"/>
      <c r="B45" s="17"/>
      <c r="C45" s="18"/>
      <c r="D45" s="17">
        <f t="shared" si="2"/>
        <v>449</v>
      </c>
      <c r="E45" s="19" t="s">
        <v>29</v>
      </c>
      <c r="F45" s="22" t="s">
        <v>560</v>
      </c>
      <c r="G45" s="21" t="s">
        <v>561</v>
      </c>
      <c r="H45" s="21" t="s">
        <v>23</v>
      </c>
      <c r="I45" s="21" t="s">
        <v>30</v>
      </c>
      <c r="J45" s="17" t="s">
        <v>25</v>
      </c>
      <c r="K45" s="17" t="s">
        <v>63</v>
      </c>
      <c r="L45" s="17" t="s">
        <v>74</v>
      </c>
      <c r="M45" s="19" t="s">
        <v>75</v>
      </c>
      <c r="N45" s="17"/>
      <c r="O45" s="22" t="s">
        <v>562</v>
      </c>
      <c r="P45" s="22"/>
      <c r="Q45" s="31">
        <f t="shared" si="0"/>
        <v>1</v>
      </c>
      <c r="R45" s="32" t="str">
        <f t="shared" si="1"/>
        <v>P01.193</v>
      </c>
    </row>
    <row r="46" spans="1:18">
      <c r="A46" s="17"/>
      <c r="B46" s="17"/>
      <c r="C46" s="18"/>
      <c r="D46" s="17">
        <f t="shared" si="2"/>
        <v>450</v>
      </c>
      <c r="E46" s="19" t="s">
        <v>29</v>
      </c>
      <c r="F46" s="22" t="s">
        <v>563</v>
      </c>
      <c r="G46" s="21" t="s">
        <v>564</v>
      </c>
      <c r="H46" s="21" t="s">
        <v>23</v>
      </c>
      <c r="I46" s="21" t="s">
        <v>30</v>
      </c>
      <c r="J46" s="17" t="s">
        <v>25</v>
      </c>
      <c r="K46" s="17" t="s">
        <v>63</v>
      </c>
      <c r="L46" s="17" t="s">
        <v>74</v>
      </c>
      <c r="M46" s="19" t="s">
        <v>75</v>
      </c>
      <c r="N46" s="17"/>
      <c r="O46" s="22" t="s">
        <v>565</v>
      </c>
      <c r="P46" s="22"/>
      <c r="Q46" s="31">
        <f t="shared" si="0"/>
        <v>1</v>
      </c>
      <c r="R46" s="32" t="str">
        <f t="shared" si="1"/>
        <v>P01.194</v>
      </c>
    </row>
    <row r="47" spans="1:18">
      <c r="A47" s="17"/>
      <c r="B47" s="17"/>
      <c r="C47" s="18"/>
      <c r="D47" s="17">
        <f t="shared" si="2"/>
        <v>451</v>
      </c>
      <c r="E47" s="19" t="s">
        <v>29</v>
      </c>
      <c r="F47" s="22" t="s">
        <v>566</v>
      </c>
      <c r="G47" s="21" t="s">
        <v>144</v>
      </c>
      <c r="H47" s="21" t="s">
        <v>23</v>
      </c>
      <c r="I47" s="21" t="s">
        <v>30</v>
      </c>
      <c r="J47" s="17" t="s">
        <v>25</v>
      </c>
      <c r="K47" s="17" t="s">
        <v>63</v>
      </c>
      <c r="L47" s="17" t="s">
        <v>74</v>
      </c>
      <c r="M47" s="19" t="s">
        <v>75</v>
      </c>
      <c r="N47" s="17"/>
      <c r="O47" s="22" t="s">
        <v>567</v>
      </c>
      <c r="P47" s="22"/>
      <c r="Q47" s="31">
        <f t="shared" si="0"/>
        <v>1</v>
      </c>
      <c r="R47" s="32" t="str">
        <f t="shared" si="1"/>
        <v>P01.195</v>
      </c>
    </row>
    <row r="48" spans="1:18">
      <c r="A48" s="17"/>
      <c r="B48" s="17"/>
      <c r="C48" s="18"/>
      <c r="D48" s="17">
        <f t="shared" si="2"/>
        <v>452</v>
      </c>
      <c r="E48" s="19" t="s">
        <v>29</v>
      </c>
      <c r="F48" s="22" t="s">
        <v>568</v>
      </c>
      <c r="G48" s="21" t="s">
        <v>557</v>
      </c>
      <c r="H48" s="21" t="s">
        <v>23</v>
      </c>
      <c r="I48" s="21" t="s">
        <v>30</v>
      </c>
      <c r="J48" s="17" t="s">
        <v>25</v>
      </c>
      <c r="K48" s="17" t="s">
        <v>63</v>
      </c>
      <c r="L48" s="17" t="s">
        <v>74</v>
      </c>
      <c r="M48" s="19" t="s">
        <v>75</v>
      </c>
      <c r="N48" s="17"/>
      <c r="O48" s="22" t="s">
        <v>569</v>
      </c>
      <c r="P48" s="22"/>
      <c r="Q48" s="31">
        <f t="shared" si="0"/>
        <v>1</v>
      </c>
      <c r="R48" s="32" t="str">
        <f t="shared" si="1"/>
        <v>P01.196</v>
      </c>
    </row>
    <row r="49" spans="1:18">
      <c r="A49" s="17"/>
      <c r="B49" s="17"/>
      <c r="C49" s="18"/>
      <c r="D49" s="17">
        <f t="shared" si="2"/>
        <v>453</v>
      </c>
      <c r="E49" s="19" t="s">
        <v>29</v>
      </c>
      <c r="F49" s="22" t="s">
        <v>570</v>
      </c>
      <c r="G49" s="21" t="s">
        <v>571</v>
      </c>
      <c r="H49" s="21" t="s">
        <v>23</v>
      </c>
      <c r="I49" s="21" t="s">
        <v>30</v>
      </c>
      <c r="J49" s="17" t="s">
        <v>25</v>
      </c>
      <c r="K49" s="17" t="s">
        <v>63</v>
      </c>
      <c r="L49" s="17" t="s">
        <v>74</v>
      </c>
      <c r="M49" s="19" t="s">
        <v>75</v>
      </c>
      <c r="N49" s="17"/>
      <c r="O49" s="22" t="s">
        <v>572</v>
      </c>
      <c r="P49" s="22"/>
      <c r="Q49" s="31">
        <f t="shared" si="0"/>
        <v>1</v>
      </c>
      <c r="R49" s="32" t="str">
        <f t="shared" si="1"/>
        <v>P01.197</v>
      </c>
    </row>
    <row r="50" spans="1:18">
      <c r="A50" s="17"/>
      <c r="B50" s="17"/>
      <c r="C50" s="18"/>
      <c r="D50" s="17">
        <f t="shared" si="2"/>
        <v>454</v>
      </c>
      <c r="E50" s="19" t="s">
        <v>29</v>
      </c>
      <c r="F50" s="22" t="s">
        <v>573</v>
      </c>
      <c r="G50" s="21" t="s">
        <v>252</v>
      </c>
      <c r="H50" s="21" t="s">
        <v>23</v>
      </c>
      <c r="I50" s="21" t="s">
        <v>30</v>
      </c>
      <c r="J50" s="17" t="s">
        <v>25</v>
      </c>
      <c r="K50" s="17" t="s">
        <v>63</v>
      </c>
      <c r="L50" s="17" t="s">
        <v>74</v>
      </c>
      <c r="M50" s="19" t="s">
        <v>75</v>
      </c>
      <c r="N50" s="17"/>
      <c r="O50" s="22" t="s">
        <v>574</v>
      </c>
      <c r="P50" s="22"/>
      <c r="Q50" s="31">
        <f t="shared" si="0"/>
        <v>1</v>
      </c>
      <c r="R50" s="32" t="str">
        <f t="shared" si="1"/>
        <v>P01.198</v>
      </c>
    </row>
    <row r="51" spans="1:18">
      <c r="A51" s="17"/>
      <c r="B51" s="17"/>
      <c r="C51" s="18"/>
      <c r="D51" s="17">
        <f t="shared" si="2"/>
        <v>455</v>
      </c>
      <c r="E51" s="19" t="s">
        <v>29</v>
      </c>
      <c r="F51" s="22" t="s">
        <v>575</v>
      </c>
      <c r="G51" s="21" t="s">
        <v>571</v>
      </c>
      <c r="H51" s="21" t="s">
        <v>23</v>
      </c>
      <c r="I51" s="21" t="s">
        <v>30</v>
      </c>
      <c r="J51" s="17" t="s">
        <v>25</v>
      </c>
      <c r="K51" s="17" t="s">
        <v>63</v>
      </c>
      <c r="L51" s="17" t="s">
        <v>74</v>
      </c>
      <c r="M51" s="19" t="s">
        <v>75</v>
      </c>
      <c r="N51" s="22"/>
      <c r="O51" s="22" t="s">
        <v>576</v>
      </c>
      <c r="P51" s="22"/>
      <c r="Q51" s="31">
        <f t="shared" si="0"/>
        <v>1</v>
      </c>
      <c r="R51" s="32" t="str">
        <f t="shared" si="1"/>
        <v>P01.199</v>
      </c>
    </row>
    <row r="52" spans="1:18">
      <c r="A52" s="17"/>
      <c r="B52" s="17"/>
      <c r="C52" s="18"/>
      <c r="D52" s="17">
        <f t="shared" si="2"/>
        <v>456</v>
      </c>
      <c r="E52" s="19" t="s">
        <v>29</v>
      </c>
      <c r="F52" s="22" t="s">
        <v>577</v>
      </c>
      <c r="G52" s="21" t="s">
        <v>252</v>
      </c>
      <c r="H52" s="21" t="s">
        <v>23</v>
      </c>
      <c r="I52" s="21" t="s">
        <v>30</v>
      </c>
      <c r="J52" s="17" t="s">
        <v>25</v>
      </c>
      <c r="K52" s="17" t="s">
        <v>63</v>
      </c>
      <c r="L52" s="17" t="s">
        <v>74</v>
      </c>
      <c r="M52" s="19" t="s">
        <v>75</v>
      </c>
      <c r="N52" s="22"/>
      <c r="O52" s="22" t="s">
        <v>578</v>
      </c>
      <c r="P52" s="22"/>
      <c r="Q52" s="31">
        <f t="shared" si="0"/>
        <v>1</v>
      </c>
      <c r="R52" s="32" t="str">
        <f t="shared" si="1"/>
        <v>P01.200</v>
      </c>
    </row>
    <row r="53" spans="1:18">
      <c r="A53" s="17"/>
      <c r="B53" s="17"/>
      <c r="C53" s="18"/>
      <c r="D53" s="17">
        <f t="shared" si="2"/>
        <v>457</v>
      </c>
      <c r="E53" s="19" t="s">
        <v>29</v>
      </c>
      <c r="F53" s="20"/>
      <c r="G53" s="21" t="s">
        <v>23</v>
      </c>
      <c r="H53" s="21" t="s">
        <v>23</v>
      </c>
      <c r="I53" s="21" t="s">
        <v>30</v>
      </c>
      <c r="J53" s="17" t="s">
        <v>25</v>
      </c>
      <c r="K53" s="17" t="s">
        <v>26</v>
      </c>
      <c r="L53" s="17" t="s">
        <v>32</v>
      </c>
      <c r="M53" s="19" t="s">
        <v>28</v>
      </c>
      <c r="N53" s="22"/>
      <c r="O53" s="22"/>
      <c r="P53" s="22"/>
      <c r="Q53" s="31">
        <f t="shared" si="0"/>
        <v>1</v>
      </c>
      <c r="R53" s="32" t="str">
        <f t="shared" si="1"/>
        <v>P01.201</v>
      </c>
    </row>
    <row r="54" spans="1:18">
      <c r="A54" s="17"/>
      <c r="B54" s="17"/>
      <c r="C54" s="18"/>
      <c r="D54" s="17">
        <f t="shared" si="2"/>
        <v>458</v>
      </c>
      <c r="E54" s="19" t="s">
        <v>29</v>
      </c>
      <c r="F54" s="20" t="s">
        <v>579</v>
      </c>
      <c r="G54" s="21" t="s">
        <v>23</v>
      </c>
      <c r="H54" s="21" t="s">
        <v>23</v>
      </c>
      <c r="I54" s="21" t="s">
        <v>30</v>
      </c>
      <c r="J54" s="17" t="s">
        <v>498</v>
      </c>
      <c r="K54" s="17" t="s">
        <v>63</v>
      </c>
      <c r="L54" s="17" t="s">
        <v>27</v>
      </c>
      <c r="M54" s="19" t="s">
        <v>28</v>
      </c>
      <c r="N54" s="17"/>
      <c r="O54" s="22" t="s">
        <v>580</v>
      </c>
      <c r="P54" s="22"/>
      <c r="Q54" s="31">
        <f t="shared" si="0"/>
        <v>1</v>
      </c>
      <c r="R54" s="32" t="str">
        <f t="shared" si="1"/>
        <v>P01.202</v>
      </c>
    </row>
    <row r="55" spans="1:18">
      <c r="A55" s="17"/>
      <c r="B55" s="17"/>
      <c r="C55" s="18"/>
      <c r="D55" s="17">
        <f t="shared" si="2"/>
        <v>459</v>
      </c>
      <c r="E55" s="19" t="s">
        <v>29</v>
      </c>
      <c r="F55" s="20" t="s">
        <v>581</v>
      </c>
      <c r="G55" s="21" t="s">
        <v>252</v>
      </c>
      <c r="H55" s="21" t="s">
        <v>23</v>
      </c>
      <c r="I55" s="21" t="s">
        <v>30</v>
      </c>
      <c r="J55" s="17" t="s">
        <v>498</v>
      </c>
      <c r="K55" s="17" t="s">
        <v>63</v>
      </c>
      <c r="L55" s="17" t="s">
        <v>27</v>
      </c>
      <c r="M55" s="19" t="s">
        <v>28</v>
      </c>
      <c r="N55" s="17"/>
      <c r="O55" s="22" t="s">
        <v>582</v>
      </c>
      <c r="P55" s="22"/>
      <c r="Q55" s="31">
        <f t="shared" si="0"/>
        <v>1</v>
      </c>
      <c r="R55" s="32" t="str">
        <f t="shared" si="1"/>
        <v>P01.203</v>
      </c>
    </row>
    <row r="56" spans="1:18">
      <c r="A56" s="17"/>
      <c r="B56" s="17"/>
      <c r="C56" s="18"/>
      <c r="D56" s="17">
        <f t="shared" si="2"/>
        <v>460</v>
      </c>
      <c r="E56" s="19" t="s">
        <v>29</v>
      </c>
      <c r="F56" s="20" t="s">
        <v>583</v>
      </c>
      <c r="G56" s="21" t="s">
        <v>199</v>
      </c>
      <c r="H56" s="21" t="s">
        <v>23</v>
      </c>
      <c r="I56" s="21" t="s">
        <v>30</v>
      </c>
      <c r="J56" s="17" t="s">
        <v>498</v>
      </c>
      <c r="K56" s="17" t="s">
        <v>63</v>
      </c>
      <c r="L56" s="17" t="s">
        <v>27</v>
      </c>
      <c r="M56" s="19" t="s">
        <v>28</v>
      </c>
      <c r="N56" s="17"/>
      <c r="O56" s="22" t="s">
        <v>584</v>
      </c>
      <c r="P56" s="22"/>
      <c r="Q56" s="31">
        <f t="shared" si="0"/>
        <v>1</v>
      </c>
      <c r="R56" s="32" t="str">
        <f t="shared" si="1"/>
        <v>P01.204</v>
      </c>
    </row>
    <row r="57" spans="1:18">
      <c r="A57" s="17"/>
      <c r="B57" s="17"/>
      <c r="C57" s="18"/>
      <c r="D57" s="17">
        <f t="shared" si="2"/>
        <v>461</v>
      </c>
      <c r="E57" s="19" t="s">
        <v>29</v>
      </c>
      <c r="F57" s="20" t="s">
        <v>585</v>
      </c>
      <c r="G57" s="21" t="s">
        <v>199</v>
      </c>
      <c r="H57" s="21" t="s">
        <v>23</v>
      </c>
      <c r="I57" s="21" t="s">
        <v>30</v>
      </c>
      <c r="J57" s="17" t="s">
        <v>498</v>
      </c>
      <c r="K57" s="17" t="s">
        <v>63</v>
      </c>
      <c r="L57" s="17" t="s">
        <v>27</v>
      </c>
      <c r="M57" s="19" t="s">
        <v>28</v>
      </c>
      <c r="N57" s="17"/>
      <c r="O57" s="22" t="s">
        <v>586</v>
      </c>
      <c r="P57" s="22"/>
      <c r="Q57" s="31">
        <f t="shared" si="0"/>
        <v>1</v>
      </c>
      <c r="R57" s="32" t="str">
        <f t="shared" si="1"/>
        <v>P01.205</v>
      </c>
    </row>
    <row r="58" spans="1:18">
      <c r="A58" s="17"/>
      <c r="B58" s="17"/>
      <c r="C58" s="18"/>
      <c r="D58" s="17">
        <f t="shared" si="2"/>
        <v>462</v>
      </c>
      <c r="E58" s="19" t="s">
        <v>29</v>
      </c>
      <c r="F58" s="20" t="s">
        <v>587</v>
      </c>
      <c r="G58" s="21" t="s">
        <v>199</v>
      </c>
      <c r="H58" s="21" t="s">
        <v>23</v>
      </c>
      <c r="I58" s="21" t="s">
        <v>30</v>
      </c>
      <c r="J58" s="17" t="s">
        <v>498</v>
      </c>
      <c r="K58" s="17" t="s">
        <v>63</v>
      </c>
      <c r="L58" s="17" t="s">
        <v>27</v>
      </c>
      <c r="M58" s="19" t="s">
        <v>28</v>
      </c>
      <c r="N58" s="17"/>
      <c r="O58" s="22" t="s">
        <v>588</v>
      </c>
      <c r="P58" s="22"/>
      <c r="Q58" s="31">
        <f t="shared" si="0"/>
        <v>1</v>
      </c>
      <c r="R58" s="32" t="str">
        <f t="shared" si="1"/>
        <v>P01.206</v>
      </c>
    </row>
    <row r="59" spans="1:18">
      <c r="A59" s="17"/>
      <c r="B59" s="17"/>
      <c r="C59" s="18"/>
      <c r="D59" s="17">
        <f t="shared" si="2"/>
        <v>463</v>
      </c>
      <c r="E59" s="19" t="s">
        <v>29</v>
      </c>
      <c r="F59" s="20" t="s">
        <v>589</v>
      </c>
      <c r="G59" s="21" t="s">
        <v>199</v>
      </c>
      <c r="H59" s="21" t="s">
        <v>23</v>
      </c>
      <c r="I59" s="21" t="s">
        <v>30</v>
      </c>
      <c r="J59" s="17" t="s">
        <v>498</v>
      </c>
      <c r="K59" s="17" t="s">
        <v>63</v>
      </c>
      <c r="L59" s="17" t="s">
        <v>27</v>
      </c>
      <c r="M59" s="19" t="s">
        <v>28</v>
      </c>
      <c r="N59" s="17"/>
      <c r="O59" s="22" t="s">
        <v>590</v>
      </c>
      <c r="P59" s="22"/>
      <c r="Q59" s="31">
        <f t="shared" si="0"/>
        <v>1</v>
      </c>
      <c r="R59" s="32" t="str">
        <f t="shared" si="1"/>
        <v>P01.207</v>
      </c>
    </row>
    <row r="60" spans="1:18">
      <c r="A60" s="17"/>
      <c r="B60" s="17"/>
      <c r="C60" s="18"/>
      <c r="D60" s="17">
        <f t="shared" si="2"/>
        <v>464</v>
      </c>
      <c r="E60" s="19" t="s">
        <v>29</v>
      </c>
      <c r="F60" s="20"/>
      <c r="G60" s="21" t="s">
        <v>23</v>
      </c>
      <c r="H60" s="21" t="s">
        <v>23</v>
      </c>
      <c r="I60" s="21" t="s">
        <v>30</v>
      </c>
      <c r="J60" s="17" t="s">
        <v>25</v>
      </c>
      <c r="K60" s="17" t="s">
        <v>26</v>
      </c>
      <c r="L60" s="17" t="s">
        <v>32</v>
      </c>
      <c r="M60" s="19" t="s">
        <v>28</v>
      </c>
      <c r="N60" s="22"/>
      <c r="O60" s="22"/>
      <c r="P60" s="22"/>
      <c r="Q60" s="31">
        <f t="shared" si="0"/>
        <v>1</v>
      </c>
      <c r="R60" s="32" t="str">
        <f t="shared" si="1"/>
        <v>P01.208</v>
      </c>
    </row>
    <row r="61" spans="1:18">
      <c r="A61" s="17"/>
      <c r="B61" s="17"/>
      <c r="C61" s="18"/>
      <c r="D61" s="17">
        <f t="shared" si="2"/>
        <v>465</v>
      </c>
      <c r="E61" s="19" t="s">
        <v>29</v>
      </c>
      <c r="F61" s="20" t="s">
        <v>591</v>
      </c>
      <c r="G61" s="21" t="s">
        <v>23</v>
      </c>
      <c r="H61" s="21" t="s">
        <v>23</v>
      </c>
      <c r="I61" s="21" t="s">
        <v>592</v>
      </c>
      <c r="J61" s="17" t="s">
        <v>25</v>
      </c>
      <c r="K61" s="17" t="s">
        <v>63</v>
      </c>
      <c r="L61" s="17" t="s">
        <v>27</v>
      </c>
      <c r="M61" s="19" t="s">
        <v>75</v>
      </c>
      <c r="N61" s="17"/>
      <c r="O61" s="22" t="s">
        <v>593</v>
      </c>
      <c r="P61" s="22"/>
      <c r="Q61" s="31">
        <f t="shared" si="0"/>
        <v>1</v>
      </c>
      <c r="R61" s="32" t="str">
        <f t="shared" si="1"/>
        <v>P01.209</v>
      </c>
    </row>
    <row r="62" spans="1:18">
      <c r="A62" s="17"/>
      <c r="B62" s="17"/>
      <c r="C62" s="18"/>
      <c r="D62" s="17">
        <f t="shared" si="2"/>
        <v>466</v>
      </c>
      <c r="E62" s="19" t="s">
        <v>29</v>
      </c>
      <c r="F62" s="20" t="s">
        <v>594</v>
      </c>
      <c r="G62" s="21" t="s">
        <v>595</v>
      </c>
      <c r="H62" s="21" t="s">
        <v>172</v>
      </c>
      <c r="I62" s="21" t="s">
        <v>30</v>
      </c>
      <c r="J62" s="17" t="s">
        <v>25</v>
      </c>
      <c r="K62" s="17" t="s">
        <v>63</v>
      </c>
      <c r="L62" s="17" t="s">
        <v>27</v>
      </c>
      <c r="M62" s="19" t="s">
        <v>75</v>
      </c>
      <c r="N62" s="17"/>
      <c r="O62" s="22" t="s">
        <v>596</v>
      </c>
      <c r="P62" s="22" t="s">
        <v>597</v>
      </c>
      <c r="Q62" s="31">
        <f t="shared" si="0"/>
        <v>1</v>
      </c>
      <c r="R62" s="32" t="str">
        <f t="shared" si="1"/>
        <v>P01.210</v>
      </c>
    </row>
    <row r="63" spans="1:18">
      <c r="A63" s="17"/>
      <c r="B63" s="17"/>
      <c r="C63" s="18"/>
      <c r="D63" s="17">
        <f t="shared" si="2"/>
        <v>467</v>
      </c>
      <c r="E63" s="19" t="s">
        <v>29</v>
      </c>
      <c r="F63" s="20" t="s">
        <v>598</v>
      </c>
      <c r="G63" s="21" t="s">
        <v>89</v>
      </c>
      <c r="H63" s="21" t="s">
        <v>40</v>
      </c>
      <c r="I63" s="21" t="s">
        <v>599</v>
      </c>
      <c r="J63" s="17" t="s">
        <v>90</v>
      </c>
      <c r="K63" s="17" t="s">
        <v>63</v>
      </c>
      <c r="L63" s="17" t="s">
        <v>27</v>
      </c>
      <c r="M63" s="19" t="s">
        <v>28</v>
      </c>
      <c r="N63" s="17"/>
      <c r="O63" s="22" t="s">
        <v>600</v>
      </c>
      <c r="P63" s="22"/>
      <c r="Q63" s="31">
        <f t="shared" si="0"/>
        <v>1</v>
      </c>
      <c r="R63" s="32" t="str">
        <f t="shared" si="1"/>
        <v>P01.211</v>
      </c>
    </row>
    <row r="64" spans="1:18">
      <c r="A64" s="17"/>
      <c r="B64" s="17"/>
      <c r="C64" s="18"/>
      <c r="D64" s="17">
        <f t="shared" si="2"/>
        <v>468</v>
      </c>
      <c r="E64" s="19" t="s">
        <v>92</v>
      </c>
      <c r="F64" s="20" t="s">
        <v>601</v>
      </c>
      <c r="G64" s="21" t="s">
        <v>23</v>
      </c>
      <c r="H64" s="21" t="s">
        <v>94</v>
      </c>
      <c r="I64" s="21" t="s">
        <v>95</v>
      </c>
      <c r="J64" s="17" t="s">
        <v>420</v>
      </c>
      <c r="K64" s="17" t="s">
        <v>63</v>
      </c>
      <c r="L64" s="17" t="s">
        <v>27</v>
      </c>
      <c r="M64" s="19" t="s">
        <v>28</v>
      </c>
      <c r="N64" s="17"/>
      <c r="O64" s="22" t="s">
        <v>602</v>
      </c>
      <c r="P64" s="22"/>
      <c r="Q64" s="31">
        <f t="shared" si="0"/>
        <v>1</v>
      </c>
      <c r="R64" s="32" t="str">
        <f t="shared" si="1"/>
        <v>P01.212</v>
      </c>
    </row>
    <row r="65" spans="1:18">
      <c r="A65" s="17"/>
      <c r="B65" s="17"/>
      <c r="C65" s="18"/>
      <c r="D65" s="17">
        <f t="shared" si="2"/>
        <v>469</v>
      </c>
      <c r="E65" s="19" t="s">
        <v>92</v>
      </c>
      <c r="F65" s="20" t="s">
        <v>603</v>
      </c>
      <c r="G65" s="21" t="s">
        <v>23</v>
      </c>
      <c r="H65" s="21" t="s">
        <v>94</v>
      </c>
      <c r="I65" s="21" t="s">
        <v>95</v>
      </c>
      <c r="J65" s="17" t="s">
        <v>420</v>
      </c>
      <c r="K65" s="17" t="s">
        <v>63</v>
      </c>
      <c r="L65" s="17" t="s">
        <v>27</v>
      </c>
      <c r="M65" s="19" t="s">
        <v>28</v>
      </c>
      <c r="N65" s="17"/>
      <c r="O65" s="22" t="s">
        <v>604</v>
      </c>
      <c r="P65" s="22"/>
      <c r="Q65" s="31">
        <f t="shared" si="0"/>
        <v>1</v>
      </c>
      <c r="R65" s="32" t="str">
        <f t="shared" si="1"/>
        <v>P01.213</v>
      </c>
    </row>
    <row r="66" spans="1:18">
      <c r="A66" s="17"/>
      <c r="B66" s="17"/>
      <c r="C66" s="18"/>
      <c r="D66" s="17">
        <f t="shared" si="2"/>
        <v>470</v>
      </c>
      <c r="E66" s="19" t="s">
        <v>92</v>
      </c>
      <c r="F66" s="20" t="s">
        <v>605</v>
      </c>
      <c r="G66" s="21" t="s">
        <v>23</v>
      </c>
      <c r="H66" s="21" t="s">
        <v>94</v>
      </c>
      <c r="I66" s="21" t="s">
        <v>95</v>
      </c>
      <c r="J66" s="17" t="s">
        <v>420</v>
      </c>
      <c r="K66" s="17" t="s">
        <v>63</v>
      </c>
      <c r="L66" s="17" t="s">
        <v>27</v>
      </c>
      <c r="M66" s="19" t="s">
        <v>28</v>
      </c>
      <c r="N66" s="17"/>
      <c r="O66" s="22" t="s">
        <v>606</v>
      </c>
      <c r="P66" s="22"/>
      <c r="Q66" s="31">
        <f t="shared" si="0"/>
        <v>1</v>
      </c>
      <c r="R66" s="32" t="str">
        <f t="shared" si="1"/>
        <v>P01.214</v>
      </c>
    </row>
    <row r="67" spans="1:18">
      <c r="A67" s="17"/>
      <c r="B67" s="17"/>
      <c r="C67" s="18"/>
      <c r="D67" s="17">
        <f t="shared" si="2"/>
        <v>471</v>
      </c>
      <c r="E67" s="19" t="s">
        <v>29</v>
      </c>
      <c r="F67" s="20"/>
      <c r="G67" s="21" t="s">
        <v>23</v>
      </c>
      <c r="H67" s="21" t="s">
        <v>23</v>
      </c>
      <c r="I67" s="21" t="s">
        <v>30</v>
      </c>
      <c r="J67" s="17" t="s">
        <v>25</v>
      </c>
      <c r="K67" s="17" t="s">
        <v>26</v>
      </c>
      <c r="L67" s="17" t="s">
        <v>32</v>
      </c>
      <c r="M67" s="19" t="s">
        <v>28</v>
      </c>
      <c r="N67" s="22"/>
      <c r="O67" s="22"/>
      <c r="P67" s="22"/>
      <c r="Q67" s="31">
        <f t="shared" si="0"/>
        <v>1</v>
      </c>
      <c r="R67" s="32" t="str">
        <f t="shared" si="1"/>
        <v>P01.215</v>
      </c>
    </row>
    <row r="68" spans="1:18">
      <c r="A68" s="17"/>
      <c r="B68" s="17"/>
      <c r="C68" s="18"/>
      <c r="D68" s="17">
        <f t="shared" si="2"/>
        <v>472</v>
      </c>
      <c r="E68" s="19" t="s">
        <v>29</v>
      </c>
      <c r="F68" s="20" t="s">
        <v>607</v>
      </c>
      <c r="G68" s="21" t="s">
        <v>183</v>
      </c>
      <c r="H68" s="21" t="s">
        <v>23</v>
      </c>
      <c r="I68" s="21" t="s">
        <v>89</v>
      </c>
      <c r="J68" s="17" t="s">
        <v>254</v>
      </c>
      <c r="K68" s="17" t="s">
        <v>63</v>
      </c>
      <c r="L68" s="17" t="s">
        <v>27</v>
      </c>
      <c r="M68" s="19" t="s">
        <v>28</v>
      </c>
      <c r="N68" s="22"/>
      <c r="O68" s="22" t="s">
        <v>608</v>
      </c>
      <c r="P68" s="22"/>
      <c r="Q68" s="31">
        <f t="shared" si="0"/>
        <v>1</v>
      </c>
      <c r="R68" s="32" t="str">
        <f t="shared" si="1"/>
        <v>P01.216</v>
      </c>
    </row>
    <row r="69" spans="1:18">
      <c r="A69" s="17"/>
      <c r="B69" s="17"/>
      <c r="C69" s="18"/>
      <c r="D69" s="17">
        <f t="shared" si="2"/>
        <v>473</v>
      </c>
      <c r="E69" s="19" t="s">
        <v>29</v>
      </c>
      <c r="F69" s="20"/>
      <c r="G69" s="21" t="s">
        <v>23</v>
      </c>
      <c r="H69" s="21" t="s">
        <v>23</v>
      </c>
      <c r="I69" s="21" t="s">
        <v>30</v>
      </c>
      <c r="J69" s="17" t="s">
        <v>25</v>
      </c>
      <c r="K69" s="17" t="s">
        <v>26</v>
      </c>
      <c r="L69" s="17" t="s">
        <v>32</v>
      </c>
      <c r="M69" s="19" t="s">
        <v>28</v>
      </c>
      <c r="N69" s="22"/>
      <c r="O69" s="22"/>
      <c r="P69" s="22"/>
      <c r="Q69" s="31">
        <f t="shared" si="0"/>
        <v>1</v>
      </c>
      <c r="R69" s="32" t="str">
        <f t="shared" si="1"/>
        <v>P01.217</v>
      </c>
    </row>
    <row r="70" spans="1:18">
      <c r="A70" s="17"/>
      <c r="B70" s="17"/>
      <c r="C70" s="18"/>
      <c r="D70" s="17">
        <f t="shared" si="2"/>
        <v>474</v>
      </c>
      <c r="E70" s="19" t="s">
        <v>29</v>
      </c>
      <c r="F70" s="20" t="s">
        <v>609</v>
      </c>
      <c r="G70" s="21" t="s">
        <v>144</v>
      </c>
      <c r="H70" s="21" t="s">
        <v>23</v>
      </c>
      <c r="I70" s="21" t="s">
        <v>30</v>
      </c>
      <c r="J70" s="17" t="s">
        <v>25</v>
      </c>
      <c r="K70" s="17" t="s">
        <v>63</v>
      </c>
      <c r="L70" s="17" t="s">
        <v>27</v>
      </c>
      <c r="M70" s="19" t="s">
        <v>75</v>
      </c>
      <c r="N70" s="17"/>
      <c r="O70" s="20" t="s">
        <v>610</v>
      </c>
      <c r="P70" s="22"/>
      <c r="Q70" s="31">
        <f t="shared" ref="Q70:Q133" si="3">IF(OR(F70="",LEFT(TRIM(F70),3)=E70),1,0)</f>
        <v>1</v>
      </c>
      <c r="R70" s="32" t="str">
        <f t="shared" ref="R70:R133" si="4">"P"&amp;TEXT(INT(D70/256),"00")&amp;"."&amp;TEXT(MOD(D70,256),"000")</f>
        <v>P01.218</v>
      </c>
    </row>
    <row r="71" spans="1:18">
      <c r="A71" s="17"/>
      <c r="B71" s="17"/>
      <c r="C71" s="18"/>
      <c r="D71" s="17">
        <f t="shared" si="2"/>
        <v>475</v>
      </c>
      <c r="E71" s="19" t="s">
        <v>29</v>
      </c>
      <c r="F71" s="20"/>
      <c r="G71" s="21" t="s">
        <v>23</v>
      </c>
      <c r="H71" s="21" t="s">
        <v>23</v>
      </c>
      <c r="I71" s="21" t="s">
        <v>30</v>
      </c>
      <c r="J71" s="17" t="s">
        <v>25</v>
      </c>
      <c r="K71" s="17" t="s">
        <v>26</v>
      </c>
      <c r="L71" s="17" t="s">
        <v>32</v>
      </c>
      <c r="M71" s="19" t="s">
        <v>28</v>
      </c>
      <c r="N71" s="22"/>
      <c r="O71" s="22"/>
      <c r="P71" s="22"/>
      <c r="Q71" s="31">
        <f t="shared" si="3"/>
        <v>1</v>
      </c>
      <c r="R71" s="32" t="str">
        <f t="shared" si="4"/>
        <v>P01.219</v>
      </c>
    </row>
    <row r="72" spans="1:18">
      <c r="A72" s="17"/>
      <c r="B72" s="17"/>
      <c r="C72" s="18"/>
      <c r="D72" s="17">
        <f t="shared" si="2"/>
        <v>476</v>
      </c>
      <c r="E72" s="19" t="s">
        <v>29</v>
      </c>
      <c r="F72" s="20"/>
      <c r="G72" s="21" t="s">
        <v>23</v>
      </c>
      <c r="H72" s="21" t="s">
        <v>23</v>
      </c>
      <c r="I72" s="21" t="s">
        <v>30</v>
      </c>
      <c r="J72" s="17" t="s">
        <v>25</v>
      </c>
      <c r="K72" s="17" t="s">
        <v>26</v>
      </c>
      <c r="L72" s="17" t="s">
        <v>32</v>
      </c>
      <c r="M72" s="19" t="s">
        <v>28</v>
      </c>
      <c r="N72" s="22"/>
      <c r="O72" s="22"/>
      <c r="P72" s="22"/>
      <c r="Q72" s="31">
        <f t="shared" si="3"/>
        <v>1</v>
      </c>
      <c r="R72" s="32" t="str">
        <f t="shared" si="4"/>
        <v>P01.220</v>
      </c>
    </row>
    <row r="73" spans="1:18">
      <c r="A73" s="17"/>
      <c r="B73" s="17"/>
      <c r="C73" s="18"/>
      <c r="D73" s="17">
        <f>INDEX(D:D,ROW()-1)+_xlfn.IFS(INDEX(E:E,ROW()-1)="u16",1,INDEX(E:E,ROW()-1)="s16",1,INDEX(E:E,ROW()-1)="s32",2,INDEX(E:E,ROW()-1)="s64",4,INDEX(E:E,ROW()-1)="u16",1,INDEX(E:E,ROW()-1)="u32",2,INDEX(E:E,ROW()-1)="u64",4,INDEX(E:E,ROW()-1)="f32",2,INDEX(E:E,ROW()-1)="f64",4)</f>
        <v>477</v>
      </c>
      <c r="E73" s="19" t="s">
        <v>29</v>
      </c>
      <c r="F73" s="20" t="s">
        <v>611</v>
      </c>
      <c r="G73" s="21" t="s">
        <v>599</v>
      </c>
      <c r="H73" s="21" t="s">
        <v>23</v>
      </c>
      <c r="I73" s="21" t="s">
        <v>30</v>
      </c>
      <c r="J73" s="17" t="s">
        <v>420</v>
      </c>
      <c r="K73" s="17" t="s">
        <v>63</v>
      </c>
      <c r="L73" s="17" t="s">
        <v>27</v>
      </c>
      <c r="M73" s="19" t="s">
        <v>75</v>
      </c>
      <c r="N73" s="22"/>
      <c r="O73" s="22" t="s">
        <v>612</v>
      </c>
      <c r="P73" s="22" t="s">
        <v>613</v>
      </c>
      <c r="Q73" s="31">
        <f t="shared" si="3"/>
        <v>1</v>
      </c>
      <c r="R73" s="32" t="str">
        <f t="shared" si="4"/>
        <v>P01.221</v>
      </c>
    </row>
    <row r="74" spans="1:18">
      <c r="A74" s="17"/>
      <c r="B74" s="17"/>
      <c r="C74" s="18"/>
      <c r="D74" s="17">
        <f>INDEX(D:D,ROW()-1)+_xlfn.IFS(INDEX(E:E,ROW()-1)="u16",1,INDEX(E:E,ROW()-1)="s16",1,INDEX(E:E,ROW()-1)="s32",2,INDEX(E:E,ROW()-1)="s64",4,INDEX(E:E,ROW()-1)="u16",1,INDEX(E:E,ROW()-1)="u32",2,INDEX(E:E,ROW()-1)="u64",4,INDEX(E:E,ROW()-1)="f32",2,INDEX(E:E,ROW()-1)="f64",4)</f>
        <v>478</v>
      </c>
      <c r="E74" s="19" t="s">
        <v>29</v>
      </c>
      <c r="F74" s="20" t="s">
        <v>614</v>
      </c>
      <c r="G74" s="21" t="s">
        <v>23</v>
      </c>
      <c r="H74" s="21" t="s">
        <v>23</v>
      </c>
      <c r="I74" s="21" t="s">
        <v>30</v>
      </c>
      <c r="J74" s="17" t="s">
        <v>517</v>
      </c>
      <c r="K74" s="17" t="s">
        <v>63</v>
      </c>
      <c r="L74" s="17" t="s">
        <v>27</v>
      </c>
      <c r="M74" s="19" t="s">
        <v>75</v>
      </c>
      <c r="N74" s="22"/>
      <c r="O74" s="22" t="s">
        <v>615</v>
      </c>
      <c r="P74" s="22" t="s">
        <v>616</v>
      </c>
      <c r="Q74" s="31">
        <f t="shared" si="3"/>
        <v>1</v>
      </c>
      <c r="R74" s="32" t="str">
        <f t="shared" si="4"/>
        <v>P01.222</v>
      </c>
    </row>
    <row r="75" spans="1:18">
      <c r="A75" s="17"/>
      <c r="B75" s="17"/>
      <c r="C75" s="18"/>
      <c r="D75" s="17">
        <f>INDEX(D:D,ROW()-1)+_xlfn.IFS(INDEX(E:E,ROW()-1)="u16",1,INDEX(E:E,ROW()-1)="s16",1,INDEX(E:E,ROW()-1)="s32",2,INDEX(E:E,ROW()-1)="s64",4,INDEX(E:E,ROW()-1)="u16",1,INDEX(E:E,ROW()-1)="u32",2,INDEX(E:E,ROW()-1)="u64",4,INDEX(E:E,ROW()-1)="f32",2,INDEX(E:E,ROW()-1)="f64",4)</f>
        <v>479</v>
      </c>
      <c r="E75" s="19" t="s">
        <v>29</v>
      </c>
      <c r="F75" s="20" t="s">
        <v>617</v>
      </c>
      <c r="G75" s="21" t="s">
        <v>618</v>
      </c>
      <c r="H75" s="21" t="s">
        <v>23</v>
      </c>
      <c r="I75" s="21" t="s">
        <v>619</v>
      </c>
      <c r="J75" s="17" t="s">
        <v>413</v>
      </c>
      <c r="K75" s="17" t="s">
        <v>63</v>
      </c>
      <c r="L75" s="17" t="s">
        <v>27</v>
      </c>
      <c r="M75" s="19" t="s">
        <v>75</v>
      </c>
      <c r="N75" s="17"/>
      <c r="O75" s="22" t="s">
        <v>620</v>
      </c>
      <c r="P75" s="22"/>
      <c r="Q75" s="31">
        <f t="shared" si="3"/>
        <v>1</v>
      </c>
      <c r="R75" s="32" t="str">
        <f t="shared" si="4"/>
        <v>P01.223</v>
      </c>
    </row>
    <row r="76" spans="1:18">
      <c r="A76" s="17"/>
      <c r="B76" s="17"/>
      <c r="C76" s="18"/>
      <c r="D76" s="17">
        <f>INDEX(D:D,ROW()-1)+_xlfn.IFS(INDEX(E:E,ROW()-1)="u16",1,INDEX(E:E,ROW()-1)="s16",1,INDEX(E:E,ROW()-1)="s32",2,INDEX(E:E,ROW()-1)="s64",4,INDEX(E:E,ROW()-1)="u16",1,INDEX(E:E,ROW()-1)="u32",2,INDEX(E:E,ROW()-1)="u64",4,INDEX(E:E,ROW()-1)="f32",2,INDEX(E:E,ROW()-1)="f64",4)</f>
        <v>480</v>
      </c>
      <c r="E76" s="19" t="s">
        <v>29</v>
      </c>
      <c r="F76" s="20" t="s">
        <v>621</v>
      </c>
      <c r="G76" s="21" t="s">
        <v>23</v>
      </c>
      <c r="H76" s="21" t="s">
        <v>23</v>
      </c>
      <c r="I76" s="21" t="s">
        <v>30</v>
      </c>
      <c r="J76" s="17" t="s">
        <v>25</v>
      </c>
      <c r="K76" s="17" t="s">
        <v>26</v>
      </c>
      <c r="L76" s="17" t="s">
        <v>32</v>
      </c>
      <c r="M76" s="19" t="s">
        <v>28</v>
      </c>
      <c r="N76" s="25"/>
      <c r="O76" s="22" t="s">
        <v>622</v>
      </c>
      <c r="P76" s="22"/>
      <c r="Q76" s="31">
        <f t="shared" si="3"/>
        <v>1</v>
      </c>
      <c r="R76" s="32" t="str">
        <f t="shared" si="4"/>
        <v>P01.224</v>
      </c>
    </row>
    <row r="77" spans="1:18">
      <c r="A77" s="17"/>
      <c r="B77" s="17"/>
      <c r="C77" s="18"/>
      <c r="D77" s="17">
        <f>INDEX(D:D,ROW()-1)+_xlfn.IFS(INDEX(E:E,ROW()-1)="u16",1,INDEX(E:E,ROW()-1)="s16",1,INDEX(E:E,ROW()-1)="s32",2,INDEX(E:E,ROW()-1)="s64",4,INDEX(E:E,ROW()-1)="u16",1,INDEX(E:E,ROW()-1)="u32",2,INDEX(E:E,ROW()-1)="u64",4,INDEX(E:E,ROW()-1)="f32",2,INDEX(E:E,ROW()-1)="f64",4)</f>
        <v>481</v>
      </c>
      <c r="E77" s="19" t="s">
        <v>29</v>
      </c>
      <c r="F77" s="20"/>
      <c r="G77" s="21" t="s">
        <v>23</v>
      </c>
      <c r="H77" s="21" t="s">
        <v>23</v>
      </c>
      <c r="I77" s="21" t="s">
        <v>30</v>
      </c>
      <c r="J77" s="17" t="s">
        <v>25</v>
      </c>
      <c r="K77" s="17" t="s">
        <v>26</v>
      </c>
      <c r="L77" s="17" t="s">
        <v>32</v>
      </c>
      <c r="M77" s="19" t="s">
        <v>28</v>
      </c>
      <c r="N77" s="25"/>
      <c r="O77" s="22"/>
      <c r="P77" s="22"/>
      <c r="Q77" s="31">
        <f t="shared" si="3"/>
        <v>1</v>
      </c>
      <c r="R77" s="32" t="str">
        <f t="shared" si="4"/>
        <v>P01.225</v>
      </c>
    </row>
    <row r="78" spans="1:18">
      <c r="A78" s="17"/>
      <c r="B78" s="17"/>
      <c r="C78" s="18"/>
      <c r="D78" s="17">
        <f>INDEX(D:D,ROW()-1)+_xlfn.IFS(INDEX(E:E,ROW()-1)="u16",1,INDEX(E:E,ROW()-1)="s16",1,INDEX(E:E,ROW()-1)="s32",2,INDEX(E:E,ROW()-1)="s64",4,INDEX(E:E,ROW()-1)="u16",1,INDEX(E:E,ROW()-1)="u32",2,INDEX(E:E,ROW()-1)="u64",4,INDEX(E:E,ROW()-1)="f32",2,INDEX(E:E,ROW()-1)="f64",4)</f>
        <v>482</v>
      </c>
      <c r="E78" s="19" t="s">
        <v>29</v>
      </c>
      <c r="F78" s="20"/>
      <c r="G78" s="21" t="s">
        <v>23</v>
      </c>
      <c r="H78" s="21" t="s">
        <v>23</v>
      </c>
      <c r="I78" s="21" t="s">
        <v>30</v>
      </c>
      <c r="J78" s="17" t="s">
        <v>25</v>
      </c>
      <c r="K78" s="17" t="s">
        <v>26</v>
      </c>
      <c r="L78" s="17" t="s">
        <v>32</v>
      </c>
      <c r="M78" s="19" t="s">
        <v>28</v>
      </c>
      <c r="N78" s="17"/>
      <c r="O78" s="22"/>
      <c r="P78" s="22"/>
      <c r="Q78" s="31">
        <f t="shared" si="3"/>
        <v>1</v>
      </c>
      <c r="R78" s="32" t="str">
        <f t="shared" si="4"/>
        <v>P01.226</v>
      </c>
    </row>
    <row r="79" spans="1:18">
      <c r="A79" s="17"/>
      <c r="B79" s="17"/>
      <c r="C79" s="18"/>
      <c r="D79" s="17">
        <f>INDEX(D:D,ROW()-1)+_xlfn.IFS(INDEX(E:E,ROW()-1)="u16",1,INDEX(E:E,ROW()-1)="s16",1,INDEX(E:E,ROW()-1)="s32",2,INDEX(E:E,ROW()-1)="s64",4,INDEX(E:E,ROW()-1)="u16",1,INDEX(E:E,ROW()-1)="u32",2,INDEX(E:E,ROW()-1)="u64",4,INDEX(E:E,ROW()-1)="f32",2,INDEX(E:E,ROW()-1)="f64",4)</f>
        <v>483</v>
      </c>
      <c r="E79" s="19" t="s">
        <v>29</v>
      </c>
      <c r="F79" s="20"/>
      <c r="G79" s="21" t="s">
        <v>23</v>
      </c>
      <c r="H79" s="21" t="s">
        <v>23</v>
      </c>
      <c r="I79" s="21" t="s">
        <v>30</v>
      </c>
      <c r="J79" s="17" t="s">
        <v>25</v>
      </c>
      <c r="K79" s="17" t="s">
        <v>26</v>
      </c>
      <c r="L79" s="17" t="s">
        <v>32</v>
      </c>
      <c r="M79" s="19" t="s">
        <v>28</v>
      </c>
      <c r="N79" s="25"/>
      <c r="O79" s="22"/>
      <c r="P79" s="22"/>
      <c r="Q79" s="31">
        <f t="shared" si="3"/>
        <v>1</v>
      </c>
      <c r="R79" s="32" t="str">
        <f t="shared" si="4"/>
        <v>P01.227</v>
      </c>
    </row>
    <row r="80" spans="1:18">
      <c r="A80" s="17"/>
      <c r="B80" s="17"/>
      <c r="C80" s="18"/>
      <c r="D80" s="17">
        <f>INDEX(D:D,ROW()-1)+_xlfn.IFS(INDEX(E:E,ROW()-1)="u16",1,INDEX(E:E,ROW()-1)="s16",1,INDEX(E:E,ROW()-1)="s32",2,INDEX(E:E,ROW()-1)="s64",4,INDEX(E:E,ROW()-1)="u16",1,INDEX(E:E,ROW()-1)="u32",2,INDEX(E:E,ROW()-1)="u64",4,INDEX(E:E,ROW()-1)="f32",2,INDEX(E:E,ROW()-1)="f64",4)</f>
        <v>484</v>
      </c>
      <c r="E80" s="19" t="s">
        <v>29</v>
      </c>
      <c r="F80" s="20"/>
      <c r="G80" s="21" t="s">
        <v>23</v>
      </c>
      <c r="H80" s="21" t="s">
        <v>23</v>
      </c>
      <c r="I80" s="21" t="s">
        <v>30</v>
      </c>
      <c r="J80" s="17" t="s">
        <v>25</v>
      </c>
      <c r="K80" s="17" t="s">
        <v>26</v>
      </c>
      <c r="L80" s="17" t="s">
        <v>32</v>
      </c>
      <c r="M80" s="19" t="s">
        <v>28</v>
      </c>
      <c r="N80" s="25"/>
      <c r="O80" s="22"/>
      <c r="P80" s="22"/>
      <c r="Q80" s="31">
        <f t="shared" si="3"/>
        <v>1</v>
      </c>
      <c r="R80" s="32" t="str">
        <f t="shared" si="4"/>
        <v>P01.228</v>
      </c>
    </row>
    <row r="81" spans="1:18">
      <c r="A81" s="17"/>
      <c r="B81" s="17"/>
      <c r="C81" s="18"/>
      <c r="D81" s="17">
        <f t="shared" ref="D81:D112" si="5">INDEX(D:D,ROW()-1)+_xlfn.IFS(INDEX(E:E,ROW()-1)="u16",1,INDEX(E:E,ROW()-1)="s16",1,INDEX(E:E,ROW()-1)="s32",2,INDEX(E:E,ROW()-1)="s64",4,INDEX(E:E,ROW()-1)="u16",1,INDEX(E:E,ROW()-1)="u32",2,INDEX(E:E,ROW()-1)="u64",4,INDEX(E:E,ROW()-1)="f32",2,INDEX(E:E,ROW()-1)="f64",4)</f>
        <v>485</v>
      </c>
      <c r="E81" s="19" t="s">
        <v>29</v>
      </c>
      <c r="F81" s="20"/>
      <c r="G81" s="21" t="s">
        <v>23</v>
      </c>
      <c r="H81" s="21" t="s">
        <v>23</v>
      </c>
      <c r="I81" s="21" t="s">
        <v>30</v>
      </c>
      <c r="J81" s="17" t="s">
        <v>25</v>
      </c>
      <c r="K81" s="17" t="s">
        <v>26</v>
      </c>
      <c r="L81" s="17" t="s">
        <v>32</v>
      </c>
      <c r="M81" s="19" t="s">
        <v>28</v>
      </c>
      <c r="N81" s="17"/>
      <c r="O81" s="22"/>
      <c r="P81" s="22"/>
      <c r="Q81" s="31">
        <f t="shared" si="3"/>
        <v>1</v>
      </c>
      <c r="R81" s="32" t="str">
        <f t="shared" si="4"/>
        <v>P01.229</v>
      </c>
    </row>
    <row r="82" spans="1:18">
      <c r="A82" s="17"/>
      <c r="B82" s="17"/>
      <c r="C82" s="18"/>
      <c r="D82" s="17">
        <f t="shared" si="5"/>
        <v>486</v>
      </c>
      <c r="E82" s="19" t="s">
        <v>29</v>
      </c>
      <c r="F82" s="20"/>
      <c r="G82" s="21" t="s">
        <v>23</v>
      </c>
      <c r="H82" s="21" t="s">
        <v>23</v>
      </c>
      <c r="I82" s="21" t="s">
        <v>30</v>
      </c>
      <c r="J82" s="17" t="s">
        <v>25</v>
      </c>
      <c r="K82" s="17" t="s">
        <v>26</v>
      </c>
      <c r="L82" s="17" t="s">
        <v>32</v>
      </c>
      <c r="M82" s="19" t="s">
        <v>28</v>
      </c>
      <c r="N82" s="25"/>
      <c r="O82" s="22"/>
      <c r="P82" s="22"/>
      <c r="Q82" s="31">
        <f t="shared" si="3"/>
        <v>1</v>
      </c>
      <c r="R82" s="32" t="str">
        <f t="shared" si="4"/>
        <v>P01.230</v>
      </c>
    </row>
    <row r="83" spans="1:18">
      <c r="A83" s="17"/>
      <c r="B83" s="17"/>
      <c r="C83" s="18"/>
      <c r="D83" s="17">
        <f t="shared" si="5"/>
        <v>487</v>
      </c>
      <c r="E83" s="19" t="s">
        <v>29</v>
      </c>
      <c r="F83" s="20"/>
      <c r="G83" s="21" t="s">
        <v>23</v>
      </c>
      <c r="H83" s="21" t="s">
        <v>23</v>
      </c>
      <c r="I83" s="21" t="s">
        <v>30</v>
      </c>
      <c r="J83" s="17" t="s">
        <v>25</v>
      </c>
      <c r="K83" s="17" t="s">
        <v>26</v>
      </c>
      <c r="L83" s="17" t="s">
        <v>32</v>
      </c>
      <c r="M83" s="19" t="s">
        <v>28</v>
      </c>
      <c r="N83" s="25"/>
      <c r="O83" s="22"/>
      <c r="P83" s="22"/>
      <c r="Q83" s="31">
        <f t="shared" si="3"/>
        <v>1</v>
      </c>
      <c r="R83" s="32" t="str">
        <f t="shared" si="4"/>
        <v>P01.231</v>
      </c>
    </row>
    <row r="84" spans="1:18">
      <c r="A84" s="17"/>
      <c r="B84" s="17"/>
      <c r="C84" s="18"/>
      <c r="D84" s="17">
        <f t="shared" si="5"/>
        <v>488</v>
      </c>
      <c r="E84" s="19" t="s">
        <v>29</v>
      </c>
      <c r="F84" s="20"/>
      <c r="G84" s="21" t="s">
        <v>23</v>
      </c>
      <c r="H84" s="21" t="s">
        <v>23</v>
      </c>
      <c r="I84" s="21" t="s">
        <v>30</v>
      </c>
      <c r="J84" s="17" t="s">
        <v>25</v>
      </c>
      <c r="K84" s="17" t="s">
        <v>26</v>
      </c>
      <c r="L84" s="17" t="s">
        <v>32</v>
      </c>
      <c r="M84" s="19" t="s">
        <v>28</v>
      </c>
      <c r="N84" s="17"/>
      <c r="O84" s="22"/>
      <c r="P84" s="22"/>
      <c r="Q84" s="31">
        <f t="shared" si="3"/>
        <v>1</v>
      </c>
      <c r="R84" s="32" t="str">
        <f t="shared" si="4"/>
        <v>P01.232</v>
      </c>
    </row>
    <row r="85" spans="1:18">
      <c r="A85" s="17"/>
      <c r="B85" s="17"/>
      <c r="C85" s="18"/>
      <c r="D85" s="17">
        <f t="shared" si="5"/>
        <v>489</v>
      </c>
      <c r="E85" s="19" t="s">
        <v>29</v>
      </c>
      <c r="F85" s="20"/>
      <c r="G85" s="21" t="s">
        <v>23</v>
      </c>
      <c r="H85" s="21" t="s">
        <v>23</v>
      </c>
      <c r="I85" s="21" t="s">
        <v>30</v>
      </c>
      <c r="J85" s="17" t="s">
        <v>25</v>
      </c>
      <c r="K85" s="17" t="s">
        <v>26</v>
      </c>
      <c r="L85" s="17" t="s">
        <v>32</v>
      </c>
      <c r="M85" s="19" t="s">
        <v>28</v>
      </c>
      <c r="N85" s="25"/>
      <c r="O85" s="22"/>
      <c r="P85" s="22"/>
      <c r="Q85" s="31">
        <f t="shared" si="3"/>
        <v>1</v>
      </c>
      <c r="R85" s="32" t="str">
        <f t="shared" si="4"/>
        <v>P01.233</v>
      </c>
    </row>
    <row r="86" spans="1:18">
      <c r="A86" s="17"/>
      <c r="B86" s="17"/>
      <c r="C86" s="18"/>
      <c r="D86" s="17">
        <f t="shared" si="5"/>
        <v>490</v>
      </c>
      <c r="E86" s="19" t="s">
        <v>29</v>
      </c>
      <c r="F86" s="20"/>
      <c r="G86" s="21" t="s">
        <v>23</v>
      </c>
      <c r="H86" s="21" t="s">
        <v>23</v>
      </c>
      <c r="I86" s="21" t="s">
        <v>30</v>
      </c>
      <c r="J86" s="17" t="s">
        <v>25</v>
      </c>
      <c r="K86" s="17" t="s">
        <v>26</v>
      </c>
      <c r="L86" s="17" t="s">
        <v>32</v>
      </c>
      <c r="M86" s="19" t="s">
        <v>28</v>
      </c>
      <c r="N86" s="25"/>
      <c r="O86" s="22"/>
      <c r="P86" s="22"/>
      <c r="Q86" s="31">
        <f t="shared" si="3"/>
        <v>1</v>
      </c>
      <c r="R86" s="32" t="str">
        <f t="shared" si="4"/>
        <v>P01.234</v>
      </c>
    </row>
    <row r="87" spans="1:18">
      <c r="A87" s="17"/>
      <c r="B87" s="17"/>
      <c r="C87" s="18"/>
      <c r="D87" s="17">
        <f t="shared" si="5"/>
        <v>491</v>
      </c>
      <c r="E87" s="19" t="s">
        <v>29</v>
      </c>
      <c r="F87" s="20"/>
      <c r="G87" s="21" t="s">
        <v>23</v>
      </c>
      <c r="H87" s="21" t="s">
        <v>23</v>
      </c>
      <c r="I87" s="21" t="s">
        <v>30</v>
      </c>
      <c r="J87" s="17" t="s">
        <v>25</v>
      </c>
      <c r="K87" s="17" t="s">
        <v>26</v>
      </c>
      <c r="L87" s="17" t="s">
        <v>32</v>
      </c>
      <c r="M87" s="19" t="s">
        <v>28</v>
      </c>
      <c r="N87" s="17"/>
      <c r="O87" s="22"/>
      <c r="P87" s="22"/>
      <c r="Q87" s="31">
        <f t="shared" si="3"/>
        <v>1</v>
      </c>
      <c r="R87" s="32" t="str">
        <f t="shared" si="4"/>
        <v>P01.235</v>
      </c>
    </row>
    <row r="88" spans="1:18">
      <c r="A88" s="17"/>
      <c r="B88" s="17"/>
      <c r="C88" s="18"/>
      <c r="D88" s="17">
        <f t="shared" si="5"/>
        <v>492</v>
      </c>
      <c r="E88" s="19" t="s">
        <v>29</v>
      </c>
      <c r="F88" s="20"/>
      <c r="G88" s="21" t="s">
        <v>23</v>
      </c>
      <c r="H88" s="21" t="s">
        <v>23</v>
      </c>
      <c r="I88" s="21" t="s">
        <v>30</v>
      </c>
      <c r="J88" s="17" t="s">
        <v>25</v>
      </c>
      <c r="K88" s="17" t="s">
        <v>26</v>
      </c>
      <c r="L88" s="17" t="s">
        <v>32</v>
      </c>
      <c r="M88" s="19" t="s">
        <v>28</v>
      </c>
      <c r="N88" s="25"/>
      <c r="O88" s="22"/>
      <c r="P88" s="22"/>
      <c r="Q88" s="31">
        <f t="shared" si="3"/>
        <v>1</v>
      </c>
      <c r="R88" s="32" t="str">
        <f t="shared" si="4"/>
        <v>P01.236</v>
      </c>
    </row>
    <row r="89" spans="1:18">
      <c r="A89" s="17"/>
      <c r="B89" s="17"/>
      <c r="C89" s="18"/>
      <c r="D89" s="17">
        <f t="shared" si="5"/>
        <v>493</v>
      </c>
      <c r="E89" s="19" t="s">
        <v>29</v>
      </c>
      <c r="F89" s="20"/>
      <c r="G89" s="21" t="s">
        <v>23</v>
      </c>
      <c r="H89" s="21" t="s">
        <v>23</v>
      </c>
      <c r="I89" s="21" t="s">
        <v>30</v>
      </c>
      <c r="J89" s="17" t="s">
        <v>25</v>
      </c>
      <c r="K89" s="17" t="s">
        <v>26</v>
      </c>
      <c r="L89" s="17" t="s">
        <v>32</v>
      </c>
      <c r="M89" s="19" t="s">
        <v>28</v>
      </c>
      <c r="N89" s="25"/>
      <c r="O89" s="22"/>
      <c r="P89" s="22"/>
      <c r="Q89" s="31">
        <f t="shared" si="3"/>
        <v>1</v>
      </c>
      <c r="R89" s="32" t="str">
        <f t="shared" si="4"/>
        <v>P01.237</v>
      </c>
    </row>
    <row r="90" spans="1:18">
      <c r="A90" s="17"/>
      <c r="B90" s="17"/>
      <c r="C90" s="18"/>
      <c r="D90" s="17">
        <f t="shared" si="5"/>
        <v>494</v>
      </c>
      <c r="E90" s="19" t="s">
        <v>29</v>
      </c>
      <c r="F90" s="20"/>
      <c r="G90" s="21" t="s">
        <v>23</v>
      </c>
      <c r="H90" s="21" t="s">
        <v>23</v>
      </c>
      <c r="I90" s="21" t="s">
        <v>30</v>
      </c>
      <c r="J90" s="17" t="s">
        <v>25</v>
      </c>
      <c r="K90" s="17" t="s">
        <v>26</v>
      </c>
      <c r="L90" s="17" t="s">
        <v>32</v>
      </c>
      <c r="M90" s="19" t="s">
        <v>28</v>
      </c>
      <c r="N90" s="17"/>
      <c r="O90" s="22"/>
      <c r="P90" s="22"/>
      <c r="Q90" s="31">
        <f t="shared" si="3"/>
        <v>1</v>
      </c>
      <c r="R90" s="32" t="str">
        <f t="shared" si="4"/>
        <v>P01.238</v>
      </c>
    </row>
    <row r="91" spans="1:18">
      <c r="A91" s="17"/>
      <c r="B91" s="17"/>
      <c r="C91" s="18"/>
      <c r="D91" s="17">
        <f t="shared" si="5"/>
        <v>495</v>
      </c>
      <c r="E91" s="19" t="s">
        <v>29</v>
      </c>
      <c r="F91" s="20"/>
      <c r="G91" s="21" t="s">
        <v>23</v>
      </c>
      <c r="H91" s="21" t="s">
        <v>23</v>
      </c>
      <c r="I91" s="21" t="s">
        <v>30</v>
      </c>
      <c r="J91" s="17" t="s">
        <v>25</v>
      </c>
      <c r="K91" s="17" t="s">
        <v>26</v>
      </c>
      <c r="L91" s="17" t="s">
        <v>32</v>
      </c>
      <c r="M91" s="19" t="s">
        <v>28</v>
      </c>
      <c r="N91" s="25"/>
      <c r="O91" s="22"/>
      <c r="P91" s="22"/>
      <c r="Q91" s="31">
        <f t="shared" si="3"/>
        <v>1</v>
      </c>
      <c r="R91" s="32" t="str">
        <f t="shared" si="4"/>
        <v>P01.239</v>
      </c>
    </row>
    <row r="92" spans="1:18">
      <c r="A92" s="17"/>
      <c r="B92" s="17"/>
      <c r="C92" s="18"/>
      <c r="D92" s="17">
        <f t="shared" si="5"/>
        <v>496</v>
      </c>
      <c r="E92" s="19" t="s">
        <v>29</v>
      </c>
      <c r="F92" s="20"/>
      <c r="G92" s="21" t="s">
        <v>23</v>
      </c>
      <c r="H92" s="21" t="s">
        <v>23</v>
      </c>
      <c r="I92" s="21" t="s">
        <v>30</v>
      </c>
      <c r="J92" s="17" t="s">
        <v>25</v>
      </c>
      <c r="K92" s="17" t="s">
        <v>26</v>
      </c>
      <c r="L92" s="17" t="s">
        <v>32</v>
      </c>
      <c r="M92" s="19" t="s">
        <v>28</v>
      </c>
      <c r="N92" s="25"/>
      <c r="O92" s="22"/>
      <c r="P92" s="22"/>
      <c r="Q92" s="31">
        <f t="shared" si="3"/>
        <v>1</v>
      </c>
      <c r="R92" s="32" t="str">
        <f t="shared" si="4"/>
        <v>P01.240</v>
      </c>
    </row>
    <row r="93" spans="1:18">
      <c r="A93" s="17"/>
      <c r="B93" s="17"/>
      <c r="C93" s="18"/>
      <c r="D93" s="17">
        <f t="shared" si="5"/>
        <v>497</v>
      </c>
      <c r="E93" s="19" t="s">
        <v>29</v>
      </c>
      <c r="F93" s="20"/>
      <c r="G93" s="21" t="s">
        <v>23</v>
      </c>
      <c r="H93" s="21" t="s">
        <v>23</v>
      </c>
      <c r="I93" s="21" t="s">
        <v>30</v>
      </c>
      <c r="J93" s="17" t="s">
        <v>25</v>
      </c>
      <c r="K93" s="17" t="s">
        <v>26</v>
      </c>
      <c r="L93" s="17" t="s">
        <v>32</v>
      </c>
      <c r="M93" s="19" t="s">
        <v>28</v>
      </c>
      <c r="N93" s="17"/>
      <c r="O93" s="22"/>
      <c r="P93" s="22"/>
      <c r="Q93" s="31">
        <f t="shared" si="3"/>
        <v>1</v>
      </c>
      <c r="R93" s="32" t="str">
        <f t="shared" si="4"/>
        <v>P01.241</v>
      </c>
    </row>
    <row r="94" spans="1:18">
      <c r="A94" s="17"/>
      <c r="B94" s="17"/>
      <c r="C94" s="18"/>
      <c r="D94" s="17">
        <f t="shared" si="5"/>
        <v>498</v>
      </c>
      <c r="E94" s="19" t="s">
        <v>29</v>
      </c>
      <c r="F94" s="20"/>
      <c r="G94" s="21" t="s">
        <v>23</v>
      </c>
      <c r="H94" s="21" t="s">
        <v>23</v>
      </c>
      <c r="I94" s="21" t="s">
        <v>30</v>
      </c>
      <c r="J94" s="17" t="s">
        <v>25</v>
      </c>
      <c r="K94" s="17" t="s">
        <v>26</v>
      </c>
      <c r="L94" s="17" t="s">
        <v>32</v>
      </c>
      <c r="M94" s="19" t="s">
        <v>28</v>
      </c>
      <c r="N94" s="25"/>
      <c r="O94" s="22"/>
      <c r="P94" s="22"/>
      <c r="Q94" s="31">
        <f t="shared" si="3"/>
        <v>1</v>
      </c>
      <c r="R94" s="32" t="str">
        <f t="shared" si="4"/>
        <v>P01.242</v>
      </c>
    </row>
    <row r="95" spans="1:18">
      <c r="A95" s="17"/>
      <c r="B95" s="17"/>
      <c r="C95" s="18"/>
      <c r="D95" s="17">
        <f t="shared" si="5"/>
        <v>499</v>
      </c>
      <c r="E95" s="19" t="s">
        <v>29</v>
      </c>
      <c r="F95" s="20"/>
      <c r="G95" s="21" t="s">
        <v>23</v>
      </c>
      <c r="H95" s="21" t="s">
        <v>23</v>
      </c>
      <c r="I95" s="21" t="s">
        <v>30</v>
      </c>
      <c r="J95" s="17" t="s">
        <v>25</v>
      </c>
      <c r="K95" s="17" t="s">
        <v>26</v>
      </c>
      <c r="L95" s="17" t="s">
        <v>32</v>
      </c>
      <c r="M95" s="19" t="s">
        <v>28</v>
      </c>
      <c r="N95" s="25"/>
      <c r="O95" s="22"/>
      <c r="P95" s="22"/>
      <c r="Q95" s="31">
        <f t="shared" si="3"/>
        <v>1</v>
      </c>
      <c r="R95" s="32" t="str">
        <f t="shared" si="4"/>
        <v>P01.243</v>
      </c>
    </row>
    <row r="96" spans="1:18">
      <c r="A96" s="17"/>
      <c r="B96" s="17"/>
      <c r="C96" s="18"/>
      <c r="D96" s="17">
        <f t="shared" si="5"/>
        <v>500</v>
      </c>
      <c r="E96" s="19" t="s">
        <v>29</v>
      </c>
      <c r="F96" s="20"/>
      <c r="G96" s="21" t="s">
        <v>23</v>
      </c>
      <c r="H96" s="21" t="s">
        <v>23</v>
      </c>
      <c r="I96" s="21" t="s">
        <v>30</v>
      </c>
      <c r="J96" s="17" t="s">
        <v>25</v>
      </c>
      <c r="K96" s="17" t="s">
        <v>26</v>
      </c>
      <c r="L96" s="17" t="s">
        <v>32</v>
      </c>
      <c r="M96" s="19" t="s">
        <v>28</v>
      </c>
      <c r="N96" s="17"/>
      <c r="O96" s="22"/>
      <c r="P96" s="22"/>
      <c r="Q96" s="31">
        <f t="shared" si="3"/>
        <v>1</v>
      </c>
      <c r="R96" s="32" t="str">
        <f t="shared" si="4"/>
        <v>P01.244</v>
      </c>
    </row>
    <row r="97" spans="1:18">
      <c r="A97" s="17"/>
      <c r="B97" s="17"/>
      <c r="C97" s="18"/>
      <c r="D97" s="17">
        <f t="shared" si="5"/>
        <v>501</v>
      </c>
      <c r="E97" s="19" t="s">
        <v>29</v>
      </c>
      <c r="F97" s="20"/>
      <c r="G97" s="21" t="s">
        <v>23</v>
      </c>
      <c r="H97" s="21" t="s">
        <v>23</v>
      </c>
      <c r="I97" s="21" t="s">
        <v>30</v>
      </c>
      <c r="J97" s="17" t="s">
        <v>25</v>
      </c>
      <c r="K97" s="17" t="s">
        <v>26</v>
      </c>
      <c r="L97" s="17" t="s">
        <v>32</v>
      </c>
      <c r="M97" s="19" t="s">
        <v>28</v>
      </c>
      <c r="N97" s="25"/>
      <c r="O97" s="22"/>
      <c r="P97" s="22"/>
      <c r="Q97" s="31">
        <f t="shared" si="3"/>
        <v>1</v>
      </c>
      <c r="R97" s="32" t="str">
        <f t="shared" si="4"/>
        <v>P01.245</v>
      </c>
    </row>
    <row r="98" spans="1:18">
      <c r="A98" s="17"/>
      <c r="B98" s="17"/>
      <c r="C98" s="18"/>
      <c r="D98" s="17">
        <f t="shared" si="5"/>
        <v>502</v>
      </c>
      <c r="E98" s="19" t="s">
        <v>29</v>
      </c>
      <c r="F98" s="20"/>
      <c r="G98" s="21" t="s">
        <v>23</v>
      </c>
      <c r="H98" s="21" t="s">
        <v>23</v>
      </c>
      <c r="I98" s="21" t="s">
        <v>30</v>
      </c>
      <c r="J98" s="17" t="s">
        <v>25</v>
      </c>
      <c r="K98" s="17" t="s">
        <v>26</v>
      </c>
      <c r="L98" s="17" t="s">
        <v>32</v>
      </c>
      <c r="M98" s="19" t="s">
        <v>28</v>
      </c>
      <c r="N98" s="25"/>
      <c r="O98" s="22"/>
      <c r="P98" s="22"/>
      <c r="Q98" s="31">
        <f t="shared" si="3"/>
        <v>1</v>
      </c>
      <c r="R98" s="32" t="str">
        <f t="shared" si="4"/>
        <v>P01.246</v>
      </c>
    </row>
    <row r="99" spans="1:18">
      <c r="A99" s="17"/>
      <c r="B99" s="17"/>
      <c r="C99" s="18"/>
      <c r="D99" s="17">
        <f t="shared" si="5"/>
        <v>503</v>
      </c>
      <c r="E99" s="19" t="s">
        <v>29</v>
      </c>
      <c r="F99" s="20"/>
      <c r="G99" s="21" t="s">
        <v>23</v>
      </c>
      <c r="H99" s="21" t="s">
        <v>23</v>
      </c>
      <c r="I99" s="21" t="s">
        <v>30</v>
      </c>
      <c r="J99" s="17" t="s">
        <v>25</v>
      </c>
      <c r="K99" s="17" t="s">
        <v>26</v>
      </c>
      <c r="L99" s="17" t="s">
        <v>32</v>
      </c>
      <c r="M99" s="19" t="s">
        <v>28</v>
      </c>
      <c r="N99" s="17"/>
      <c r="O99" s="22"/>
      <c r="P99" s="22"/>
      <c r="Q99" s="31">
        <f t="shared" si="3"/>
        <v>1</v>
      </c>
      <c r="R99" s="32" t="str">
        <f t="shared" si="4"/>
        <v>P01.247</v>
      </c>
    </row>
    <row r="100" spans="1:18">
      <c r="A100" s="17"/>
      <c r="B100" s="17"/>
      <c r="C100" s="18"/>
      <c r="D100" s="17">
        <f t="shared" si="5"/>
        <v>504</v>
      </c>
      <c r="E100" s="19" t="s">
        <v>29</v>
      </c>
      <c r="F100" s="20"/>
      <c r="G100" s="21" t="s">
        <v>23</v>
      </c>
      <c r="H100" s="21" t="s">
        <v>23</v>
      </c>
      <c r="I100" s="21" t="s">
        <v>30</v>
      </c>
      <c r="J100" s="17" t="s">
        <v>25</v>
      </c>
      <c r="K100" s="17" t="s">
        <v>26</v>
      </c>
      <c r="L100" s="17" t="s">
        <v>32</v>
      </c>
      <c r="M100" s="19" t="s">
        <v>28</v>
      </c>
      <c r="N100" s="25"/>
      <c r="O100" s="22"/>
      <c r="P100" s="22"/>
      <c r="Q100" s="31">
        <f t="shared" si="3"/>
        <v>1</v>
      </c>
      <c r="R100" s="32" t="str">
        <f t="shared" si="4"/>
        <v>P01.248</v>
      </c>
    </row>
    <row r="101" spans="1:18">
      <c r="A101" s="17"/>
      <c r="B101" s="17"/>
      <c r="C101" s="18"/>
      <c r="D101" s="17">
        <f t="shared" si="5"/>
        <v>505</v>
      </c>
      <c r="E101" s="19" t="s">
        <v>29</v>
      </c>
      <c r="F101" s="20"/>
      <c r="G101" s="21" t="s">
        <v>23</v>
      </c>
      <c r="H101" s="21" t="s">
        <v>23</v>
      </c>
      <c r="I101" s="21" t="s">
        <v>30</v>
      </c>
      <c r="J101" s="17" t="s">
        <v>25</v>
      </c>
      <c r="K101" s="17" t="s">
        <v>26</v>
      </c>
      <c r="L101" s="17" t="s">
        <v>32</v>
      </c>
      <c r="M101" s="19" t="s">
        <v>28</v>
      </c>
      <c r="N101" s="25"/>
      <c r="O101" s="22"/>
      <c r="P101" s="22"/>
      <c r="Q101" s="31">
        <f t="shared" si="3"/>
        <v>1</v>
      </c>
      <c r="R101" s="32" t="str">
        <f t="shared" si="4"/>
        <v>P01.249</v>
      </c>
    </row>
    <row r="102" spans="1:18">
      <c r="A102" s="17"/>
      <c r="B102" s="17"/>
      <c r="C102" s="18"/>
      <c r="D102" s="17">
        <f t="shared" si="5"/>
        <v>506</v>
      </c>
      <c r="E102" s="19" t="s">
        <v>29</v>
      </c>
      <c r="F102" s="20"/>
      <c r="G102" s="21" t="s">
        <v>23</v>
      </c>
      <c r="H102" s="21" t="s">
        <v>23</v>
      </c>
      <c r="I102" s="21" t="s">
        <v>30</v>
      </c>
      <c r="J102" s="17" t="s">
        <v>25</v>
      </c>
      <c r="K102" s="17" t="s">
        <v>26</v>
      </c>
      <c r="L102" s="17" t="s">
        <v>32</v>
      </c>
      <c r="M102" s="19" t="s">
        <v>28</v>
      </c>
      <c r="N102" s="17"/>
      <c r="O102" s="22"/>
      <c r="P102" s="22"/>
      <c r="Q102" s="31">
        <f t="shared" si="3"/>
        <v>1</v>
      </c>
      <c r="R102" s="32" t="str">
        <f t="shared" si="4"/>
        <v>P01.250</v>
      </c>
    </row>
    <row r="103" spans="1:18">
      <c r="A103" s="17"/>
      <c r="B103" s="17"/>
      <c r="C103" s="18"/>
      <c r="D103" s="17">
        <f t="shared" si="5"/>
        <v>507</v>
      </c>
      <c r="E103" s="19" t="s">
        <v>29</v>
      </c>
      <c r="F103" s="20"/>
      <c r="G103" s="21" t="s">
        <v>23</v>
      </c>
      <c r="H103" s="21" t="s">
        <v>23</v>
      </c>
      <c r="I103" s="21" t="s">
        <v>30</v>
      </c>
      <c r="J103" s="17" t="s">
        <v>25</v>
      </c>
      <c r="K103" s="17" t="s">
        <v>26</v>
      </c>
      <c r="L103" s="17" t="s">
        <v>32</v>
      </c>
      <c r="M103" s="19" t="s">
        <v>28</v>
      </c>
      <c r="N103" s="25"/>
      <c r="O103" s="22"/>
      <c r="P103" s="22"/>
      <c r="Q103" s="31">
        <f t="shared" si="3"/>
        <v>1</v>
      </c>
      <c r="R103" s="32" t="str">
        <f t="shared" si="4"/>
        <v>P01.251</v>
      </c>
    </row>
    <row r="104" spans="1:18">
      <c r="A104" s="17"/>
      <c r="B104" s="17"/>
      <c r="C104" s="18"/>
      <c r="D104" s="17">
        <f t="shared" si="5"/>
        <v>508</v>
      </c>
      <c r="E104" s="19" t="s">
        <v>29</v>
      </c>
      <c r="F104" s="20"/>
      <c r="G104" s="21" t="s">
        <v>23</v>
      </c>
      <c r="H104" s="21" t="s">
        <v>23</v>
      </c>
      <c r="I104" s="21" t="s">
        <v>30</v>
      </c>
      <c r="J104" s="17" t="s">
        <v>25</v>
      </c>
      <c r="K104" s="17" t="s">
        <v>26</v>
      </c>
      <c r="L104" s="17" t="s">
        <v>32</v>
      </c>
      <c r="M104" s="19" t="s">
        <v>28</v>
      </c>
      <c r="N104" s="25"/>
      <c r="O104" s="22"/>
      <c r="P104" s="22"/>
      <c r="Q104" s="31">
        <f t="shared" si="3"/>
        <v>1</v>
      </c>
      <c r="R104" s="32" t="str">
        <f t="shared" si="4"/>
        <v>P01.252</v>
      </c>
    </row>
    <row r="105" spans="1:18">
      <c r="A105" s="17"/>
      <c r="B105" s="17"/>
      <c r="C105" s="18"/>
      <c r="D105" s="17">
        <f t="shared" si="5"/>
        <v>509</v>
      </c>
      <c r="E105" s="19" t="s">
        <v>29</v>
      </c>
      <c r="F105" s="20"/>
      <c r="G105" s="21" t="s">
        <v>23</v>
      </c>
      <c r="H105" s="21" t="s">
        <v>23</v>
      </c>
      <c r="I105" s="21" t="s">
        <v>30</v>
      </c>
      <c r="J105" s="17" t="s">
        <v>25</v>
      </c>
      <c r="K105" s="17" t="s">
        <v>26</v>
      </c>
      <c r="L105" s="17" t="s">
        <v>32</v>
      </c>
      <c r="M105" s="19" t="s">
        <v>28</v>
      </c>
      <c r="N105" s="17"/>
      <c r="O105" s="22"/>
      <c r="P105" s="22"/>
      <c r="Q105" s="31">
        <f t="shared" si="3"/>
        <v>1</v>
      </c>
      <c r="R105" s="32" t="str">
        <f t="shared" si="4"/>
        <v>P01.253</v>
      </c>
    </row>
    <row r="106" spans="1:18">
      <c r="A106" s="17"/>
      <c r="B106" s="17"/>
      <c r="C106" s="18"/>
      <c r="D106" s="17">
        <f t="shared" si="5"/>
        <v>510</v>
      </c>
      <c r="E106" s="19" t="s">
        <v>29</v>
      </c>
      <c r="F106" s="20"/>
      <c r="G106" s="21" t="s">
        <v>23</v>
      </c>
      <c r="H106" s="21" t="s">
        <v>23</v>
      </c>
      <c r="I106" s="21" t="s">
        <v>30</v>
      </c>
      <c r="J106" s="17" t="s">
        <v>25</v>
      </c>
      <c r="K106" s="17" t="s">
        <v>26</v>
      </c>
      <c r="L106" s="17" t="s">
        <v>32</v>
      </c>
      <c r="M106" s="19" t="s">
        <v>28</v>
      </c>
      <c r="N106" s="25"/>
      <c r="O106" s="22"/>
      <c r="P106" s="22"/>
      <c r="Q106" s="31">
        <f t="shared" si="3"/>
        <v>1</v>
      </c>
      <c r="R106" s="32" t="str">
        <f t="shared" si="4"/>
        <v>P01.254</v>
      </c>
    </row>
    <row r="107" spans="1:18">
      <c r="A107" s="17"/>
      <c r="B107" s="17"/>
      <c r="C107" s="18"/>
      <c r="D107" s="17">
        <f t="shared" si="5"/>
        <v>511</v>
      </c>
      <c r="E107" s="19" t="s">
        <v>29</v>
      </c>
      <c r="F107" s="20"/>
      <c r="G107" s="21" t="s">
        <v>23</v>
      </c>
      <c r="H107" s="21" t="s">
        <v>23</v>
      </c>
      <c r="I107" s="21" t="s">
        <v>30</v>
      </c>
      <c r="J107" s="17" t="s">
        <v>25</v>
      </c>
      <c r="K107" s="17" t="s">
        <v>26</v>
      </c>
      <c r="L107" s="17" t="s">
        <v>32</v>
      </c>
      <c r="M107" s="19" t="s">
        <v>28</v>
      </c>
      <c r="N107" s="25"/>
      <c r="O107" s="22"/>
      <c r="P107" s="22"/>
      <c r="Q107" s="31">
        <f t="shared" si="3"/>
        <v>1</v>
      </c>
      <c r="R107" s="32" t="str">
        <f t="shared" si="4"/>
        <v>P01.255</v>
      </c>
    </row>
    <row r="108" ht="52.8" spans="1:18">
      <c r="A108" s="33">
        <v>2</v>
      </c>
      <c r="B108" s="33"/>
      <c r="C108" s="33"/>
      <c r="D108" s="17">
        <f t="shared" ref="D108:D153" si="6">INDEX(D:D,ROW()-1)+_xlfn.IFS(INDEX(E:E,ROW()-1)="u16",1,INDEX(E:E,ROW()-1)="s16",1,INDEX(E:E,ROW()-1)="s32",2,INDEX(E:E,ROW()-1)="s64",4,INDEX(E:E,ROW()-1)="u16",1,INDEX(E:E,ROW()-1)="u32",2,INDEX(E:E,ROW()-1)="u64",4,INDEX(E:E,ROW()-1)="f32",2,INDEX(E:E,ROW()-1)="f64",4)</f>
        <v>512</v>
      </c>
      <c r="E108" s="19" t="s">
        <v>29</v>
      </c>
      <c r="F108" s="22" t="s">
        <v>623</v>
      </c>
      <c r="G108" s="21" t="s">
        <v>23</v>
      </c>
      <c r="H108" s="21" t="s">
        <v>23</v>
      </c>
      <c r="I108" s="21" t="s">
        <v>46</v>
      </c>
      <c r="J108" s="17" t="s">
        <v>25</v>
      </c>
      <c r="K108" s="17" t="s">
        <v>69</v>
      </c>
      <c r="L108" s="17" t="s">
        <v>27</v>
      </c>
      <c r="M108" s="19" t="s">
        <v>75</v>
      </c>
      <c r="N108" s="25"/>
      <c r="O108" s="22" t="s">
        <v>624</v>
      </c>
      <c r="P108" s="25" t="s">
        <v>625</v>
      </c>
      <c r="Q108" s="31">
        <f t="shared" si="3"/>
        <v>0</v>
      </c>
      <c r="R108" s="32" t="str">
        <f t="shared" ref="R108:R117" si="7">"P"&amp;TEXT(INT(D108/256),"00")&amp;"."&amp;TEXT(MOD(D108,256),"000")</f>
        <v>P02.000</v>
      </c>
    </row>
    <row r="109" ht="52.8" spans="1:18">
      <c r="A109" s="18"/>
      <c r="B109" s="18"/>
      <c r="C109" s="18"/>
      <c r="D109" s="17">
        <f t="shared" si="6"/>
        <v>513</v>
      </c>
      <c r="E109" s="19" t="s">
        <v>29</v>
      </c>
      <c r="F109" s="22" t="s">
        <v>626</v>
      </c>
      <c r="G109" s="21" t="s">
        <v>23</v>
      </c>
      <c r="H109" s="21" t="s">
        <v>23</v>
      </c>
      <c r="I109" s="21" t="s">
        <v>389</v>
      </c>
      <c r="J109" s="17" t="s">
        <v>25</v>
      </c>
      <c r="K109" s="17" t="s">
        <v>69</v>
      </c>
      <c r="L109" s="17" t="s">
        <v>27</v>
      </c>
      <c r="M109" s="19" t="s">
        <v>28</v>
      </c>
      <c r="N109" s="25"/>
      <c r="O109" s="22" t="s">
        <v>627</v>
      </c>
      <c r="P109" s="25" t="s">
        <v>628</v>
      </c>
      <c r="Q109" s="31">
        <f t="shared" si="3"/>
        <v>0</v>
      </c>
      <c r="R109" s="32" t="str">
        <f t="shared" si="7"/>
        <v>P02.001</v>
      </c>
    </row>
    <row r="110" ht="52.8" spans="1:18">
      <c r="A110" s="18"/>
      <c r="B110" s="18"/>
      <c r="C110" s="18"/>
      <c r="D110" s="17">
        <f t="shared" si="6"/>
        <v>514</v>
      </c>
      <c r="E110" s="19" t="s">
        <v>29</v>
      </c>
      <c r="F110" s="22" t="s">
        <v>629</v>
      </c>
      <c r="G110" s="21" t="s">
        <v>40</v>
      </c>
      <c r="H110" s="21" t="s">
        <v>23</v>
      </c>
      <c r="I110" s="21" t="s">
        <v>46</v>
      </c>
      <c r="J110" s="17" t="s">
        <v>25</v>
      </c>
      <c r="K110" s="17" t="s">
        <v>69</v>
      </c>
      <c r="L110" s="17" t="s">
        <v>27</v>
      </c>
      <c r="M110" s="19" t="s">
        <v>28</v>
      </c>
      <c r="N110" s="25"/>
      <c r="O110" s="22" t="s">
        <v>630</v>
      </c>
      <c r="P110" s="25" t="s">
        <v>631</v>
      </c>
      <c r="Q110" s="31">
        <f t="shared" si="3"/>
        <v>0</v>
      </c>
      <c r="R110" s="32" t="str">
        <f t="shared" si="7"/>
        <v>P02.002</v>
      </c>
    </row>
    <row r="111" spans="1:18">
      <c r="A111" s="18"/>
      <c r="B111" s="18"/>
      <c r="C111" s="18"/>
      <c r="D111" s="17">
        <f t="shared" si="6"/>
        <v>515</v>
      </c>
      <c r="E111" s="19" t="s">
        <v>29</v>
      </c>
      <c r="F111" s="22" t="s">
        <v>632</v>
      </c>
      <c r="G111" s="21" t="s">
        <v>23</v>
      </c>
      <c r="H111" s="21" t="s">
        <v>23</v>
      </c>
      <c r="I111" s="21" t="s">
        <v>30</v>
      </c>
      <c r="J111" s="17" t="s">
        <v>25</v>
      </c>
      <c r="K111" s="17" t="s">
        <v>69</v>
      </c>
      <c r="L111" s="17" t="s">
        <v>27</v>
      </c>
      <c r="M111" s="19" t="s">
        <v>28</v>
      </c>
      <c r="N111" s="25"/>
      <c r="O111" s="22" t="s">
        <v>633</v>
      </c>
      <c r="P111" s="22"/>
      <c r="Q111" s="31">
        <f t="shared" si="3"/>
        <v>0</v>
      </c>
      <c r="R111" s="32" t="str">
        <f t="shared" si="7"/>
        <v>P02.003</v>
      </c>
    </row>
    <row r="112" ht="26.4" spans="1:18">
      <c r="A112" s="18"/>
      <c r="B112" s="18"/>
      <c r="C112" s="18"/>
      <c r="D112" s="17">
        <f t="shared" si="6"/>
        <v>516</v>
      </c>
      <c r="E112" s="19" t="s">
        <v>29</v>
      </c>
      <c r="F112" s="22" t="s">
        <v>634</v>
      </c>
      <c r="G112" s="21" t="s">
        <v>23</v>
      </c>
      <c r="H112" s="21" t="s">
        <v>23</v>
      </c>
      <c r="I112" s="21" t="s">
        <v>40</v>
      </c>
      <c r="J112" s="17" t="s">
        <v>25</v>
      </c>
      <c r="K112" s="17" t="s">
        <v>69</v>
      </c>
      <c r="L112" s="17" t="s">
        <v>27</v>
      </c>
      <c r="M112" s="19" t="s">
        <v>28</v>
      </c>
      <c r="N112" s="17"/>
      <c r="O112" s="22" t="s">
        <v>635</v>
      </c>
      <c r="P112" s="25" t="s">
        <v>636</v>
      </c>
      <c r="Q112" s="31">
        <f t="shared" si="3"/>
        <v>0</v>
      </c>
      <c r="R112" s="32" t="str">
        <f t="shared" si="7"/>
        <v>P02.004</v>
      </c>
    </row>
    <row r="113" ht="26.4" spans="1:18">
      <c r="A113" s="18"/>
      <c r="B113" s="18"/>
      <c r="C113" s="18"/>
      <c r="D113" s="17">
        <f t="shared" si="6"/>
        <v>517</v>
      </c>
      <c r="E113" s="19" t="s">
        <v>29</v>
      </c>
      <c r="F113" s="22" t="s">
        <v>637</v>
      </c>
      <c r="G113" s="21" t="s">
        <v>23</v>
      </c>
      <c r="H113" s="21" t="s">
        <v>23</v>
      </c>
      <c r="I113" s="21" t="s">
        <v>40</v>
      </c>
      <c r="J113" s="17" t="s">
        <v>25</v>
      </c>
      <c r="K113" s="17" t="s">
        <v>69</v>
      </c>
      <c r="L113" s="17" t="s">
        <v>27</v>
      </c>
      <c r="M113" s="19" t="s">
        <v>28</v>
      </c>
      <c r="N113" s="17"/>
      <c r="O113" s="22" t="s">
        <v>638</v>
      </c>
      <c r="P113" s="25" t="s">
        <v>639</v>
      </c>
      <c r="Q113" s="31">
        <f t="shared" si="3"/>
        <v>0</v>
      </c>
      <c r="R113" s="32" t="str">
        <f t="shared" si="7"/>
        <v>P02.005</v>
      </c>
    </row>
    <row r="114" spans="1:18">
      <c r="A114" s="18"/>
      <c r="B114" s="18"/>
      <c r="C114" s="18"/>
      <c r="D114" s="17">
        <f t="shared" si="6"/>
        <v>518</v>
      </c>
      <c r="E114" s="19" t="s">
        <v>20</v>
      </c>
      <c r="F114" s="22" t="s">
        <v>640</v>
      </c>
      <c r="G114" s="21" t="s">
        <v>23</v>
      </c>
      <c r="H114" s="21" t="s">
        <v>23</v>
      </c>
      <c r="I114" s="21" t="s">
        <v>24</v>
      </c>
      <c r="J114" s="17" t="s">
        <v>25</v>
      </c>
      <c r="K114" s="17" t="s">
        <v>63</v>
      </c>
      <c r="L114" s="17" t="s">
        <v>32</v>
      </c>
      <c r="M114" s="19" t="s">
        <v>28</v>
      </c>
      <c r="N114" s="25"/>
      <c r="O114" s="22" t="s">
        <v>641</v>
      </c>
      <c r="P114" s="22" t="s">
        <v>642</v>
      </c>
      <c r="Q114" s="31">
        <f t="shared" si="3"/>
        <v>1</v>
      </c>
      <c r="R114" s="32" t="str">
        <f t="shared" si="7"/>
        <v>P02.006</v>
      </c>
    </row>
    <row r="115" spans="1:18">
      <c r="A115" s="18"/>
      <c r="B115" s="18"/>
      <c r="C115" s="18"/>
      <c r="D115" s="17">
        <f t="shared" si="6"/>
        <v>520</v>
      </c>
      <c r="E115" s="19" t="s">
        <v>20</v>
      </c>
      <c r="F115" s="22" t="s">
        <v>643</v>
      </c>
      <c r="G115" s="21" t="s">
        <v>23</v>
      </c>
      <c r="H115" s="21" t="s">
        <v>23</v>
      </c>
      <c r="I115" s="21" t="s">
        <v>24</v>
      </c>
      <c r="J115" s="17" t="s">
        <v>25</v>
      </c>
      <c r="K115" s="17" t="s">
        <v>26</v>
      </c>
      <c r="L115" s="17" t="s">
        <v>32</v>
      </c>
      <c r="M115" s="19" t="s">
        <v>28</v>
      </c>
      <c r="N115" s="25"/>
      <c r="O115" s="22" t="s">
        <v>644</v>
      </c>
      <c r="P115" s="22" t="s">
        <v>642</v>
      </c>
      <c r="Q115" s="31">
        <f t="shared" si="3"/>
        <v>1</v>
      </c>
      <c r="R115" s="32" t="str">
        <f t="shared" si="7"/>
        <v>P02.008</v>
      </c>
    </row>
    <row r="116" spans="1:18">
      <c r="A116" s="18"/>
      <c r="B116" s="18"/>
      <c r="C116" s="18"/>
      <c r="D116" s="17">
        <f t="shared" si="6"/>
        <v>522</v>
      </c>
      <c r="E116" s="19" t="s">
        <v>29</v>
      </c>
      <c r="F116" s="22" t="s">
        <v>645</v>
      </c>
      <c r="G116" s="21" t="s">
        <v>23</v>
      </c>
      <c r="H116" s="21" t="s">
        <v>23</v>
      </c>
      <c r="I116" s="21" t="s">
        <v>30</v>
      </c>
      <c r="J116" s="17" t="s">
        <v>25</v>
      </c>
      <c r="K116" s="17" t="s">
        <v>63</v>
      </c>
      <c r="L116" s="17" t="s">
        <v>27</v>
      </c>
      <c r="M116" s="19" t="s">
        <v>646</v>
      </c>
      <c r="N116" s="25"/>
      <c r="O116" s="22" t="s">
        <v>647</v>
      </c>
      <c r="P116" s="22"/>
      <c r="Q116" s="31">
        <f t="shared" si="3"/>
        <v>1</v>
      </c>
      <c r="R116" s="32" t="str">
        <f t="shared" si="7"/>
        <v>P02.010</v>
      </c>
    </row>
    <row r="117" spans="1:18">
      <c r="A117" s="18"/>
      <c r="B117" s="18"/>
      <c r="C117" s="18"/>
      <c r="D117" s="17">
        <f t="shared" si="6"/>
        <v>523</v>
      </c>
      <c r="E117" s="19" t="s">
        <v>29</v>
      </c>
      <c r="F117" s="20"/>
      <c r="G117" s="21" t="s">
        <v>23</v>
      </c>
      <c r="H117" s="21" t="s">
        <v>23</v>
      </c>
      <c r="I117" s="21" t="s">
        <v>30</v>
      </c>
      <c r="J117" s="17" t="s">
        <v>25</v>
      </c>
      <c r="K117" s="17" t="s">
        <v>26</v>
      </c>
      <c r="L117" s="17" t="s">
        <v>32</v>
      </c>
      <c r="M117" s="19" t="s">
        <v>28</v>
      </c>
      <c r="N117" s="25"/>
      <c r="O117" s="22"/>
      <c r="P117" s="22"/>
      <c r="Q117" s="31">
        <f t="shared" si="3"/>
        <v>1</v>
      </c>
      <c r="R117" s="32" t="str">
        <f t="shared" si="7"/>
        <v>P02.011</v>
      </c>
    </row>
    <row r="118" spans="1:18">
      <c r="A118" s="18"/>
      <c r="B118" s="18"/>
      <c r="C118" s="18"/>
      <c r="D118" s="17">
        <f t="shared" si="6"/>
        <v>524</v>
      </c>
      <c r="E118" s="19" t="s">
        <v>29</v>
      </c>
      <c r="F118" s="20"/>
      <c r="G118" s="21" t="s">
        <v>23</v>
      </c>
      <c r="H118" s="21" t="s">
        <v>23</v>
      </c>
      <c r="I118" s="21" t="s">
        <v>30</v>
      </c>
      <c r="J118" s="17" t="s">
        <v>25</v>
      </c>
      <c r="K118" s="17" t="s">
        <v>26</v>
      </c>
      <c r="L118" s="17" t="s">
        <v>32</v>
      </c>
      <c r="M118" s="19" t="s">
        <v>28</v>
      </c>
      <c r="N118" s="17"/>
      <c r="O118" s="22"/>
      <c r="P118" s="22"/>
      <c r="Q118" s="31">
        <f t="shared" si="3"/>
        <v>1</v>
      </c>
      <c r="R118" s="32" t="str">
        <f t="shared" ref="R118:R181" si="8">"P"&amp;TEXT(INT(D118/256),"00")&amp;"."&amp;TEXT(MOD(D118,256),"000")</f>
        <v>P02.012</v>
      </c>
    </row>
    <row r="119" spans="1:18">
      <c r="A119" s="18"/>
      <c r="B119" s="18"/>
      <c r="C119" s="18"/>
      <c r="D119" s="17">
        <f t="shared" si="6"/>
        <v>525</v>
      </c>
      <c r="E119" s="19" t="s">
        <v>29</v>
      </c>
      <c r="F119" s="20"/>
      <c r="G119" s="21" t="s">
        <v>23</v>
      </c>
      <c r="H119" s="21" t="s">
        <v>23</v>
      </c>
      <c r="I119" s="21" t="s">
        <v>30</v>
      </c>
      <c r="J119" s="17" t="s">
        <v>25</v>
      </c>
      <c r="K119" s="17" t="s">
        <v>26</v>
      </c>
      <c r="L119" s="17" t="s">
        <v>32</v>
      </c>
      <c r="M119" s="19" t="s">
        <v>28</v>
      </c>
      <c r="N119" s="17"/>
      <c r="O119" s="22"/>
      <c r="P119" s="22"/>
      <c r="Q119" s="31">
        <f t="shared" si="3"/>
        <v>1</v>
      </c>
      <c r="R119" s="32" t="str">
        <f t="shared" si="8"/>
        <v>P02.013</v>
      </c>
    </row>
    <row r="120" spans="1:18">
      <c r="A120" s="18"/>
      <c r="B120" s="18"/>
      <c r="C120" s="18"/>
      <c r="D120" s="17">
        <f t="shared" si="6"/>
        <v>526</v>
      </c>
      <c r="E120" s="19" t="s">
        <v>29</v>
      </c>
      <c r="F120" s="20"/>
      <c r="G120" s="21" t="s">
        <v>23</v>
      </c>
      <c r="H120" s="21" t="s">
        <v>23</v>
      </c>
      <c r="I120" s="21" t="s">
        <v>30</v>
      </c>
      <c r="J120" s="17" t="s">
        <v>25</v>
      </c>
      <c r="K120" s="17" t="s">
        <v>26</v>
      </c>
      <c r="L120" s="17" t="s">
        <v>32</v>
      </c>
      <c r="M120" s="19" t="s">
        <v>28</v>
      </c>
      <c r="N120" s="17"/>
      <c r="O120" s="22"/>
      <c r="P120" s="22"/>
      <c r="Q120" s="31">
        <f t="shared" si="3"/>
        <v>1</v>
      </c>
      <c r="R120" s="32" t="str">
        <f t="shared" si="8"/>
        <v>P02.014</v>
      </c>
    </row>
    <row r="121" spans="1:18">
      <c r="A121" s="18"/>
      <c r="B121" s="18"/>
      <c r="C121" s="18"/>
      <c r="D121" s="17">
        <f t="shared" si="6"/>
        <v>527</v>
      </c>
      <c r="E121" s="19" t="s">
        <v>29</v>
      </c>
      <c r="F121" s="20"/>
      <c r="G121" s="21" t="s">
        <v>23</v>
      </c>
      <c r="H121" s="21" t="s">
        <v>23</v>
      </c>
      <c r="I121" s="21" t="s">
        <v>30</v>
      </c>
      <c r="J121" s="17" t="s">
        <v>25</v>
      </c>
      <c r="K121" s="17" t="s">
        <v>26</v>
      </c>
      <c r="L121" s="17" t="s">
        <v>32</v>
      </c>
      <c r="M121" s="19" t="s">
        <v>28</v>
      </c>
      <c r="N121" s="17"/>
      <c r="O121" s="22"/>
      <c r="P121" s="22"/>
      <c r="Q121" s="31">
        <f t="shared" si="3"/>
        <v>1</v>
      </c>
      <c r="R121" s="32" t="str">
        <f t="shared" si="8"/>
        <v>P02.015</v>
      </c>
    </row>
    <row r="122" spans="1:18">
      <c r="A122" s="18"/>
      <c r="B122" s="18"/>
      <c r="C122" s="18"/>
      <c r="D122" s="17">
        <f t="shared" si="6"/>
        <v>528</v>
      </c>
      <c r="E122" s="19" t="s">
        <v>29</v>
      </c>
      <c r="F122" s="20"/>
      <c r="G122" s="21" t="s">
        <v>23</v>
      </c>
      <c r="H122" s="21" t="s">
        <v>23</v>
      </c>
      <c r="I122" s="21" t="s">
        <v>30</v>
      </c>
      <c r="J122" s="17" t="s">
        <v>25</v>
      </c>
      <c r="K122" s="17" t="s">
        <v>26</v>
      </c>
      <c r="L122" s="17" t="s">
        <v>32</v>
      </c>
      <c r="M122" s="19" t="s">
        <v>28</v>
      </c>
      <c r="N122" s="17"/>
      <c r="O122" s="22"/>
      <c r="P122" s="22"/>
      <c r="Q122" s="31">
        <f t="shared" si="3"/>
        <v>1</v>
      </c>
      <c r="R122" s="32" t="str">
        <f t="shared" si="8"/>
        <v>P02.016</v>
      </c>
    </row>
    <row r="123" spans="1:18">
      <c r="A123" s="18"/>
      <c r="B123" s="18"/>
      <c r="C123" s="18"/>
      <c r="D123" s="17">
        <f t="shared" si="6"/>
        <v>529</v>
      </c>
      <c r="E123" s="19" t="s">
        <v>29</v>
      </c>
      <c r="F123" s="20"/>
      <c r="G123" s="21" t="s">
        <v>23</v>
      </c>
      <c r="H123" s="21" t="s">
        <v>23</v>
      </c>
      <c r="I123" s="21" t="s">
        <v>30</v>
      </c>
      <c r="J123" s="17" t="s">
        <v>25</v>
      </c>
      <c r="K123" s="17" t="s">
        <v>26</v>
      </c>
      <c r="L123" s="17" t="s">
        <v>32</v>
      </c>
      <c r="M123" s="19" t="s">
        <v>28</v>
      </c>
      <c r="N123" s="17"/>
      <c r="O123" s="22"/>
      <c r="P123" s="22"/>
      <c r="Q123" s="31">
        <f t="shared" si="3"/>
        <v>1</v>
      </c>
      <c r="R123" s="32" t="str">
        <f t="shared" si="8"/>
        <v>P02.017</v>
      </c>
    </row>
    <row r="124" spans="1:18">
      <c r="A124" s="18"/>
      <c r="B124" s="18"/>
      <c r="C124" s="18"/>
      <c r="D124" s="17">
        <f t="shared" si="6"/>
        <v>530</v>
      </c>
      <c r="E124" s="19" t="s">
        <v>29</v>
      </c>
      <c r="F124" s="20"/>
      <c r="G124" s="21" t="s">
        <v>23</v>
      </c>
      <c r="H124" s="21" t="s">
        <v>23</v>
      </c>
      <c r="I124" s="21" t="s">
        <v>30</v>
      </c>
      <c r="J124" s="17" t="s">
        <v>25</v>
      </c>
      <c r="K124" s="17" t="s">
        <v>26</v>
      </c>
      <c r="L124" s="17" t="s">
        <v>32</v>
      </c>
      <c r="M124" s="19" t="s">
        <v>28</v>
      </c>
      <c r="N124" s="17"/>
      <c r="O124" s="22"/>
      <c r="P124" s="22"/>
      <c r="Q124" s="31">
        <f t="shared" si="3"/>
        <v>1</v>
      </c>
      <c r="R124" s="32" t="str">
        <f t="shared" si="8"/>
        <v>P02.018</v>
      </c>
    </row>
    <row r="125" spans="1:18">
      <c r="A125" s="18"/>
      <c r="B125" s="18"/>
      <c r="C125" s="18"/>
      <c r="D125" s="17">
        <f t="shared" si="6"/>
        <v>531</v>
      </c>
      <c r="E125" s="19" t="s">
        <v>29</v>
      </c>
      <c r="F125" s="20"/>
      <c r="G125" s="21" t="s">
        <v>23</v>
      </c>
      <c r="H125" s="21" t="s">
        <v>23</v>
      </c>
      <c r="I125" s="21" t="s">
        <v>30</v>
      </c>
      <c r="J125" s="17" t="s">
        <v>25</v>
      </c>
      <c r="K125" s="17" t="s">
        <v>26</v>
      </c>
      <c r="L125" s="17" t="s">
        <v>32</v>
      </c>
      <c r="M125" s="19" t="s">
        <v>28</v>
      </c>
      <c r="N125" s="17"/>
      <c r="O125" s="22"/>
      <c r="P125" s="22"/>
      <c r="Q125" s="31">
        <f t="shared" si="3"/>
        <v>1</v>
      </c>
      <c r="R125" s="32" t="str">
        <f t="shared" si="8"/>
        <v>P02.019</v>
      </c>
    </row>
    <row r="126" spans="1:18">
      <c r="A126" s="18"/>
      <c r="B126" s="18"/>
      <c r="C126" s="18"/>
      <c r="D126" s="17">
        <f t="shared" si="6"/>
        <v>532</v>
      </c>
      <c r="E126" s="19" t="s">
        <v>29</v>
      </c>
      <c r="F126" s="20"/>
      <c r="G126" s="21" t="s">
        <v>23</v>
      </c>
      <c r="H126" s="21" t="s">
        <v>23</v>
      </c>
      <c r="I126" s="21" t="s">
        <v>30</v>
      </c>
      <c r="J126" s="17" t="s">
        <v>25</v>
      </c>
      <c r="K126" s="17" t="s">
        <v>26</v>
      </c>
      <c r="L126" s="17" t="s">
        <v>32</v>
      </c>
      <c r="M126" s="19" t="s">
        <v>28</v>
      </c>
      <c r="N126" s="17"/>
      <c r="O126" s="22"/>
      <c r="P126" s="22"/>
      <c r="Q126" s="31">
        <f t="shared" si="3"/>
        <v>1</v>
      </c>
      <c r="R126" s="32" t="str">
        <f t="shared" si="8"/>
        <v>P02.020</v>
      </c>
    </row>
    <row r="127" spans="1:18">
      <c r="A127" s="18"/>
      <c r="B127" s="18"/>
      <c r="C127" s="18"/>
      <c r="D127" s="17">
        <f t="shared" si="6"/>
        <v>533</v>
      </c>
      <c r="E127" s="19" t="s">
        <v>29</v>
      </c>
      <c r="F127" s="20"/>
      <c r="G127" s="21" t="s">
        <v>23</v>
      </c>
      <c r="H127" s="21" t="s">
        <v>23</v>
      </c>
      <c r="I127" s="21" t="s">
        <v>30</v>
      </c>
      <c r="J127" s="17" t="s">
        <v>25</v>
      </c>
      <c r="K127" s="17" t="s">
        <v>26</v>
      </c>
      <c r="L127" s="17" t="s">
        <v>32</v>
      </c>
      <c r="M127" s="19" t="s">
        <v>28</v>
      </c>
      <c r="N127" s="17"/>
      <c r="O127" s="22"/>
      <c r="P127" s="22"/>
      <c r="Q127" s="31">
        <f t="shared" si="3"/>
        <v>1</v>
      </c>
      <c r="R127" s="32" t="str">
        <f t="shared" si="8"/>
        <v>P02.021</v>
      </c>
    </row>
    <row r="128" spans="1:18">
      <c r="A128" s="18"/>
      <c r="B128" s="18"/>
      <c r="C128" s="18"/>
      <c r="D128" s="17">
        <f t="shared" si="6"/>
        <v>534</v>
      </c>
      <c r="E128" s="19" t="s">
        <v>29</v>
      </c>
      <c r="F128" s="20"/>
      <c r="G128" s="21" t="s">
        <v>23</v>
      </c>
      <c r="H128" s="21" t="s">
        <v>23</v>
      </c>
      <c r="I128" s="21" t="s">
        <v>30</v>
      </c>
      <c r="J128" s="17" t="s">
        <v>25</v>
      </c>
      <c r="K128" s="17" t="s">
        <v>26</v>
      </c>
      <c r="L128" s="17" t="s">
        <v>32</v>
      </c>
      <c r="M128" s="19" t="s">
        <v>28</v>
      </c>
      <c r="N128" s="17"/>
      <c r="O128" s="22"/>
      <c r="P128" s="22"/>
      <c r="Q128" s="31">
        <f t="shared" si="3"/>
        <v>1</v>
      </c>
      <c r="R128" s="32" t="str">
        <f t="shared" si="8"/>
        <v>P02.022</v>
      </c>
    </row>
    <row r="129" spans="1:18">
      <c r="A129" s="18"/>
      <c r="B129" s="18"/>
      <c r="C129" s="18"/>
      <c r="D129" s="17">
        <f t="shared" si="6"/>
        <v>535</v>
      </c>
      <c r="E129" s="19" t="s">
        <v>29</v>
      </c>
      <c r="F129" s="20"/>
      <c r="G129" s="21" t="s">
        <v>23</v>
      </c>
      <c r="H129" s="21" t="s">
        <v>23</v>
      </c>
      <c r="I129" s="21" t="s">
        <v>30</v>
      </c>
      <c r="J129" s="17" t="s">
        <v>25</v>
      </c>
      <c r="K129" s="17" t="s">
        <v>26</v>
      </c>
      <c r="L129" s="17" t="s">
        <v>32</v>
      </c>
      <c r="M129" s="19" t="s">
        <v>28</v>
      </c>
      <c r="N129" s="17"/>
      <c r="O129" s="22"/>
      <c r="P129" s="22"/>
      <c r="Q129" s="31">
        <f t="shared" si="3"/>
        <v>1</v>
      </c>
      <c r="R129" s="32" t="str">
        <f t="shared" si="8"/>
        <v>P02.023</v>
      </c>
    </row>
    <row r="130" spans="1:18">
      <c r="A130" s="18"/>
      <c r="B130" s="18"/>
      <c r="C130" s="18"/>
      <c r="D130" s="17">
        <f t="shared" si="6"/>
        <v>536</v>
      </c>
      <c r="E130" s="19" t="s">
        <v>29</v>
      </c>
      <c r="F130" s="20"/>
      <c r="G130" s="21" t="s">
        <v>23</v>
      </c>
      <c r="H130" s="21" t="s">
        <v>23</v>
      </c>
      <c r="I130" s="21" t="s">
        <v>30</v>
      </c>
      <c r="J130" s="17" t="s">
        <v>25</v>
      </c>
      <c r="K130" s="17" t="s">
        <v>26</v>
      </c>
      <c r="L130" s="17" t="s">
        <v>32</v>
      </c>
      <c r="M130" s="19" t="s">
        <v>28</v>
      </c>
      <c r="N130" s="17"/>
      <c r="O130" s="22"/>
      <c r="P130" s="22"/>
      <c r="Q130" s="31">
        <f t="shared" si="3"/>
        <v>1</v>
      </c>
      <c r="R130" s="32" t="str">
        <f t="shared" si="8"/>
        <v>P02.024</v>
      </c>
    </row>
    <row r="131" spans="1:18">
      <c r="A131" s="18"/>
      <c r="B131" s="18"/>
      <c r="C131" s="18"/>
      <c r="D131" s="17">
        <f t="shared" si="6"/>
        <v>537</v>
      </c>
      <c r="E131" s="19" t="s">
        <v>29</v>
      </c>
      <c r="F131" s="20"/>
      <c r="G131" s="21" t="s">
        <v>23</v>
      </c>
      <c r="H131" s="21" t="s">
        <v>23</v>
      </c>
      <c r="I131" s="21" t="s">
        <v>30</v>
      </c>
      <c r="J131" s="17" t="s">
        <v>25</v>
      </c>
      <c r="K131" s="17" t="s">
        <v>26</v>
      </c>
      <c r="L131" s="17" t="s">
        <v>32</v>
      </c>
      <c r="M131" s="19" t="s">
        <v>28</v>
      </c>
      <c r="N131" s="17"/>
      <c r="O131" s="22"/>
      <c r="P131" s="22"/>
      <c r="Q131" s="31">
        <f t="shared" si="3"/>
        <v>1</v>
      </c>
      <c r="R131" s="32" t="str">
        <f t="shared" si="8"/>
        <v>P02.025</v>
      </c>
    </row>
    <row r="132" spans="1:18">
      <c r="A132" s="18"/>
      <c r="B132" s="18"/>
      <c r="C132" s="18"/>
      <c r="D132" s="17">
        <f t="shared" si="6"/>
        <v>538</v>
      </c>
      <c r="E132" s="19" t="s">
        <v>29</v>
      </c>
      <c r="F132" s="20"/>
      <c r="G132" s="21" t="s">
        <v>23</v>
      </c>
      <c r="H132" s="21" t="s">
        <v>23</v>
      </c>
      <c r="I132" s="21" t="s">
        <v>30</v>
      </c>
      <c r="J132" s="17" t="s">
        <v>25</v>
      </c>
      <c r="K132" s="17" t="s">
        <v>26</v>
      </c>
      <c r="L132" s="17" t="s">
        <v>32</v>
      </c>
      <c r="M132" s="19" t="s">
        <v>28</v>
      </c>
      <c r="N132" s="17"/>
      <c r="O132" s="22"/>
      <c r="P132" s="22"/>
      <c r="Q132" s="31">
        <f t="shared" si="3"/>
        <v>1</v>
      </c>
      <c r="R132" s="32" t="str">
        <f t="shared" si="8"/>
        <v>P02.026</v>
      </c>
    </row>
    <row r="133" spans="1:18">
      <c r="A133" s="18"/>
      <c r="B133" s="18"/>
      <c r="C133" s="18"/>
      <c r="D133" s="17">
        <f t="shared" si="6"/>
        <v>539</v>
      </c>
      <c r="E133" s="19" t="s">
        <v>29</v>
      </c>
      <c r="F133" s="20"/>
      <c r="G133" s="21" t="s">
        <v>23</v>
      </c>
      <c r="H133" s="21" t="s">
        <v>23</v>
      </c>
      <c r="I133" s="21" t="s">
        <v>30</v>
      </c>
      <c r="J133" s="17" t="s">
        <v>25</v>
      </c>
      <c r="K133" s="17" t="s">
        <v>26</v>
      </c>
      <c r="L133" s="17" t="s">
        <v>32</v>
      </c>
      <c r="M133" s="19" t="s">
        <v>28</v>
      </c>
      <c r="N133" s="17"/>
      <c r="O133" s="22"/>
      <c r="P133" s="22"/>
      <c r="Q133" s="31">
        <f t="shared" si="3"/>
        <v>1</v>
      </c>
      <c r="R133" s="32" t="str">
        <f t="shared" si="8"/>
        <v>P02.027</v>
      </c>
    </row>
    <row r="134" spans="1:18">
      <c r="A134" s="18"/>
      <c r="B134" s="18"/>
      <c r="C134" s="18"/>
      <c r="D134" s="17">
        <f t="shared" si="6"/>
        <v>540</v>
      </c>
      <c r="E134" s="19" t="s">
        <v>29</v>
      </c>
      <c r="F134" s="20"/>
      <c r="G134" s="21" t="s">
        <v>23</v>
      </c>
      <c r="H134" s="21" t="s">
        <v>23</v>
      </c>
      <c r="I134" s="21" t="s">
        <v>30</v>
      </c>
      <c r="J134" s="17" t="s">
        <v>25</v>
      </c>
      <c r="K134" s="17" t="s">
        <v>26</v>
      </c>
      <c r="L134" s="17" t="s">
        <v>32</v>
      </c>
      <c r="M134" s="19" t="s">
        <v>28</v>
      </c>
      <c r="N134" s="17"/>
      <c r="O134" s="22"/>
      <c r="P134" s="22"/>
      <c r="Q134" s="31">
        <f t="shared" ref="Q134:Q197" si="9">IF(OR(F134="",LEFT(TRIM(F134),3)=E134),1,0)</f>
        <v>1</v>
      </c>
      <c r="R134" s="32" t="str">
        <f t="shared" si="8"/>
        <v>P02.028</v>
      </c>
    </row>
    <row r="135" spans="1:18">
      <c r="A135" s="18"/>
      <c r="B135" s="18"/>
      <c r="C135" s="18"/>
      <c r="D135" s="17">
        <f t="shared" si="6"/>
        <v>541</v>
      </c>
      <c r="E135" s="19" t="s">
        <v>29</v>
      </c>
      <c r="F135" s="20"/>
      <c r="G135" s="21" t="s">
        <v>23</v>
      </c>
      <c r="H135" s="21" t="s">
        <v>23</v>
      </c>
      <c r="I135" s="21" t="s">
        <v>30</v>
      </c>
      <c r="J135" s="17" t="s">
        <v>25</v>
      </c>
      <c r="K135" s="17" t="s">
        <v>26</v>
      </c>
      <c r="L135" s="17" t="s">
        <v>32</v>
      </c>
      <c r="M135" s="19" t="s">
        <v>28</v>
      </c>
      <c r="N135" s="17"/>
      <c r="O135" s="22"/>
      <c r="P135" s="22"/>
      <c r="Q135" s="31">
        <f t="shared" si="9"/>
        <v>1</v>
      </c>
      <c r="R135" s="32" t="str">
        <f t="shared" si="8"/>
        <v>P02.029</v>
      </c>
    </row>
    <row r="136" spans="1:18">
      <c r="A136" s="18"/>
      <c r="B136" s="18"/>
      <c r="C136" s="18"/>
      <c r="D136" s="17">
        <f t="shared" si="6"/>
        <v>542</v>
      </c>
      <c r="E136" s="19" t="s">
        <v>29</v>
      </c>
      <c r="F136" s="20"/>
      <c r="G136" s="21" t="s">
        <v>23</v>
      </c>
      <c r="H136" s="21" t="s">
        <v>23</v>
      </c>
      <c r="I136" s="21" t="s">
        <v>30</v>
      </c>
      <c r="J136" s="17" t="s">
        <v>25</v>
      </c>
      <c r="K136" s="17" t="s">
        <v>26</v>
      </c>
      <c r="L136" s="17" t="s">
        <v>32</v>
      </c>
      <c r="M136" s="19" t="s">
        <v>28</v>
      </c>
      <c r="N136" s="17"/>
      <c r="O136" s="22"/>
      <c r="P136" s="22"/>
      <c r="Q136" s="31">
        <f t="shared" si="9"/>
        <v>1</v>
      </c>
      <c r="R136" s="32" t="str">
        <f t="shared" si="8"/>
        <v>P02.030</v>
      </c>
    </row>
    <row r="137" spans="1:18">
      <c r="A137" s="18"/>
      <c r="B137" s="18"/>
      <c r="C137" s="18"/>
      <c r="D137" s="17">
        <f t="shared" si="6"/>
        <v>543</v>
      </c>
      <c r="E137" s="19" t="s">
        <v>29</v>
      </c>
      <c r="F137" s="20"/>
      <c r="G137" s="21" t="s">
        <v>23</v>
      </c>
      <c r="H137" s="21" t="s">
        <v>23</v>
      </c>
      <c r="I137" s="21" t="s">
        <v>30</v>
      </c>
      <c r="J137" s="17" t="s">
        <v>25</v>
      </c>
      <c r="K137" s="17" t="s">
        <v>26</v>
      </c>
      <c r="L137" s="17" t="s">
        <v>32</v>
      </c>
      <c r="M137" s="19" t="s">
        <v>28</v>
      </c>
      <c r="N137" s="17"/>
      <c r="O137" s="22"/>
      <c r="P137" s="22"/>
      <c r="Q137" s="31">
        <f t="shared" si="9"/>
        <v>1</v>
      </c>
      <c r="R137" s="32" t="str">
        <f t="shared" si="8"/>
        <v>P02.031</v>
      </c>
    </row>
    <row r="138" spans="1:18">
      <c r="A138" s="18"/>
      <c r="B138" s="18"/>
      <c r="C138" s="18"/>
      <c r="D138" s="17">
        <f t="shared" si="6"/>
        <v>544</v>
      </c>
      <c r="E138" s="19" t="s">
        <v>29</v>
      </c>
      <c r="F138" s="20"/>
      <c r="G138" s="21" t="s">
        <v>23</v>
      </c>
      <c r="H138" s="21" t="s">
        <v>23</v>
      </c>
      <c r="I138" s="21" t="s">
        <v>30</v>
      </c>
      <c r="J138" s="17" t="s">
        <v>25</v>
      </c>
      <c r="K138" s="17" t="s">
        <v>26</v>
      </c>
      <c r="L138" s="17" t="s">
        <v>32</v>
      </c>
      <c r="M138" s="19" t="s">
        <v>28</v>
      </c>
      <c r="N138" s="17"/>
      <c r="O138" s="22"/>
      <c r="P138" s="22"/>
      <c r="Q138" s="31">
        <f t="shared" si="9"/>
        <v>1</v>
      </c>
      <c r="R138" s="32" t="str">
        <f t="shared" si="8"/>
        <v>P02.032</v>
      </c>
    </row>
    <row r="139" spans="1:18">
      <c r="A139" s="18"/>
      <c r="B139" s="18"/>
      <c r="C139" s="18"/>
      <c r="D139" s="17">
        <f t="shared" si="6"/>
        <v>545</v>
      </c>
      <c r="E139" s="19" t="s">
        <v>29</v>
      </c>
      <c r="F139" s="20"/>
      <c r="G139" s="21" t="s">
        <v>23</v>
      </c>
      <c r="H139" s="21" t="s">
        <v>23</v>
      </c>
      <c r="I139" s="21" t="s">
        <v>30</v>
      </c>
      <c r="J139" s="17" t="s">
        <v>25</v>
      </c>
      <c r="K139" s="17" t="s">
        <v>26</v>
      </c>
      <c r="L139" s="17" t="s">
        <v>32</v>
      </c>
      <c r="M139" s="19" t="s">
        <v>28</v>
      </c>
      <c r="N139" s="17"/>
      <c r="O139" s="22"/>
      <c r="P139" s="22"/>
      <c r="Q139" s="31">
        <f t="shared" si="9"/>
        <v>1</v>
      </c>
      <c r="R139" s="32" t="str">
        <f t="shared" si="8"/>
        <v>P02.033</v>
      </c>
    </row>
    <row r="140" spans="1:18">
      <c r="A140" s="18"/>
      <c r="B140" s="18"/>
      <c r="C140" s="18"/>
      <c r="D140" s="17">
        <f t="shared" si="6"/>
        <v>546</v>
      </c>
      <c r="E140" s="19" t="s">
        <v>29</v>
      </c>
      <c r="F140" s="20"/>
      <c r="G140" s="21" t="s">
        <v>23</v>
      </c>
      <c r="H140" s="21" t="s">
        <v>23</v>
      </c>
      <c r="I140" s="21" t="s">
        <v>30</v>
      </c>
      <c r="J140" s="17" t="s">
        <v>25</v>
      </c>
      <c r="K140" s="17" t="s">
        <v>26</v>
      </c>
      <c r="L140" s="17" t="s">
        <v>32</v>
      </c>
      <c r="M140" s="19" t="s">
        <v>28</v>
      </c>
      <c r="N140" s="17"/>
      <c r="O140" s="22"/>
      <c r="P140" s="22"/>
      <c r="Q140" s="31">
        <f t="shared" si="9"/>
        <v>1</v>
      </c>
      <c r="R140" s="32" t="str">
        <f t="shared" si="8"/>
        <v>P02.034</v>
      </c>
    </row>
    <row r="141" spans="1:18">
      <c r="A141" s="18"/>
      <c r="B141" s="18"/>
      <c r="C141" s="18"/>
      <c r="D141" s="17">
        <f t="shared" si="6"/>
        <v>547</v>
      </c>
      <c r="E141" s="19" t="s">
        <v>29</v>
      </c>
      <c r="F141" s="20"/>
      <c r="G141" s="21" t="s">
        <v>23</v>
      </c>
      <c r="H141" s="21" t="s">
        <v>23</v>
      </c>
      <c r="I141" s="21" t="s">
        <v>30</v>
      </c>
      <c r="J141" s="17" t="s">
        <v>25</v>
      </c>
      <c r="K141" s="17" t="s">
        <v>26</v>
      </c>
      <c r="L141" s="17" t="s">
        <v>32</v>
      </c>
      <c r="M141" s="19" t="s">
        <v>28</v>
      </c>
      <c r="N141" s="17"/>
      <c r="O141" s="22"/>
      <c r="P141" s="22"/>
      <c r="Q141" s="31">
        <f t="shared" si="9"/>
        <v>1</v>
      </c>
      <c r="R141" s="32" t="str">
        <f t="shared" si="8"/>
        <v>P02.035</v>
      </c>
    </row>
    <row r="142" spans="1:18">
      <c r="A142" s="18"/>
      <c r="B142" s="18"/>
      <c r="C142" s="18"/>
      <c r="D142" s="17">
        <f t="shared" si="6"/>
        <v>548</v>
      </c>
      <c r="E142" s="19" t="s">
        <v>29</v>
      </c>
      <c r="F142" s="20" t="s">
        <v>648</v>
      </c>
      <c r="G142" s="21" t="s">
        <v>23</v>
      </c>
      <c r="H142" s="21" t="s">
        <v>23</v>
      </c>
      <c r="I142" s="21" t="s">
        <v>40</v>
      </c>
      <c r="J142" s="17" t="s">
        <v>25</v>
      </c>
      <c r="K142" s="17" t="s">
        <v>63</v>
      </c>
      <c r="L142" s="17" t="s">
        <v>32</v>
      </c>
      <c r="M142" s="19" t="s">
        <v>28</v>
      </c>
      <c r="N142" s="22"/>
      <c r="O142" s="22" t="s">
        <v>649</v>
      </c>
      <c r="P142" s="22"/>
      <c r="Q142" s="31">
        <f t="shared" si="9"/>
        <v>1</v>
      </c>
      <c r="R142" s="32" t="str">
        <f t="shared" si="8"/>
        <v>P02.036</v>
      </c>
    </row>
    <row r="143" spans="1:18">
      <c r="A143" s="18"/>
      <c r="B143" s="18"/>
      <c r="C143" s="18"/>
      <c r="D143" s="17">
        <f t="shared" si="6"/>
        <v>549</v>
      </c>
      <c r="E143" s="19" t="s">
        <v>29</v>
      </c>
      <c r="F143" s="20" t="s">
        <v>650</v>
      </c>
      <c r="G143" s="21" t="s">
        <v>40</v>
      </c>
      <c r="H143" s="21" t="s">
        <v>172</v>
      </c>
      <c r="I143" s="21" t="s">
        <v>30</v>
      </c>
      <c r="J143" s="17" t="s">
        <v>25</v>
      </c>
      <c r="K143" s="17" t="s">
        <v>63</v>
      </c>
      <c r="L143" s="17" t="s">
        <v>27</v>
      </c>
      <c r="M143" s="19" t="s">
        <v>28</v>
      </c>
      <c r="N143" s="22"/>
      <c r="O143" s="22" t="s">
        <v>651</v>
      </c>
      <c r="P143" s="22"/>
      <c r="Q143" s="31">
        <f t="shared" si="9"/>
        <v>1</v>
      </c>
      <c r="R143" s="32" t="str">
        <f t="shared" si="8"/>
        <v>P02.037</v>
      </c>
    </row>
    <row r="144" spans="1:18">
      <c r="A144" s="18"/>
      <c r="B144" s="18"/>
      <c r="C144" s="18"/>
      <c r="D144" s="17">
        <f t="shared" si="6"/>
        <v>550</v>
      </c>
      <c r="E144" s="19" t="s">
        <v>92</v>
      </c>
      <c r="F144" s="20" t="s">
        <v>652</v>
      </c>
      <c r="G144" s="21" t="s">
        <v>23</v>
      </c>
      <c r="H144" s="21" t="s">
        <v>172</v>
      </c>
      <c r="I144" s="21" t="s">
        <v>30</v>
      </c>
      <c r="J144" s="17" t="s">
        <v>25</v>
      </c>
      <c r="K144" s="17" t="s">
        <v>63</v>
      </c>
      <c r="L144" s="17" t="s">
        <v>27</v>
      </c>
      <c r="M144" s="19" t="s">
        <v>28</v>
      </c>
      <c r="N144" s="22"/>
      <c r="O144" s="22" t="s">
        <v>653</v>
      </c>
      <c r="P144" s="22" t="s">
        <v>654</v>
      </c>
      <c r="Q144" s="31">
        <f t="shared" si="9"/>
        <v>0</v>
      </c>
      <c r="R144" s="32" t="str">
        <f t="shared" si="8"/>
        <v>P02.038</v>
      </c>
    </row>
    <row r="145" spans="1:18">
      <c r="A145" s="18"/>
      <c r="B145" s="18"/>
      <c r="C145" s="18"/>
      <c r="D145" s="17">
        <f t="shared" si="6"/>
        <v>551</v>
      </c>
      <c r="E145" s="19" t="s">
        <v>92</v>
      </c>
      <c r="F145" s="20" t="s">
        <v>655</v>
      </c>
      <c r="G145" s="21" t="s">
        <v>656</v>
      </c>
      <c r="H145" s="21" t="s">
        <v>94</v>
      </c>
      <c r="I145" s="21" t="s">
        <v>95</v>
      </c>
      <c r="J145" s="17" t="s">
        <v>420</v>
      </c>
      <c r="K145" s="17" t="s">
        <v>63</v>
      </c>
      <c r="L145" s="17" t="s">
        <v>27</v>
      </c>
      <c r="M145" s="19" t="s">
        <v>28</v>
      </c>
      <c r="N145" s="22"/>
      <c r="O145" s="22" t="s">
        <v>657</v>
      </c>
      <c r="P145" s="22" t="s">
        <v>658</v>
      </c>
      <c r="Q145" s="31">
        <f t="shared" si="9"/>
        <v>1</v>
      </c>
      <c r="R145" s="32" t="str">
        <f t="shared" si="8"/>
        <v>P02.039</v>
      </c>
    </row>
    <row r="146" spans="1:18">
      <c r="A146" s="18"/>
      <c r="B146" s="18"/>
      <c r="C146" s="18"/>
      <c r="D146" s="17">
        <f t="shared" si="6"/>
        <v>552</v>
      </c>
      <c r="E146" s="19" t="s">
        <v>92</v>
      </c>
      <c r="F146" s="20" t="s">
        <v>659</v>
      </c>
      <c r="G146" s="21" t="s">
        <v>89</v>
      </c>
      <c r="H146" s="21" t="s">
        <v>94</v>
      </c>
      <c r="I146" s="21" t="s">
        <v>95</v>
      </c>
      <c r="J146" s="17" t="s">
        <v>420</v>
      </c>
      <c r="K146" s="17" t="s">
        <v>63</v>
      </c>
      <c r="L146" s="17" t="s">
        <v>27</v>
      </c>
      <c r="M146" s="19" t="s">
        <v>28</v>
      </c>
      <c r="N146" s="22"/>
      <c r="O146" s="22" t="s">
        <v>660</v>
      </c>
      <c r="P146" s="22"/>
      <c r="Q146" s="31">
        <f t="shared" si="9"/>
        <v>1</v>
      </c>
      <c r="R146" s="32" t="str">
        <f t="shared" si="8"/>
        <v>P02.040</v>
      </c>
    </row>
    <row r="147" spans="1:18">
      <c r="A147" s="18"/>
      <c r="B147" s="18"/>
      <c r="C147" s="18"/>
      <c r="D147" s="17">
        <f t="shared" si="6"/>
        <v>553</v>
      </c>
      <c r="E147" s="19" t="s">
        <v>92</v>
      </c>
      <c r="F147" s="20" t="s">
        <v>661</v>
      </c>
      <c r="G147" s="21" t="s">
        <v>23</v>
      </c>
      <c r="H147" s="21" t="s">
        <v>94</v>
      </c>
      <c r="I147" s="21" t="s">
        <v>95</v>
      </c>
      <c r="J147" s="17" t="s">
        <v>420</v>
      </c>
      <c r="K147" s="17" t="s">
        <v>63</v>
      </c>
      <c r="L147" s="17" t="s">
        <v>27</v>
      </c>
      <c r="M147" s="19" t="s">
        <v>28</v>
      </c>
      <c r="N147" s="22"/>
      <c r="O147" s="22" t="s">
        <v>662</v>
      </c>
      <c r="P147" s="22"/>
      <c r="Q147" s="31">
        <f t="shared" si="9"/>
        <v>1</v>
      </c>
      <c r="R147" s="32" t="str">
        <f t="shared" si="8"/>
        <v>P02.041</v>
      </c>
    </row>
    <row r="148" spans="1:18">
      <c r="A148" s="18"/>
      <c r="B148" s="18"/>
      <c r="C148" s="18"/>
      <c r="D148" s="17">
        <f t="shared" si="6"/>
        <v>554</v>
      </c>
      <c r="E148" s="19" t="s">
        <v>29</v>
      </c>
      <c r="F148" s="20"/>
      <c r="G148" s="21" t="s">
        <v>23</v>
      </c>
      <c r="H148" s="21" t="s">
        <v>23</v>
      </c>
      <c r="I148" s="21" t="s">
        <v>30</v>
      </c>
      <c r="J148" s="17" t="s">
        <v>25</v>
      </c>
      <c r="K148" s="17" t="s">
        <v>26</v>
      </c>
      <c r="L148" s="17" t="s">
        <v>32</v>
      </c>
      <c r="M148" s="19" t="s">
        <v>28</v>
      </c>
      <c r="N148" s="22"/>
      <c r="O148" s="22"/>
      <c r="P148" s="22"/>
      <c r="Q148" s="31">
        <f t="shared" si="9"/>
        <v>1</v>
      </c>
      <c r="R148" s="32" t="str">
        <f t="shared" si="8"/>
        <v>P02.042</v>
      </c>
    </row>
    <row r="149" spans="1:18">
      <c r="A149" s="18"/>
      <c r="B149" s="18"/>
      <c r="C149" s="18"/>
      <c r="D149" s="17">
        <f t="shared" si="6"/>
        <v>555</v>
      </c>
      <c r="E149" s="19" t="s">
        <v>29</v>
      </c>
      <c r="F149" s="20" t="s">
        <v>663</v>
      </c>
      <c r="G149" s="21" t="s">
        <v>23</v>
      </c>
      <c r="H149" s="21" t="s">
        <v>23</v>
      </c>
      <c r="I149" s="21" t="s">
        <v>46</v>
      </c>
      <c r="J149" s="17" t="s">
        <v>25</v>
      </c>
      <c r="K149" s="17" t="s">
        <v>63</v>
      </c>
      <c r="L149" s="17" t="s">
        <v>32</v>
      </c>
      <c r="M149" s="19" t="s">
        <v>28</v>
      </c>
      <c r="N149" s="22"/>
      <c r="O149" s="22" t="s">
        <v>664</v>
      </c>
      <c r="P149" s="22" t="s">
        <v>665</v>
      </c>
      <c r="Q149" s="31">
        <f t="shared" si="9"/>
        <v>1</v>
      </c>
      <c r="R149" s="32" t="str">
        <f t="shared" si="8"/>
        <v>P02.043</v>
      </c>
    </row>
    <row r="150" ht="39.6" spans="1:18">
      <c r="A150" s="18"/>
      <c r="B150" s="18"/>
      <c r="C150" s="18"/>
      <c r="D150" s="17">
        <f t="shared" si="6"/>
        <v>556</v>
      </c>
      <c r="E150" s="19" t="s">
        <v>29</v>
      </c>
      <c r="F150" s="20" t="s">
        <v>666</v>
      </c>
      <c r="G150" s="21" t="s">
        <v>23</v>
      </c>
      <c r="H150" s="21" t="s">
        <v>23</v>
      </c>
      <c r="I150" s="21" t="s">
        <v>30</v>
      </c>
      <c r="J150" s="17" t="s">
        <v>25</v>
      </c>
      <c r="K150" s="17" t="s">
        <v>26</v>
      </c>
      <c r="L150" s="17" t="s">
        <v>32</v>
      </c>
      <c r="M150" s="19" t="s">
        <v>28</v>
      </c>
      <c r="N150" s="22"/>
      <c r="O150" s="22" t="s">
        <v>667</v>
      </c>
      <c r="P150" s="25" t="s">
        <v>668</v>
      </c>
      <c r="Q150" s="31">
        <f t="shared" si="9"/>
        <v>1</v>
      </c>
      <c r="R150" s="32" t="str">
        <f t="shared" si="8"/>
        <v>P02.044</v>
      </c>
    </row>
    <row r="151" spans="1:18">
      <c r="A151" s="18"/>
      <c r="B151" s="18"/>
      <c r="C151" s="18"/>
      <c r="D151" s="17">
        <f t="shared" si="6"/>
        <v>557</v>
      </c>
      <c r="E151" s="19" t="s">
        <v>29</v>
      </c>
      <c r="F151" s="20" t="s">
        <v>669</v>
      </c>
      <c r="G151" s="21" t="s">
        <v>23</v>
      </c>
      <c r="H151" s="21" t="s">
        <v>23</v>
      </c>
      <c r="I151" s="21" t="s">
        <v>30</v>
      </c>
      <c r="J151" s="17" t="s">
        <v>25</v>
      </c>
      <c r="K151" s="17" t="s">
        <v>26</v>
      </c>
      <c r="L151" s="17" t="s">
        <v>32</v>
      </c>
      <c r="M151" s="19" t="s">
        <v>28</v>
      </c>
      <c r="N151" s="22"/>
      <c r="O151" s="25" t="s">
        <v>670</v>
      </c>
      <c r="P151" s="25"/>
      <c r="Q151" s="31">
        <f t="shared" si="9"/>
        <v>1</v>
      </c>
      <c r="R151" s="32" t="str">
        <f t="shared" si="8"/>
        <v>P02.045</v>
      </c>
    </row>
    <row r="152" spans="1:18">
      <c r="A152" s="18"/>
      <c r="B152" s="18"/>
      <c r="C152" s="18"/>
      <c r="D152" s="17">
        <f t="shared" si="6"/>
        <v>558</v>
      </c>
      <c r="E152" s="19" t="s">
        <v>20</v>
      </c>
      <c r="F152" s="20" t="s">
        <v>671</v>
      </c>
      <c r="G152" s="21" t="s">
        <v>23</v>
      </c>
      <c r="H152" s="21" t="s">
        <v>23</v>
      </c>
      <c r="I152" s="21" t="s">
        <v>24</v>
      </c>
      <c r="J152" s="17" t="s">
        <v>25</v>
      </c>
      <c r="K152" s="17" t="s">
        <v>26</v>
      </c>
      <c r="L152" s="17" t="s">
        <v>32</v>
      </c>
      <c r="M152" s="19" t="s">
        <v>28</v>
      </c>
      <c r="N152" s="22"/>
      <c r="O152" s="25" t="s">
        <v>672</v>
      </c>
      <c r="P152" s="25"/>
      <c r="Q152" s="31">
        <f t="shared" si="9"/>
        <v>1</v>
      </c>
      <c r="R152" s="32" t="str">
        <f t="shared" si="8"/>
        <v>P02.046</v>
      </c>
    </row>
    <row r="153" spans="1:18">
      <c r="A153" s="18"/>
      <c r="B153" s="18"/>
      <c r="C153" s="18"/>
      <c r="D153" s="17">
        <f t="shared" si="6"/>
        <v>560</v>
      </c>
      <c r="E153" s="19" t="s">
        <v>20</v>
      </c>
      <c r="F153" s="20" t="s">
        <v>673</v>
      </c>
      <c r="G153" s="21" t="s">
        <v>23</v>
      </c>
      <c r="H153" s="21" t="s">
        <v>23</v>
      </c>
      <c r="I153" s="21" t="s">
        <v>24</v>
      </c>
      <c r="J153" s="17" t="s">
        <v>25</v>
      </c>
      <c r="K153" s="17" t="s">
        <v>26</v>
      </c>
      <c r="L153" s="17" t="s">
        <v>32</v>
      </c>
      <c r="M153" s="19" t="s">
        <v>28</v>
      </c>
      <c r="N153" s="22"/>
      <c r="O153" s="25" t="s">
        <v>674</v>
      </c>
      <c r="P153" s="25"/>
      <c r="Q153" s="31">
        <f t="shared" si="9"/>
        <v>1</v>
      </c>
      <c r="R153" s="32" t="str">
        <f t="shared" si="8"/>
        <v>P02.048</v>
      </c>
    </row>
    <row r="154" ht="132" spans="1:18">
      <c r="A154" s="18"/>
      <c r="B154" s="18"/>
      <c r="C154" s="18"/>
      <c r="D154" s="17">
        <f t="shared" ref="D154:D217" si="10">INDEX(D:D,ROW()-1)+_xlfn.IFS(INDEX(E:E,ROW()-1)="u16",1,INDEX(E:E,ROW()-1)="s16",1,INDEX(E:E,ROW()-1)="s32",2,INDEX(E:E,ROW()-1)="s64",4,INDEX(E:E,ROW()-1)="u16",1,INDEX(E:E,ROW()-1)="u32",2,INDEX(E:E,ROW()-1)="u64",4,INDEX(E:E,ROW()-1)="f32",2,INDEX(E:E,ROW()-1)="f64",4)</f>
        <v>562</v>
      </c>
      <c r="E154" s="19" t="s">
        <v>29</v>
      </c>
      <c r="F154" s="20" t="s">
        <v>675</v>
      </c>
      <c r="G154" s="21" t="s">
        <v>23</v>
      </c>
      <c r="H154" s="21" t="s">
        <v>23</v>
      </c>
      <c r="I154" s="21" t="s">
        <v>30</v>
      </c>
      <c r="J154" s="17" t="s">
        <v>25</v>
      </c>
      <c r="K154" s="17" t="s">
        <v>26</v>
      </c>
      <c r="L154" s="17" t="s">
        <v>32</v>
      </c>
      <c r="M154" s="19" t="s">
        <v>28</v>
      </c>
      <c r="N154" s="22"/>
      <c r="O154" s="25" t="s">
        <v>676</v>
      </c>
      <c r="P154" s="25" t="s">
        <v>677</v>
      </c>
      <c r="Q154" s="31">
        <f t="shared" si="9"/>
        <v>1</v>
      </c>
      <c r="R154" s="32" t="str">
        <f t="shared" si="8"/>
        <v>P02.050</v>
      </c>
    </row>
    <row r="155" spans="1:18">
      <c r="A155" s="18"/>
      <c r="B155" s="18"/>
      <c r="C155" s="18"/>
      <c r="D155" s="17">
        <f t="shared" si="10"/>
        <v>563</v>
      </c>
      <c r="E155" s="19" t="s">
        <v>29</v>
      </c>
      <c r="F155" s="20" t="s">
        <v>678</v>
      </c>
      <c r="G155" s="21" t="s">
        <v>23</v>
      </c>
      <c r="H155" s="21" t="s">
        <v>23</v>
      </c>
      <c r="I155" s="21" t="s">
        <v>30</v>
      </c>
      <c r="J155" s="17" t="s">
        <v>25</v>
      </c>
      <c r="K155" s="17" t="s">
        <v>26</v>
      </c>
      <c r="L155" s="17" t="s">
        <v>32</v>
      </c>
      <c r="M155" s="19" t="s">
        <v>28</v>
      </c>
      <c r="N155" s="22"/>
      <c r="O155" s="25" t="s">
        <v>679</v>
      </c>
      <c r="P155" s="25"/>
      <c r="Q155" s="31">
        <f t="shared" si="9"/>
        <v>1</v>
      </c>
      <c r="R155" s="32" t="str">
        <f t="shared" si="8"/>
        <v>P02.051</v>
      </c>
    </row>
    <row r="156" spans="1:18">
      <c r="A156" s="18"/>
      <c r="B156" s="18"/>
      <c r="C156" s="18"/>
      <c r="D156" s="17">
        <f t="shared" si="10"/>
        <v>564</v>
      </c>
      <c r="E156" s="19" t="s">
        <v>29</v>
      </c>
      <c r="F156" s="20"/>
      <c r="G156" s="21" t="s">
        <v>23</v>
      </c>
      <c r="H156" s="21" t="s">
        <v>23</v>
      </c>
      <c r="I156" s="21" t="s">
        <v>30</v>
      </c>
      <c r="J156" s="17" t="s">
        <v>25</v>
      </c>
      <c r="K156" s="17" t="s">
        <v>26</v>
      </c>
      <c r="L156" s="17" t="s">
        <v>32</v>
      </c>
      <c r="M156" s="19" t="s">
        <v>28</v>
      </c>
      <c r="N156" s="17"/>
      <c r="O156" s="25"/>
      <c r="P156" s="22"/>
      <c r="Q156" s="31">
        <f t="shared" si="9"/>
        <v>1</v>
      </c>
      <c r="R156" s="32" t="str">
        <f t="shared" si="8"/>
        <v>P02.052</v>
      </c>
    </row>
    <row r="157" spans="1:18">
      <c r="A157" s="18"/>
      <c r="B157" s="18"/>
      <c r="C157" s="18"/>
      <c r="D157" s="17">
        <f t="shared" si="10"/>
        <v>565</v>
      </c>
      <c r="E157" s="19" t="s">
        <v>29</v>
      </c>
      <c r="F157" s="20" t="s">
        <v>680</v>
      </c>
      <c r="G157" s="21" t="s">
        <v>23</v>
      </c>
      <c r="H157" s="21" t="s">
        <v>23</v>
      </c>
      <c r="I157" s="21" t="s">
        <v>40</v>
      </c>
      <c r="J157" s="17" t="s">
        <v>25</v>
      </c>
      <c r="K157" s="17" t="s">
        <v>63</v>
      </c>
      <c r="L157" s="17" t="s">
        <v>32</v>
      </c>
      <c r="M157" s="19" t="s">
        <v>28</v>
      </c>
      <c r="N157" s="17"/>
      <c r="O157" s="25" t="s">
        <v>681</v>
      </c>
      <c r="P157" s="22" t="s">
        <v>665</v>
      </c>
      <c r="Q157" s="31">
        <f t="shared" si="9"/>
        <v>1</v>
      </c>
      <c r="R157" s="32" t="str">
        <f t="shared" si="8"/>
        <v>P02.053</v>
      </c>
    </row>
    <row r="158" spans="1:18">
      <c r="A158" s="18"/>
      <c r="B158" s="18"/>
      <c r="C158" s="18"/>
      <c r="D158" s="17">
        <f t="shared" si="10"/>
        <v>566</v>
      </c>
      <c r="E158" s="19" t="s">
        <v>29</v>
      </c>
      <c r="F158" s="20" t="s">
        <v>682</v>
      </c>
      <c r="G158" s="21" t="s">
        <v>23</v>
      </c>
      <c r="H158" s="21" t="s">
        <v>23</v>
      </c>
      <c r="I158" s="21" t="s">
        <v>30</v>
      </c>
      <c r="J158" s="17" t="s">
        <v>486</v>
      </c>
      <c r="K158" s="17" t="s">
        <v>26</v>
      </c>
      <c r="L158" s="17" t="s">
        <v>32</v>
      </c>
      <c r="M158" s="19" t="s">
        <v>28</v>
      </c>
      <c r="N158" s="17"/>
      <c r="O158" s="25" t="s">
        <v>683</v>
      </c>
      <c r="P158" s="22"/>
      <c r="Q158" s="31">
        <f t="shared" si="9"/>
        <v>1</v>
      </c>
      <c r="R158" s="32" t="str">
        <f t="shared" si="8"/>
        <v>P02.054</v>
      </c>
    </row>
    <row r="159" spans="1:18">
      <c r="A159" s="18"/>
      <c r="B159" s="18"/>
      <c r="C159" s="18"/>
      <c r="D159" s="17">
        <f t="shared" si="10"/>
        <v>567</v>
      </c>
      <c r="E159" s="19" t="s">
        <v>29</v>
      </c>
      <c r="F159" s="20" t="s">
        <v>684</v>
      </c>
      <c r="G159" s="21" t="s">
        <v>23</v>
      </c>
      <c r="H159" s="21" t="s">
        <v>23</v>
      </c>
      <c r="I159" s="21" t="s">
        <v>30</v>
      </c>
      <c r="J159" s="17" t="s">
        <v>489</v>
      </c>
      <c r="K159" s="17" t="s">
        <v>26</v>
      </c>
      <c r="L159" s="17" t="s">
        <v>32</v>
      </c>
      <c r="M159" s="19" t="s">
        <v>28</v>
      </c>
      <c r="N159" s="17"/>
      <c r="O159" s="25" t="s">
        <v>685</v>
      </c>
      <c r="P159" s="22"/>
      <c r="Q159" s="31">
        <f t="shared" si="9"/>
        <v>1</v>
      </c>
      <c r="R159" s="32" t="str">
        <f t="shared" si="8"/>
        <v>P02.055</v>
      </c>
    </row>
    <row r="160" spans="1:18">
      <c r="A160" s="18"/>
      <c r="B160" s="18"/>
      <c r="C160" s="18"/>
      <c r="D160" s="17">
        <f t="shared" si="10"/>
        <v>568</v>
      </c>
      <c r="E160" s="19" t="s">
        <v>29</v>
      </c>
      <c r="F160" s="20" t="s">
        <v>686</v>
      </c>
      <c r="G160" s="21" t="s">
        <v>23</v>
      </c>
      <c r="H160" s="21" t="s">
        <v>23</v>
      </c>
      <c r="I160" s="21" t="s">
        <v>30</v>
      </c>
      <c r="J160" s="17" t="s">
        <v>489</v>
      </c>
      <c r="K160" s="17" t="s">
        <v>26</v>
      </c>
      <c r="L160" s="17" t="s">
        <v>32</v>
      </c>
      <c r="M160" s="19" t="s">
        <v>28</v>
      </c>
      <c r="N160" s="17"/>
      <c r="O160" s="25" t="s">
        <v>687</v>
      </c>
      <c r="P160" s="22"/>
      <c r="Q160" s="31">
        <f t="shared" si="9"/>
        <v>1</v>
      </c>
      <c r="R160" s="32" t="str">
        <f t="shared" si="8"/>
        <v>P02.056</v>
      </c>
    </row>
    <row r="161" spans="1:18">
      <c r="A161" s="18"/>
      <c r="B161" s="18"/>
      <c r="C161" s="18"/>
      <c r="D161" s="17">
        <f t="shared" si="10"/>
        <v>569</v>
      </c>
      <c r="E161" s="19" t="s">
        <v>29</v>
      </c>
      <c r="F161" s="20" t="s">
        <v>688</v>
      </c>
      <c r="G161" s="21" t="s">
        <v>23</v>
      </c>
      <c r="H161" s="21" t="s">
        <v>23</v>
      </c>
      <c r="I161" s="21" t="s">
        <v>30</v>
      </c>
      <c r="J161" s="17" t="s">
        <v>689</v>
      </c>
      <c r="K161" s="17" t="s">
        <v>26</v>
      </c>
      <c r="L161" s="17" t="s">
        <v>32</v>
      </c>
      <c r="M161" s="19" t="s">
        <v>28</v>
      </c>
      <c r="N161" s="17"/>
      <c r="O161" s="25" t="s">
        <v>690</v>
      </c>
      <c r="P161" s="22"/>
      <c r="Q161" s="31">
        <f t="shared" si="9"/>
        <v>1</v>
      </c>
      <c r="R161" s="32" t="str">
        <f t="shared" si="8"/>
        <v>P02.057</v>
      </c>
    </row>
    <row r="162" spans="1:18">
      <c r="A162" s="18"/>
      <c r="B162" s="18"/>
      <c r="C162" s="18"/>
      <c r="D162" s="17">
        <f t="shared" si="10"/>
        <v>570</v>
      </c>
      <c r="E162" s="19" t="s">
        <v>29</v>
      </c>
      <c r="F162" s="20"/>
      <c r="G162" s="21" t="s">
        <v>23</v>
      </c>
      <c r="H162" s="21" t="s">
        <v>23</v>
      </c>
      <c r="I162" s="21" t="s">
        <v>30</v>
      </c>
      <c r="J162" s="17" t="s">
        <v>25</v>
      </c>
      <c r="K162" s="17" t="s">
        <v>26</v>
      </c>
      <c r="L162" s="17" t="s">
        <v>32</v>
      </c>
      <c r="M162" s="19" t="s">
        <v>28</v>
      </c>
      <c r="N162" s="17"/>
      <c r="O162" s="25"/>
      <c r="P162" s="22"/>
      <c r="Q162" s="31">
        <f t="shared" si="9"/>
        <v>1</v>
      </c>
      <c r="R162" s="32" t="str">
        <f t="shared" si="8"/>
        <v>P02.058</v>
      </c>
    </row>
    <row r="163" spans="1:18">
      <c r="A163" s="18"/>
      <c r="B163" s="18"/>
      <c r="C163" s="18"/>
      <c r="D163" s="17">
        <f t="shared" si="10"/>
        <v>571</v>
      </c>
      <c r="E163" s="19" t="s">
        <v>29</v>
      </c>
      <c r="F163" s="20" t="s">
        <v>691</v>
      </c>
      <c r="G163" s="21" t="s">
        <v>23</v>
      </c>
      <c r="H163" s="21" t="s">
        <v>23</v>
      </c>
      <c r="I163" s="21" t="s">
        <v>40</v>
      </c>
      <c r="J163" s="17" t="s">
        <v>25</v>
      </c>
      <c r="K163" s="17" t="s">
        <v>63</v>
      </c>
      <c r="L163" s="17" t="s">
        <v>32</v>
      </c>
      <c r="M163" s="19" t="s">
        <v>28</v>
      </c>
      <c r="N163" s="17"/>
      <c r="O163" s="25" t="s">
        <v>692</v>
      </c>
      <c r="P163" s="22" t="s">
        <v>665</v>
      </c>
      <c r="Q163" s="31">
        <f t="shared" si="9"/>
        <v>1</v>
      </c>
      <c r="R163" s="32" t="str">
        <f t="shared" si="8"/>
        <v>P02.059</v>
      </c>
    </row>
    <row r="164" spans="1:18">
      <c r="A164" s="18"/>
      <c r="B164" s="18"/>
      <c r="C164" s="18"/>
      <c r="D164" s="17">
        <f t="shared" si="10"/>
        <v>572</v>
      </c>
      <c r="E164" s="19" t="s">
        <v>20</v>
      </c>
      <c r="F164" s="20" t="s">
        <v>693</v>
      </c>
      <c r="G164" s="21" t="s">
        <v>23</v>
      </c>
      <c r="H164" s="21" t="s">
        <v>23</v>
      </c>
      <c r="I164" s="21" t="s">
        <v>24</v>
      </c>
      <c r="J164" s="17" t="s">
        <v>694</v>
      </c>
      <c r="K164" s="17" t="s">
        <v>26</v>
      </c>
      <c r="L164" s="17" t="s">
        <v>32</v>
      </c>
      <c r="M164" s="19" t="s">
        <v>28</v>
      </c>
      <c r="N164" s="17"/>
      <c r="O164" s="25" t="s">
        <v>695</v>
      </c>
      <c r="P164" s="22"/>
      <c r="Q164" s="31">
        <f t="shared" si="9"/>
        <v>1</v>
      </c>
      <c r="R164" s="32" t="str">
        <f t="shared" si="8"/>
        <v>P02.060</v>
      </c>
    </row>
    <row r="165" spans="1:18">
      <c r="A165" s="18"/>
      <c r="B165" s="18"/>
      <c r="C165" s="18"/>
      <c r="D165" s="17">
        <f t="shared" si="10"/>
        <v>574</v>
      </c>
      <c r="E165" s="19" t="s">
        <v>29</v>
      </c>
      <c r="F165" s="20"/>
      <c r="G165" s="21" t="s">
        <v>23</v>
      </c>
      <c r="H165" s="21" t="s">
        <v>23</v>
      </c>
      <c r="I165" s="21" t="s">
        <v>30</v>
      </c>
      <c r="J165" s="17" t="s">
        <v>25</v>
      </c>
      <c r="K165" s="17" t="s">
        <v>26</v>
      </c>
      <c r="L165" s="17" t="s">
        <v>32</v>
      </c>
      <c r="M165" s="19" t="s">
        <v>28</v>
      </c>
      <c r="N165" s="17"/>
      <c r="O165" s="25"/>
      <c r="P165" s="22"/>
      <c r="Q165" s="31">
        <f t="shared" si="9"/>
        <v>1</v>
      </c>
      <c r="R165" s="32" t="str">
        <f t="shared" si="8"/>
        <v>P02.062</v>
      </c>
    </row>
    <row r="166" spans="1:18">
      <c r="A166" s="18"/>
      <c r="B166" s="18"/>
      <c r="C166" s="18"/>
      <c r="D166" s="17">
        <f t="shared" si="10"/>
        <v>575</v>
      </c>
      <c r="E166" s="19" t="s">
        <v>29</v>
      </c>
      <c r="F166" s="20"/>
      <c r="G166" s="21" t="s">
        <v>23</v>
      </c>
      <c r="H166" s="21" t="s">
        <v>23</v>
      </c>
      <c r="I166" s="21" t="s">
        <v>30</v>
      </c>
      <c r="J166" s="17" t="s">
        <v>25</v>
      </c>
      <c r="K166" s="17" t="s">
        <v>26</v>
      </c>
      <c r="L166" s="17" t="s">
        <v>32</v>
      </c>
      <c r="M166" s="19" t="s">
        <v>28</v>
      </c>
      <c r="N166" s="17"/>
      <c r="O166" s="22"/>
      <c r="P166" s="22"/>
      <c r="Q166" s="31">
        <f t="shared" si="9"/>
        <v>1</v>
      </c>
      <c r="R166" s="32" t="str">
        <f t="shared" si="8"/>
        <v>P02.063</v>
      </c>
    </row>
    <row r="167" ht="39.6" spans="1:18">
      <c r="A167" s="18"/>
      <c r="B167" s="18"/>
      <c r="C167" s="18"/>
      <c r="D167" s="17">
        <f t="shared" si="10"/>
        <v>576</v>
      </c>
      <c r="E167" s="19" t="s">
        <v>29</v>
      </c>
      <c r="F167" s="20" t="s">
        <v>696</v>
      </c>
      <c r="G167" s="21" t="s">
        <v>23</v>
      </c>
      <c r="H167" s="21" t="s">
        <v>23</v>
      </c>
      <c r="I167" s="21" t="s">
        <v>43</v>
      </c>
      <c r="J167" s="17" t="s">
        <v>25</v>
      </c>
      <c r="K167" s="17" t="s">
        <v>63</v>
      </c>
      <c r="L167" s="17" t="s">
        <v>32</v>
      </c>
      <c r="M167" s="19" t="s">
        <v>28</v>
      </c>
      <c r="N167" s="17"/>
      <c r="O167" s="22" t="s">
        <v>697</v>
      </c>
      <c r="P167" s="25" t="s">
        <v>698</v>
      </c>
      <c r="Q167" s="31">
        <f t="shared" si="9"/>
        <v>0</v>
      </c>
      <c r="R167" s="32" t="str">
        <f t="shared" si="8"/>
        <v>P02.064</v>
      </c>
    </row>
    <row r="168" spans="1:18">
      <c r="A168" s="18"/>
      <c r="B168" s="18"/>
      <c r="C168" s="18"/>
      <c r="D168" s="17">
        <f t="shared" si="10"/>
        <v>577</v>
      </c>
      <c r="E168" s="19" t="s">
        <v>284</v>
      </c>
      <c r="F168" s="20" t="s">
        <v>699</v>
      </c>
      <c r="G168" s="21" t="s">
        <v>23</v>
      </c>
      <c r="H168" s="21" t="s">
        <v>286</v>
      </c>
      <c r="I168" s="21" t="s">
        <v>287</v>
      </c>
      <c r="J168" s="17" t="s">
        <v>25</v>
      </c>
      <c r="K168" s="17" t="s">
        <v>63</v>
      </c>
      <c r="L168" s="17" t="s">
        <v>32</v>
      </c>
      <c r="M168" s="19" t="s">
        <v>28</v>
      </c>
      <c r="N168" s="17"/>
      <c r="O168" s="24" t="s">
        <v>700</v>
      </c>
      <c r="P168" s="22"/>
      <c r="Q168" s="31">
        <f t="shared" si="9"/>
        <v>1</v>
      </c>
      <c r="R168" s="32" t="str">
        <f t="shared" si="8"/>
        <v>P02.065</v>
      </c>
    </row>
    <row r="169" ht="66" spans="1:18">
      <c r="A169" s="18"/>
      <c r="B169" s="18"/>
      <c r="C169" s="18"/>
      <c r="D169" s="17">
        <f t="shared" si="10"/>
        <v>581</v>
      </c>
      <c r="E169" s="19" t="s">
        <v>29</v>
      </c>
      <c r="F169" s="20" t="s">
        <v>701</v>
      </c>
      <c r="G169" s="21" t="s">
        <v>23</v>
      </c>
      <c r="H169" s="21" t="s">
        <v>23</v>
      </c>
      <c r="I169" s="21" t="s">
        <v>389</v>
      </c>
      <c r="J169" s="17" t="s">
        <v>25</v>
      </c>
      <c r="K169" s="17" t="s">
        <v>31</v>
      </c>
      <c r="L169" s="17" t="s">
        <v>32</v>
      </c>
      <c r="M169" s="19" t="s">
        <v>28</v>
      </c>
      <c r="N169" s="17"/>
      <c r="O169" s="24" t="s">
        <v>702</v>
      </c>
      <c r="P169" s="25" t="s">
        <v>703</v>
      </c>
      <c r="Q169" s="31">
        <f t="shared" si="9"/>
        <v>0</v>
      </c>
      <c r="R169" s="32" t="str">
        <f t="shared" si="8"/>
        <v>P02.069</v>
      </c>
    </row>
    <row r="170" spans="1:18">
      <c r="A170" s="18"/>
      <c r="B170" s="18"/>
      <c r="C170" s="18"/>
      <c r="D170" s="17">
        <f t="shared" si="10"/>
        <v>582</v>
      </c>
      <c r="E170" s="19" t="s">
        <v>29</v>
      </c>
      <c r="F170" s="20"/>
      <c r="G170" s="21" t="s">
        <v>23</v>
      </c>
      <c r="H170" s="21" t="s">
        <v>23</v>
      </c>
      <c r="I170" s="21" t="s">
        <v>30</v>
      </c>
      <c r="J170" s="17" t="s">
        <v>25</v>
      </c>
      <c r="K170" s="17" t="s">
        <v>26</v>
      </c>
      <c r="L170" s="17" t="s">
        <v>32</v>
      </c>
      <c r="M170" s="19" t="s">
        <v>28</v>
      </c>
      <c r="N170" s="17"/>
      <c r="O170" s="22"/>
      <c r="P170" s="22"/>
      <c r="Q170" s="31">
        <f t="shared" si="9"/>
        <v>1</v>
      </c>
      <c r="R170" s="32" t="str">
        <f t="shared" si="8"/>
        <v>P02.070</v>
      </c>
    </row>
    <row r="171" spans="1:18">
      <c r="A171" s="18"/>
      <c r="B171" s="18"/>
      <c r="C171" s="18"/>
      <c r="D171" s="17">
        <f t="shared" si="10"/>
        <v>583</v>
      </c>
      <c r="E171" s="19" t="s">
        <v>29</v>
      </c>
      <c r="F171" s="20"/>
      <c r="G171" s="21" t="s">
        <v>23</v>
      </c>
      <c r="H171" s="21" t="s">
        <v>23</v>
      </c>
      <c r="I171" s="21" t="s">
        <v>30</v>
      </c>
      <c r="J171" s="17" t="s">
        <v>25</v>
      </c>
      <c r="K171" s="17" t="s">
        <v>26</v>
      </c>
      <c r="L171" s="17" t="s">
        <v>32</v>
      </c>
      <c r="M171" s="19" t="s">
        <v>28</v>
      </c>
      <c r="N171" s="17"/>
      <c r="O171" s="22"/>
      <c r="P171" s="22"/>
      <c r="Q171" s="31">
        <f t="shared" si="9"/>
        <v>1</v>
      </c>
      <c r="R171" s="32" t="str">
        <f t="shared" si="8"/>
        <v>P02.071</v>
      </c>
    </row>
    <row r="172" spans="1:18">
      <c r="A172" s="18"/>
      <c r="B172" s="18"/>
      <c r="C172" s="18"/>
      <c r="D172" s="17">
        <f t="shared" si="10"/>
        <v>584</v>
      </c>
      <c r="E172" s="19" t="s">
        <v>29</v>
      </c>
      <c r="F172" s="20"/>
      <c r="G172" s="21" t="s">
        <v>23</v>
      </c>
      <c r="H172" s="21" t="s">
        <v>23</v>
      </c>
      <c r="I172" s="21" t="s">
        <v>30</v>
      </c>
      <c r="J172" s="17" t="s">
        <v>25</v>
      </c>
      <c r="K172" s="17" t="s">
        <v>26</v>
      </c>
      <c r="L172" s="17" t="s">
        <v>32</v>
      </c>
      <c r="M172" s="19" t="s">
        <v>28</v>
      </c>
      <c r="N172" s="17"/>
      <c r="O172" s="22"/>
      <c r="P172" s="22"/>
      <c r="Q172" s="31">
        <f t="shared" si="9"/>
        <v>1</v>
      </c>
      <c r="R172" s="32" t="str">
        <f t="shared" si="8"/>
        <v>P02.072</v>
      </c>
    </row>
    <row r="173" spans="1:18">
      <c r="A173" s="18"/>
      <c r="B173" s="18"/>
      <c r="C173" s="18"/>
      <c r="D173" s="17">
        <f t="shared" si="10"/>
        <v>585</v>
      </c>
      <c r="E173" s="19" t="s">
        <v>29</v>
      </c>
      <c r="F173" s="20"/>
      <c r="G173" s="21" t="s">
        <v>23</v>
      </c>
      <c r="H173" s="21" t="s">
        <v>23</v>
      </c>
      <c r="I173" s="21" t="s">
        <v>30</v>
      </c>
      <c r="J173" s="17" t="s">
        <v>25</v>
      </c>
      <c r="K173" s="17" t="s">
        <v>26</v>
      </c>
      <c r="L173" s="17" t="s">
        <v>32</v>
      </c>
      <c r="M173" s="19" t="s">
        <v>28</v>
      </c>
      <c r="N173" s="17"/>
      <c r="O173" s="22"/>
      <c r="P173" s="22"/>
      <c r="Q173" s="31">
        <f t="shared" si="9"/>
        <v>1</v>
      </c>
      <c r="R173" s="32" t="str">
        <f t="shared" si="8"/>
        <v>P02.073</v>
      </c>
    </row>
    <row r="174" spans="1:18">
      <c r="A174" s="18"/>
      <c r="B174" s="18"/>
      <c r="C174" s="18"/>
      <c r="D174" s="17">
        <f t="shared" si="10"/>
        <v>586</v>
      </c>
      <c r="E174" s="19" t="s">
        <v>29</v>
      </c>
      <c r="F174" s="20"/>
      <c r="G174" s="21" t="s">
        <v>23</v>
      </c>
      <c r="H174" s="21" t="s">
        <v>23</v>
      </c>
      <c r="I174" s="21" t="s">
        <v>30</v>
      </c>
      <c r="J174" s="17" t="s">
        <v>25</v>
      </c>
      <c r="K174" s="17" t="s">
        <v>26</v>
      </c>
      <c r="L174" s="17" t="s">
        <v>32</v>
      </c>
      <c r="M174" s="19" t="s">
        <v>28</v>
      </c>
      <c r="N174" s="17"/>
      <c r="O174" s="22"/>
      <c r="P174" s="22"/>
      <c r="Q174" s="31">
        <f t="shared" si="9"/>
        <v>1</v>
      </c>
      <c r="R174" s="32" t="str">
        <f t="shared" si="8"/>
        <v>P02.074</v>
      </c>
    </row>
    <row r="175" spans="1:18">
      <c r="A175" s="18"/>
      <c r="B175" s="18"/>
      <c r="C175" s="18"/>
      <c r="D175" s="17">
        <f t="shared" si="10"/>
        <v>587</v>
      </c>
      <c r="E175" s="19" t="s">
        <v>29</v>
      </c>
      <c r="F175" s="20"/>
      <c r="G175" s="21" t="s">
        <v>23</v>
      </c>
      <c r="H175" s="21" t="s">
        <v>23</v>
      </c>
      <c r="I175" s="21" t="s">
        <v>30</v>
      </c>
      <c r="J175" s="17" t="s">
        <v>25</v>
      </c>
      <c r="K175" s="17" t="s">
        <v>26</v>
      </c>
      <c r="L175" s="17" t="s">
        <v>32</v>
      </c>
      <c r="M175" s="19" t="s">
        <v>28</v>
      </c>
      <c r="N175" s="17"/>
      <c r="O175" s="22"/>
      <c r="P175" s="22"/>
      <c r="Q175" s="31">
        <f t="shared" si="9"/>
        <v>1</v>
      </c>
      <c r="R175" s="32" t="str">
        <f t="shared" si="8"/>
        <v>P02.075</v>
      </c>
    </row>
    <row r="176" spans="1:18">
      <c r="A176" s="18"/>
      <c r="B176" s="18"/>
      <c r="C176" s="18"/>
      <c r="D176" s="17">
        <f t="shared" si="10"/>
        <v>588</v>
      </c>
      <c r="E176" s="19" t="s">
        <v>29</v>
      </c>
      <c r="F176" s="20"/>
      <c r="G176" s="21" t="s">
        <v>23</v>
      </c>
      <c r="H176" s="21" t="s">
        <v>23</v>
      </c>
      <c r="I176" s="21" t="s">
        <v>30</v>
      </c>
      <c r="J176" s="17" t="s">
        <v>25</v>
      </c>
      <c r="K176" s="17" t="s">
        <v>26</v>
      </c>
      <c r="L176" s="17" t="s">
        <v>32</v>
      </c>
      <c r="M176" s="19" t="s">
        <v>28</v>
      </c>
      <c r="N176" s="17"/>
      <c r="O176" s="22"/>
      <c r="P176" s="22"/>
      <c r="Q176" s="31">
        <f t="shared" si="9"/>
        <v>1</v>
      </c>
      <c r="R176" s="32" t="str">
        <f t="shared" si="8"/>
        <v>P02.076</v>
      </c>
    </row>
    <row r="177" spans="1:18">
      <c r="A177" s="18"/>
      <c r="B177" s="18"/>
      <c r="C177" s="18"/>
      <c r="D177" s="17">
        <f t="shared" si="10"/>
        <v>589</v>
      </c>
      <c r="E177" s="19" t="s">
        <v>29</v>
      </c>
      <c r="F177" s="20"/>
      <c r="G177" s="21" t="s">
        <v>23</v>
      </c>
      <c r="H177" s="21" t="s">
        <v>23</v>
      </c>
      <c r="I177" s="21" t="s">
        <v>30</v>
      </c>
      <c r="J177" s="17" t="s">
        <v>25</v>
      </c>
      <c r="K177" s="17" t="s">
        <v>26</v>
      </c>
      <c r="L177" s="17" t="s">
        <v>32</v>
      </c>
      <c r="M177" s="19" t="s">
        <v>28</v>
      </c>
      <c r="N177" s="17"/>
      <c r="O177" s="22"/>
      <c r="P177" s="22"/>
      <c r="Q177" s="31">
        <f t="shared" si="9"/>
        <v>1</v>
      </c>
      <c r="R177" s="32" t="str">
        <f t="shared" si="8"/>
        <v>P02.077</v>
      </c>
    </row>
    <row r="178" spans="1:18">
      <c r="A178" s="18"/>
      <c r="B178" s="18"/>
      <c r="C178" s="18"/>
      <c r="D178" s="17">
        <f t="shared" si="10"/>
        <v>590</v>
      </c>
      <c r="E178" s="19" t="s">
        <v>29</v>
      </c>
      <c r="F178" s="20"/>
      <c r="G178" s="21" t="s">
        <v>23</v>
      </c>
      <c r="H178" s="21" t="s">
        <v>23</v>
      </c>
      <c r="I178" s="21" t="s">
        <v>30</v>
      </c>
      <c r="J178" s="17" t="s">
        <v>25</v>
      </c>
      <c r="K178" s="17" t="s">
        <v>26</v>
      </c>
      <c r="L178" s="17" t="s">
        <v>32</v>
      </c>
      <c r="M178" s="19" t="s">
        <v>28</v>
      </c>
      <c r="N178" s="17"/>
      <c r="O178" s="22"/>
      <c r="P178" s="22"/>
      <c r="Q178" s="31">
        <f t="shared" si="9"/>
        <v>1</v>
      </c>
      <c r="R178" s="32" t="str">
        <f t="shared" si="8"/>
        <v>P02.078</v>
      </c>
    </row>
    <row r="179" spans="1:18">
      <c r="A179" s="18"/>
      <c r="B179" s="18"/>
      <c r="C179" s="18"/>
      <c r="D179" s="17">
        <f t="shared" si="10"/>
        <v>591</v>
      </c>
      <c r="E179" s="19" t="s">
        <v>29</v>
      </c>
      <c r="F179" s="20"/>
      <c r="G179" s="21" t="s">
        <v>23</v>
      </c>
      <c r="H179" s="21" t="s">
        <v>23</v>
      </c>
      <c r="I179" s="21" t="s">
        <v>30</v>
      </c>
      <c r="J179" s="17" t="s">
        <v>25</v>
      </c>
      <c r="K179" s="17" t="s">
        <v>26</v>
      </c>
      <c r="L179" s="17" t="s">
        <v>32</v>
      </c>
      <c r="M179" s="19" t="s">
        <v>28</v>
      </c>
      <c r="N179" s="17"/>
      <c r="O179" s="22"/>
      <c r="P179" s="22"/>
      <c r="Q179" s="31">
        <f t="shared" si="9"/>
        <v>1</v>
      </c>
      <c r="R179" s="32" t="str">
        <f t="shared" si="8"/>
        <v>P02.079</v>
      </c>
    </row>
    <row r="180" spans="1:18">
      <c r="A180" s="18"/>
      <c r="B180" s="18"/>
      <c r="C180" s="18"/>
      <c r="D180" s="17">
        <f t="shared" si="10"/>
        <v>592</v>
      </c>
      <c r="E180" s="19" t="s">
        <v>29</v>
      </c>
      <c r="F180" s="20"/>
      <c r="G180" s="21" t="s">
        <v>23</v>
      </c>
      <c r="H180" s="21" t="s">
        <v>23</v>
      </c>
      <c r="I180" s="21" t="s">
        <v>30</v>
      </c>
      <c r="J180" s="17" t="s">
        <v>25</v>
      </c>
      <c r="K180" s="17" t="s">
        <v>26</v>
      </c>
      <c r="L180" s="17" t="s">
        <v>32</v>
      </c>
      <c r="M180" s="19" t="s">
        <v>28</v>
      </c>
      <c r="N180" s="17"/>
      <c r="O180" s="22"/>
      <c r="P180" s="22"/>
      <c r="Q180" s="31">
        <f t="shared" si="9"/>
        <v>1</v>
      </c>
      <c r="R180" s="32" t="str">
        <f t="shared" si="8"/>
        <v>P02.080</v>
      </c>
    </row>
    <row r="181" spans="1:18">
      <c r="A181" s="18"/>
      <c r="B181" s="18"/>
      <c r="C181" s="18"/>
      <c r="D181" s="17">
        <f t="shared" si="10"/>
        <v>593</v>
      </c>
      <c r="E181" s="19" t="s">
        <v>29</v>
      </c>
      <c r="F181" s="20" t="s">
        <v>704</v>
      </c>
      <c r="G181" s="21" t="s">
        <v>23</v>
      </c>
      <c r="H181" s="21" t="s">
        <v>172</v>
      </c>
      <c r="I181" s="21" t="s">
        <v>30</v>
      </c>
      <c r="J181" s="17" t="s">
        <v>25</v>
      </c>
      <c r="K181" s="17" t="s">
        <v>63</v>
      </c>
      <c r="L181" s="17" t="s">
        <v>32</v>
      </c>
      <c r="M181" s="19" t="s">
        <v>28</v>
      </c>
      <c r="N181" s="22"/>
      <c r="O181" s="22" t="s">
        <v>705</v>
      </c>
      <c r="P181" s="22"/>
      <c r="Q181" s="31">
        <f t="shared" si="9"/>
        <v>1</v>
      </c>
      <c r="R181" s="32" t="str">
        <f t="shared" si="8"/>
        <v>P02.081</v>
      </c>
    </row>
    <row r="182" spans="1:18">
      <c r="A182" s="18"/>
      <c r="B182" s="18"/>
      <c r="C182" s="18"/>
      <c r="D182" s="17">
        <f t="shared" si="10"/>
        <v>594</v>
      </c>
      <c r="E182" s="19" t="s">
        <v>29</v>
      </c>
      <c r="F182" s="20" t="s">
        <v>706</v>
      </c>
      <c r="G182" s="21" t="s">
        <v>23</v>
      </c>
      <c r="H182" s="21" t="s">
        <v>23</v>
      </c>
      <c r="I182" s="21" t="s">
        <v>30</v>
      </c>
      <c r="J182" s="17" t="s">
        <v>25</v>
      </c>
      <c r="K182" s="17" t="s">
        <v>26</v>
      </c>
      <c r="L182" s="17" t="s">
        <v>32</v>
      </c>
      <c r="M182" s="19" t="s">
        <v>28</v>
      </c>
      <c r="N182" s="22"/>
      <c r="O182" s="22" t="s">
        <v>707</v>
      </c>
      <c r="P182" s="22"/>
      <c r="Q182" s="31">
        <f t="shared" si="9"/>
        <v>1</v>
      </c>
      <c r="R182" s="32" t="str">
        <f t="shared" ref="R182:R245" si="11">"P"&amp;TEXT(INT(D182/256),"00")&amp;"."&amp;TEXT(MOD(D182,256),"000")</f>
        <v>P02.082</v>
      </c>
    </row>
    <row r="183" spans="1:18">
      <c r="A183" s="18"/>
      <c r="B183" s="18"/>
      <c r="C183" s="18"/>
      <c r="D183" s="17">
        <f t="shared" si="10"/>
        <v>595</v>
      </c>
      <c r="E183" s="19" t="s">
        <v>29</v>
      </c>
      <c r="F183" s="20" t="s">
        <v>708</v>
      </c>
      <c r="G183" s="21" t="s">
        <v>23</v>
      </c>
      <c r="H183" s="21" t="s">
        <v>23</v>
      </c>
      <c r="I183" s="21" t="s">
        <v>30</v>
      </c>
      <c r="J183" s="17" t="s">
        <v>25</v>
      </c>
      <c r="K183" s="17" t="s">
        <v>26</v>
      </c>
      <c r="L183" s="17" t="s">
        <v>32</v>
      </c>
      <c r="M183" s="19" t="s">
        <v>28</v>
      </c>
      <c r="N183" s="22"/>
      <c r="O183" s="22" t="s">
        <v>709</v>
      </c>
      <c r="P183" s="22"/>
      <c r="Q183" s="31">
        <f t="shared" si="9"/>
        <v>1</v>
      </c>
      <c r="R183" s="32" t="str">
        <f t="shared" si="11"/>
        <v>P02.083</v>
      </c>
    </row>
    <row r="184" spans="1:18">
      <c r="A184" s="18"/>
      <c r="B184" s="18"/>
      <c r="C184" s="18"/>
      <c r="D184" s="17">
        <f t="shared" si="10"/>
        <v>596</v>
      </c>
      <c r="E184" s="19" t="s">
        <v>29</v>
      </c>
      <c r="F184" s="20"/>
      <c r="G184" s="21" t="s">
        <v>23</v>
      </c>
      <c r="H184" s="21" t="s">
        <v>23</v>
      </c>
      <c r="I184" s="21" t="s">
        <v>30</v>
      </c>
      <c r="J184" s="17" t="s">
        <v>25</v>
      </c>
      <c r="K184" s="17" t="s">
        <v>26</v>
      </c>
      <c r="L184" s="17" t="s">
        <v>32</v>
      </c>
      <c r="M184" s="19" t="s">
        <v>28</v>
      </c>
      <c r="N184" s="17"/>
      <c r="O184" s="22"/>
      <c r="P184" s="22"/>
      <c r="Q184" s="31">
        <f t="shared" si="9"/>
        <v>1</v>
      </c>
      <c r="R184" s="32" t="str">
        <f t="shared" si="11"/>
        <v>P02.084</v>
      </c>
    </row>
    <row r="185" ht="52.8" spans="1:18">
      <c r="A185" s="33">
        <v>3</v>
      </c>
      <c r="B185" s="33"/>
      <c r="C185" s="33"/>
      <c r="D185" s="17">
        <f t="shared" si="10"/>
        <v>597</v>
      </c>
      <c r="E185" s="19" t="s">
        <v>29</v>
      </c>
      <c r="F185" s="20" t="s">
        <v>710</v>
      </c>
      <c r="G185" s="21" t="s">
        <v>23</v>
      </c>
      <c r="H185" s="21" t="s">
        <v>23</v>
      </c>
      <c r="I185" s="21" t="s">
        <v>30</v>
      </c>
      <c r="J185" s="17" t="s">
        <v>25</v>
      </c>
      <c r="K185" s="17" t="s">
        <v>26</v>
      </c>
      <c r="L185" s="17" t="s">
        <v>32</v>
      </c>
      <c r="M185" s="19" t="s">
        <v>28</v>
      </c>
      <c r="N185" s="22"/>
      <c r="O185" s="22" t="s">
        <v>711</v>
      </c>
      <c r="P185" s="25" t="s">
        <v>712</v>
      </c>
      <c r="Q185" s="31">
        <f t="shared" si="9"/>
        <v>0</v>
      </c>
      <c r="R185" s="32" t="str">
        <f t="shared" si="11"/>
        <v>P02.085</v>
      </c>
    </row>
    <row r="186" spans="1:18">
      <c r="A186" s="18"/>
      <c r="B186" s="18"/>
      <c r="C186" s="18"/>
      <c r="D186" s="17">
        <f t="shared" si="10"/>
        <v>598</v>
      </c>
      <c r="E186" s="19" t="s">
        <v>29</v>
      </c>
      <c r="F186" s="20" t="s">
        <v>713</v>
      </c>
      <c r="G186" s="21" t="s">
        <v>23</v>
      </c>
      <c r="H186" s="21" t="s">
        <v>23</v>
      </c>
      <c r="I186" s="21" t="s">
        <v>40</v>
      </c>
      <c r="J186" s="17" t="s">
        <v>25</v>
      </c>
      <c r="K186" s="17" t="s">
        <v>26</v>
      </c>
      <c r="L186" s="17" t="s">
        <v>32</v>
      </c>
      <c r="M186" s="19" t="s">
        <v>28</v>
      </c>
      <c r="N186" s="17"/>
      <c r="O186" s="22" t="s">
        <v>714</v>
      </c>
      <c r="P186" s="22"/>
      <c r="Q186" s="31">
        <f t="shared" si="9"/>
        <v>0</v>
      </c>
      <c r="R186" s="32" t="str">
        <f t="shared" si="11"/>
        <v>P02.086</v>
      </c>
    </row>
    <row r="187" spans="1:18">
      <c r="A187" s="18"/>
      <c r="B187" s="18"/>
      <c r="C187" s="18"/>
      <c r="D187" s="17">
        <f t="shared" si="10"/>
        <v>599</v>
      </c>
      <c r="E187" s="19" t="s">
        <v>29</v>
      </c>
      <c r="F187" s="20"/>
      <c r="G187" s="21" t="s">
        <v>23</v>
      </c>
      <c r="H187" s="21" t="s">
        <v>23</v>
      </c>
      <c r="I187" s="21" t="s">
        <v>30</v>
      </c>
      <c r="J187" s="17" t="s">
        <v>25</v>
      </c>
      <c r="K187" s="17" t="s">
        <v>26</v>
      </c>
      <c r="L187" s="17" t="s">
        <v>32</v>
      </c>
      <c r="M187" s="19" t="s">
        <v>28</v>
      </c>
      <c r="N187" s="17"/>
      <c r="O187" s="22"/>
      <c r="P187" s="22"/>
      <c r="Q187" s="31">
        <f t="shared" si="9"/>
        <v>1</v>
      </c>
      <c r="R187" s="32" t="str">
        <f t="shared" si="11"/>
        <v>P02.087</v>
      </c>
    </row>
    <row r="188" spans="1:18">
      <c r="A188" s="18"/>
      <c r="B188" s="18"/>
      <c r="C188" s="18"/>
      <c r="D188" s="17">
        <f t="shared" si="10"/>
        <v>600</v>
      </c>
      <c r="E188" s="19" t="s">
        <v>284</v>
      </c>
      <c r="F188" s="20" t="s">
        <v>715</v>
      </c>
      <c r="G188" s="21" t="s">
        <v>23</v>
      </c>
      <c r="H188" s="21" t="s">
        <v>286</v>
      </c>
      <c r="I188" s="21" t="s">
        <v>287</v>
      </c>
      <c r="J188" s="17" t="s">
        <v>439</v>
      </c>
      <c r="K188" s="17" t="s">
        <v>26</v>
      </c>
      <c r="L188" s="17" t="s">
        <v>32</v>
      </c>
      <c r="M188" s="19" t="s">
        <v>28</v>
      </c>
      <c r="N188" s="17"/>
      <c r="O188" s="22" t="s">
        <v>716</v>
      </c>
      <c r="P188" s="22"/>
      <c r="Q188" s="31">
        <f t="shared" si="9"/>
        <v>1</v>
      </c>
      <c r="R188" s="32" t="str">
        <f t="shared" si="11"/>
        <v>P02.088</v>
      </c>
    </row>
    <row r="189" spans="1:18">
      <c r="A189" s="18"/>
      <c r="B189" s="18"/>
      <c r="C189" s="18"/>
      <c r="D189" s="17">
        <f t="shared" si="10"/>
        <v>604</v>
      </c>
      <c r="E189" s="19" t="s">
        <v>284</v>
      </c>
      <c r="F189" s="20" t="s">
        <v>717</v>
      </c>
      <c r="G189" s="21" t="s">
        <v>23</v>
      </c>
      <c r="H189" s="21" t="s">
        <v>286</v>
      </c>
      <c r="I189" s="21" t="s">
        <v>287</v>
      </c>
      <c r="J189" s="17" t="s">
        <v>439</v>
      </c>
      <c r="K189" s="17" t="s">
        <v>26</v>
      </c>
      <c r="L189" s="17" t="s">
        <v>32</v>
      </c>
      <c r="M189" s="19" t="s">
        <v>28</v>
      </c>
      <c r="N189" s="17"/>
      <c r="O189" s="22" t="s">
        <v>718</v>
      </c>
      <c r="P189" s="22"/>
      <c r="Q189" s="31">
        <f t="shared" si="9"/>
        <v>1</v>
      </c>
      <c r="R189" s="32" t="str">
        <f t="shared" si="11"/>
        <v>P02.092</v>
      </c>
    </row>
    <row r="190" spans="1:18">
      <c r="A190" s="18"/>
      <c r="B190" s="18"/>
      <c r="C190" s="18"/>
      <c r="D190" s="17">
        <f t="shared" si="10"/>
        <v>608</v>
      </c>
      <c r="E190" s="19" t="s">
        <v>273</v>
      </c>
      <c r="F190" s="20" t="s">
        <v>719</v>
      </c>
      <c r="G190" s="21" t="s">
        <v>23</v>
      </c>
      <c r="H190" s="21" t="s">
        <v>275</v>
      </c>
      <c r="I190" s="21" t="s">
        <v>276</v>
      </c>
      <c r="J190" s="17" t="s">
        <v>439</v>
      </c>
      <c r="K190" s="17" t="s">
        <v>26</v>
      </c>
      <c r="L190" s="17" t="s">
        <v>32</v>
      </c>
      <c r="M190" s="19" t="s">
        <v>28</v>
      </c>
      <c r="N190" s="17"/>
      <c r="O190" s="22" t="s">
        <v>720</v>
      </c>
      <c r="P190" s="22"/>
      <c r="Q190" s="31">
        <f t="shared" si="9"/>
        <v>1</v>
      </c>
      <c r="R190" s="32" t="str">
        <f t="shared" si="11"/>
        <v>P02.096</v>
      </c>
    </row>
    <row r="191" spans="1:18">
      <c r="A191" s="18"/>
      <c r="B191" s="18"/>
      <c r="C191" s="18"/>
      <c r="D191" s="17">
        <f t="shared" si="10"/>
        <v>610</v>
      </c>
      <c r="E191" s="19" t="s">
        <v>273</v>
      </c>
      <c r="F191" s="20" t="s">
        <v>721</v>
      </c>
      <c r="G191" s="21" t="s">
        <v>23</v>
      </c>
      <c r="H191" s="21" t="s">
        <v>275</v>
      </c>
      <c r="I191" s="21" t="s">
        <v>276</v>
      </c>
      <c r="J191" s="17" t="s">
        <v>722</v>
      </c>
      <c r="K191" s="17" t="s">
        <v>26</v>
      </c>
      <c r="L191" s="17" t="s">
        <v>32</v>
      </c>
      <c r="M191" s="19" t="s">
        <v>28</v>
      </c>
      <c r="N191" s="17"/>
      <c r="O191" s="22" t="s">
        <v>723</v>
      </c>
      <c r="P191" s="22"/>
      <c r="Q191" s="31">
        <f t="shared" si="9"/>
        <v>1</v>
      </c>
      <c r="R191" s="32" t="str">
        <f t="shared" si="11"/>
        <v>P02.098</v>
      </c>
    </row>
    <row r="192" spans="1:18">
      <c r="A192" s="18"/>
      <c r="B192" s="18"/>
      <c r="C192" s="18"/>
      <c r="D192" s="17">
        <f t="shared" si="10"/>
        <v>612</v>
      </c>
      <c r="E192" s="19" t="s">
        <v>273</v>
      </c>
      <c r="F192" s="20" t="s">
        <v>724</v>
      </c>
      <c r="G192" s="21" t="s">
        <v>23</v>
      </c>
      <c r="H192" s="21" t="s">
        <v>275</v>
      </c>
      <c r="I192" s="21" t="s">
        <v>276</v>
      </c>
      <c r="J192" s="17" t="s">
        <v>722</v>
      </c>
      <c r="K192" s="17" t="s">
        <v>26</v>
      </c>
      <c r="L192" s="17" t="s">
        <v>32</v>
      </c>
      <c r="M192" s="19" t="s">
        <v>28</v>
      </c>
      <c r="N192" s="17"/>
      <c r="O192" s="22" t="s">
        <v>725</v>
      </c>
      <c r="P192" s="22"/>
      <c r="Q192" s="31">
        <f t="shared" si="9"/>
        <v>1</v>
      </c>
      <c r="R192" s="32" t="str">
        <f t="shared" si="11"/>
        <v>P02.100</v>
      </c>
    </row>
    <row r="193" spans="1:18">
      <c r="A193" s="18"/>
      <c r="B193" s="18"/>
      <c r="C193" s="18"/>
      <c r="D193" s="17">
        <f t="shared" si="10"/>
        <v>614</v>
      </c>
      <c r="E193" s="19" t="s">
        <v>92</v>
      </c>
      <c r="F193" s="20" t="s">
        <v>726</v>
      </c>
      <c r="G193" s="21" t="s">
        <v>23</v>
      </c>
      <c r="H193" s="21" t="s">
        <v>94</v>
      </c>
      <c r="I193" s="21" t="s">
        <v>95</v>
      </c>
      <c r="J193" s="17" t="s">
        <v>90</v>
      </c>
      <c r="K193" s="17" t="s">
        <v>26</v>
      </c>
      <c r="L193" s="17" t="s">
        <v>32</v>
      </c>
      <c r="M193" s="19" t="s">
        <v>28</v>
      </c>
      <c r="N193" s="17"/>
      <c r="O193" s="22" t="s">
        <v>727</v>
      </c>
      <c r="P193" s="22"/>
      <c r="Q193" s="31">
        <f t="shared" si="9"/>
        <v>1</v>
      </c>
      <c r="R193" s="32" t="str">
        <f t="shared" si="11"/>
        <v>P02.102</v>
      </c>
    </row>
    <row r="194" spans="1:18">
      <c r="A194" s="18"/>
      <c r="B194" s="18"/>
      <c r="C194" s="18"/>
      <c r="D194" s="17">
        <f t="shared" si="10"/>
        <v>615</v>
      </c>
      <c r="E194" s="19" t="s">
        <v>92</v>
      </c>
      <c r="F194" s="20" t="s">
        <v>728</v>
      </c>
      <c r="G194" s="21" t="s">
        <v>23</v>
      </c>
      <c r="H194" s="21" t="s">
        <v>94</v>
      </c>
      <c r="I194" s="21" t="s">
        <v>95</v>
      </c>
      <c r="J194" s="17" t="s">
        <v>90</v>
      </c>
      <c r="K194" s="17" t="s">
        <v>26</v>
      </c>
      <c r="L194" s="17" t="s">
        <v>32</v>
      </c>
      <c r="M194" s="19" t="s">
        <v>28</v>
      </c>
      <c r="N194" s="17"/>
      <c r="O194" s="22" t="s">
        <v>729</v>
      </c>
      <c r="P194" s="22"/>
      <c r="Q194" s="31">
        <f t="shared" si="9"/>
        <v>1</v>
      </c>
      <c r="R194" s="32" t="str">
        <f t="shared" si="11"/>
        <v>P02.103</v>
      </c>
    </row>
    <row r="195" spans="1:18">
      <c r="A195" s="18"/>
      <c r="B195" s="18"/>
      <c r="C195" s="18"/>
      <c r="D195" s="17">
        <f t="shared" si="10"/>
        <v>616</v>
      </c>
      <c r="E195" s="19" t="s">
        <v>29</v>
      </c>
      <c r="F195" s="20"/>
      <c r="G195" s="21" t="s">
        <v>23</v>
      </c>
      <c r="H195" s="21" t="s">
        <v>23</v>
      </c>
      <c r="I195" s="21" t="s">
        <v>30</v>
      </c>
      <c r="J195" s="17" t="s">
        <v>25</v>
      </c>
      <c r="K195" s="17" t="s">
        <v>26</v>
      </c>
      <c r="L195" s="17" t="s">
        <v>32</v>
      </c>
      <c r="M195" s="19" t="s">
        <v>28</v>
      </c>
      <c r="N195" s="17"/>
      <c r="O195" s="22"/>
      <c r="P195" s="22"/>
      <c r="Q195" s="31">
        <f t="shared" si="9"/>
        <v>1</v>
      </c>
      <c r="R195" s="32" t="str">
        <f t="shared" si="11"/>
        <v>P02.104</v>
      </c>
    </row>
    <row r="196" spans="1:18">
      <c r="A196" s="18"/>
      <c r="B196" s="18"/>
      <c r="C196" s="18"/>
      <c r="D196" s="17">
        <f t="shared" si="10"/>
        <v>617</v>
      </c>
      <c r="E196" s="19" t="s">
        <v>92</v>
      </c>
      <c r="F196" s="20" t="s">
        <v>730</v>
      </c>
      <c r="G196" s="21" t="s">
        <v>23</v>
      </c>
      <c r="H196" s="21" t="s">
        <v>94</v>
      </c>
      <c r="I196" s="21" t="s">
        <v>95</v>
      </c>
      <c r="J196" s="17" t="s">
        <v>125</v>
      </c>
      <c r="K196" s="17" t="s">
        <v>26</v>
      </c>
      <c r="L196" s="17" t="s">
        <v>32</v>
      </c>
      <c r="M196" s="19" t="s">
        <v>28</v>
      </c>
      <c r="N196" s="17"/>
      <c r="O196" s="22" t="s">
        <v>731</v>
      </c>
      <c r="P196" s="22"/>
      <c r="Q196" s="31">
        <f t="shared" si="9"/>
        <v>1</v>
      </c>
      <c r="R196" s="32" t="str">
        <f t="shared" si="11"/>
        <v>P02.105</v>
      </c>
    </row>
    <row r="197" spans="1:18">
      <c r="A197" s="18"/>
      <c r="B197" s="18"/>
      <c r="C197" s="18"/>
      <c r="D197" s="17">
        <f t="shared" si="10"/>
        <v>618</v>
      </c>
      <c r="E197" s="19" t="s">
        <v>92</v>
      </c>
      <c r="F197" s="20" t="s">
        <v>732</v>
      </c>
      <c r="G197" s="21" t="s">
        <v>23</v>
      </c>
      <c r="H197" s="21" t="s">
        <v>94</v>
      </c>
      <c r="I197" s="21" t="s">
        <v>95</v>
      </c>
      <c r="J197" s="17" t="s">
        <v>125</v>
      </c>
      <c r="K197" s="17" t="s">
        <v>26</v>
      </c>
      <c r="L197" s="17" t="s">
        <v>32</v>
      </c>
      <c r="M197" s="19" t="s">
        <v>28</v>
      </c>
      <c r="N197" s="17"/>
      <c r="O197" s="22" t="s">
        <v>733</v>
      </c>
      <c r="P197" s="22"/>
      <c r="Q197" s="31">
        <f t="shared" si="9"/>
        <v>1</v>
      </c>
      <c r="R197" s="32" t="str">
        <f t="shared" si="11"/>
        <v>P02.106</v>
      </c>
    </row>
    <row r="198" spans="1:18">
      <c r="A198" s="18"/>
      <c r="B198" s="18"/>
      <c r="C198" s="18"/>
      <c r="D198" s="17">
        <f t="shared" si="10"/>
        <v>619</v>
      </c>
      <c r="E198" s="19" t="s">
        <v>92</v>
      </c>
      <c r="F198" s="20" t="s">
        <v>734</v>
      </c>
      <c r="G198" s="21" t="s">
        <v>23</v>
      </c>
      <c r="H198" s="21" t="s">
        <v>94</v>
      </c>
      <c r="I198" s="21" t="s">
        <v>95</v>
      </c>
      <c r="J198" s="17" t="s">
        <v>125</v>
      </c>
      <c r="K198" s="17" t="s">
        <v>26</v>
      </c>
      <c r="L198" s="17" t="s">
        <v>32</v>
      </c>
      <c r="M198" s="19" t="s">
        <v>28</v>
      </c>
      <c r="N198" s="17"/>
      <c r="O198" s="22" t="s">
        <v>735</v>
      </c>
      <c r="P198" s="22"/>
      <c r="Q198" s="31">
        <f t="shared" ref="Q198:Q261" si="12">IF(OR(F198="",LEFT(TRIM(F198),3)=E198),1,0)</f>
        <v>1</v>
      </c>
      <c r="R198" s="32" t="str">
        <f t="shared" si="11"/>
        <v>P02.107</v>
      </c>
    </row>
    <row r="199" spans="1:18">
      <c r="A199" s="18"/>
      <c r="B199" s="18"/>
      <c r="C199" s="18"/>
      <c r="D199" s="17">
        <f t="shared" si="10"/>
        <v>620</v>
      </c>
      <c r="E199" s="19" t="s">
        <v>29</v>
      </c>
      <c r="F199" s="20"/>
      <c r="G199" s="21" t="s">
        <v>23</v>
      </c>
      <c r="H199" s="21" t="s">
        <v>23</v>
      </c>
      <c r="I199" s="21" t="s">
        <v>30</v>
      </c>
      <c r="J199" s="17" t="s">
        <v>25</v>
      </c>
      <c r="K199" s="17" t="s">
        <v>26</v>
      </c>
      <c r="L199" s="17" t="s">
        <v>32</v>
      </c>
      <c r="M199" s="19" t="s">
        <v>28</v>
      </c>
      <c r="N199" s="17"/>
      <c r="O199" s="22"/>
      <c r="P199" s="22"/>
      <c r="Q199" s="31">
        <f t="shared" si="12"/>
        <v>1</v>
      </c>
      <c r="R199" s="32" t="str">
        <f t="shared" si="11"/>
        <v>P02.108</v>
      </c>
    </row>
    <row r="200" spans="1:18">
      <c r="A200" s="18"/>
      <c r="B200" s="18"/>
      <c r="C200" s="18"/>
      <c r="D200" s="17">
        <f t="shared" si="10"/>
        <v>621</v>
      </c>
      <c r="E200" s="19" t="s">
        <v>29</v>
      </c>
      <c r="F200" s="20"/>
      <c r="G200" s="21" t="s">
        <v>23</v>
      </c>
      <c r="H200" s="21" t="s">
        <v>23</v>
      </c>
      <c r="I200" s="21" t="s">
        <v>30</v>
      </c>
      <c r="J200" s="17" t="s">
        <v>25</v>
      </c>
      <c r="K200" s="17" t="s">
        <v>26</v>
      </c>
      <c r="L200" s="17" t="s">
        <v>32</v>
      </c>
      <c r="M200" s="19" t="s">
        <v>28</v>
      </c>
      <c r="N200" s="17"/>
      <c r="O200" s="22"/>
      <c r="P200" s="22"/>
      <c r="Q200" s="31">
        <f t="shared" si="12"/>
        <v>1</v>
      </c>
      <c r="R200" s="32" t="str">
        <f t="shared" si="11"/>
        <v>P02.109</v>
      </c>
    </row>
    <row r="201" spans="1:18">
      <c r="A201" s="18"/>
      <c r="B201" s="18"/>
      <c r="C201" s="18"/>
      <c r="D201" s="17">
        <f t="shared" si="10"/>
        <v>622</v>
      </c>
      <c r="E201" s="19" t="s">
        <v>29</v>
      </c>
      <c r="F201" s="20"/>
      <c r="G201" s="21" t="s">
        <v>23</v>
      </c>
      <c r="H201" s="21" t="s">
        <v>23</v>
      </c>
      <c r="I201" s="21" t="s">
        <v>30</v>
      </c>
      <c r="J201" s="17" t="s">
        <v>25</v>
      </c>
      <c r="K201" s="17" t="s">
        <v>26</v>
      </c>
      <c r="L201" s="17" t="s">
        <v>32</v>
      </c>
      <c r="M201" s="19" t="s">
        <v>28</v>
      </c>
      <c r="N201" s="17"/>
      <c r="O201" s="22"/>
      <c r="P201" s="22"/>
      <c r="Q201" s="31">
        <f t="shared" si="12"/>
        <v>1</v>
      </c>
      <c r="R201" s="32" t="str">
        <f t="shared" si="11"/>
        <v>P02.110</v>
      </c>
    </row>
    <row r="202" spans="1:18">
      <c r="A202" s="18"/>
      <c r="B202" s="18"/>
      <c r="C202" s="18"/>
      <c r="D202" s="17">
        <f t="shared" si="10"/>
        <v>623</v>
      </c>
      <c r="E202" s="19" t="s">
        <v>29</v>
      </c>
      <c r="F202" s="20"/>
      <c r="G202" s="21" t="s">
        <v>23</v>
      </c>
      <c r="H202" s="21" t="s">
        <v>23</v>
      </c>
      <c r="I202" s="21" t="s">
        <v>30</v>
      </c>
      <c r="J202" s="17" t="s">
        <v>25</v>
      </c>
      <c r="K202" s="17" t="s">
        <v>26</v>
      </c>
      <c r="L202" s="17" t="s">
        <v>32</v>
      </c>
      <c r="M202" s="19" t="s">
        <v>28</v>
      </c>
      <c r="N202" s="17"/>
      <c r="O202" s="22"/>
      <c r="P202" s="22"/>
      <c r="Q202" s="31">
        <f t="shared" si="12"/>
        <v>1</v>
      </c>
      <c r="R202" s="32" t="str">
        <f t="shared" si="11"/>
        <v>P02.111</v>
      </c>
    </row>
    <row r="203" spans="1:18">
      <c r="A203" s="18"/>
      <c r="B203" s="18"/>
      <c r="C203" s="18"/>
      <c r="D203" s="17">
        <f t="shared" si="10"/>
        <v>624</v>
      </c>
      <c r="E203" s="19" t="s">
        <v>29</v>
      </c>
      <c r="F203" s="20" t="s">
        <v>736</v>
      </c>
      <c r="G203" s="21" t="s">
        <v>23</v>
      </c>
      <c r="H203" s="21" t="s">
        <v>23</v>
      </c>
      <c r="I203" s="21" t="s">
        <v>30</v>
      </c>
      <c r="J203" s="17" t="s">
        <v>25</v>
      </c>
      <c r="K203" s="17" t="s">
        <v>26</v>
      </c>
      <c r="L203" s="17" t="s">
        <v>32</v>
      </c>
      <c r="M203" s="19" t="s">
        <v>28</v>
      </c>
      <c r="N203" s="20"/>
      <c r="O203" s="22" t="s">
        <v>737</v>
      </c>
      <c r="P203" s="22"/>
      <c r="Q203" s="31">
        <f t="shared" si="12"/>
        <v>0</v>
      </c>
      <c r="R203" s="32" t="str">
        <f t="shared" si="11"/>
        <v>P02.112</v>
      </c>
    </row>
    <row r="204" spans="1:18">
      <c r="A204" s="18"/>
      <c r="B204" s="18"/>
      <c r="C204" s="18"/>
      <c r="D204" s="17">
        <f t="shared" si="10"/>
        <v>625</v>
      </c>
      <c r="E204" s="19" t="s">
        <v>29</v>
      </c>
      <c r="F204" s="20" t="s">
        <v>738</v>
      </c>
      <c r="G204" s="21" t="s">
        <v>23</v>
      </c>
      <c r="H204" s="21" t="s">
        <v>23</v>
      </c>
      <c r="I204" s="21" t="s">
        <v>30</v>
      </c>
      <c r="J204" s="17" t="s">
        <v>25</v>
      </c>
      <c r="K204" s="17" t="s">
        <v>26</v>
      </c>
      <c r="L204" s="17" t="s">
        <v>32</v>
      </c>
      <c r="M204" s="19" t="s">
        <v>28</v>
      </c>
      <c r="N204" s="20"/>
      <c r="O204" s="22" t="s">
        <v>739</v>
      </c>
      <c r="P204" s="22"/>
      <c r="Q204" s="31">
        <f t="shared" si="12"/>
        <v>0</v>
      </c>
      <c r="R204" s="32" t="str">
        <f t="shared" si="11"/>
        <v>P02.113</v>
      </c>
    </row>
    <row r="205" spans="1:18">
      <c r="A205" s="18"/>
      <c r="B205" s="18"/>
      <c r="C205" s="18"/>
      <c r="D205" s="17">
        <f t="shared" si="10"/>
        <v>626</v>
      </c>
      <c r="E205" s="19" t="s">
        <v>29</v>
      </c>
      <c r="F205" s="20"/>
      <c r="G205" s="21" t="s">
        <v>23</v>
      </c>
      <c r="H205" s="21" t="s">
        <v>23</v>
      </c>
      <c r="I205" s="21" t="s">
        <v>30</v>
      </c>
      <c r="J205" s="17" t="s">
        <v>25</v>
      </c>
      <c r="K205" s="17" t="s">
        <v>26</v>
      </c>
      <c r="L205" s="17" t="s">
        <v>32</v>
      </c>
      <c r="M205" s="19" t="s">
        <v>28</v>
      </c>
      <c r="N205" s="17"/>
      <c r="O205" s="22"/>
      <c r="P205" s="22"/>
      <c r="Q205" s="31">
        <f t="shared" si="12"/>
        <v>1</v>
      </c>
      <c r="R205" s="32" t="str">
        <f t="shared" si="11"/>
        <v>P02.114</v>
      </c>
    </row>
    <row r="206" spans="1:18">
      <c r="A206" s="18"/>
      <c r="B206" s="18"/>
      <c r="C206" s="18"/>
      <c r="D206" s="17">
        <f t="shared" si="10"/>
        <v>627</v>
      </c>
      <c r="E206" s="19" t="s">
        <v>29</v>
      </c>
      <c r="F206" s="20" t="s">
        <v>740</v>
      </c>
      <c r="G206" s="21" t="s">
        <v>23</v>
      </c>
      <c r="H206" s="21" t="s">
        <v>23</v>
      </c>
      <c r="I206" s="21" t="s">
        <v>40</v>
      </c>
      <c r="J206" s="17" t="s">
        <v>25</v>
      </c>
      <c r="K206" s="17" t="s">
        <v>26</v>
      </c>
      <c r="L206" s="17" t="s">
        <v>32</v>
      </c>
      <c r="M206" s="19" t="s">
        <v>28</v>
      </c>
      <c r="N206" s="17"/>
      <c r="O206" s="22" t="s">
        <v>741</v>
      </c>
      <c r="P206" s="22" t="s">
        <v>742</v>
      </c>
      <c r="Q206" s="31">
        <f t="shared" si="12"/>
        <v>0</v>
      </c>
      <c r="R206" s="32" t="str">
        <f t="shared" si="11"/>
        <v>P02.115</v>
      </c>
    </row>
    <row r="207" spans="1:18">
      <c r="A207" s="18"/>
      <c r="B207" s="18"/>
      <c r="C207" s="18"/>
      <c r="D207" s="17">
        <f t="shared" si="10"/>
        <v>628</v>
      </c>
      <c r="E207" s="19" t="s">
        <v>29</v>
      </c>
      <c r="F207" s="20" t="s">
        <v>743</v>
      </c>
      <c r="G207" s="21" t="s">
        <v>23</v>
      </c>
      <c r="H207" s="21" t="s">
        <v>23</v>
      </c>
      <c r="I207" s="21" t="s">
        <v>40</v>
      </c>
      <c r="J207" s="17" t="s">
        <v>25</v>
      </c>
      <c r="K207" s="17" t="s">
        <v>26</v>
      </c>
      <c r="L207" s="17" t="s">
        <v>32</v>
      </c>
      <c r="M207" s="19" t="s">
        <v>28</v>
      </c>
      <c r="N207" s="17"/>
      <c r="O207" s="22" t="s">
        <v>744</v>
      </c>
      <c r="P207" s="22" t="s">
        <v>742</v>
      </c>
      <c r="Q207" s="31">
        <f t="shared" si="12"/>
        <v>0</v>
      </c>
      <c r="R207" s="32" t="str">
        <f t="shared" si="11"/>
        <v>P02.116</v>
      </c>
    </row>
    <row r="208" spans="1:18">
      <c r="A208" s="18"/>
      <c r="B208" s="18"/>
      <c r="C208" s="18"/>
      <c r="D208" s="17">
        <f t="shared" si="10"/>
        <v>629</v>
      </c>
      <c r="E208" s="19" t="s">
        <v>29</v>
      </c>
      <c r="F208" s="20" t="s">
        <v>745</v>
      </c>
      <c r="G208" s="21" t="s">
        <v>23</v>
      </c>
      <c r="H208" s="21" t="s">
        <v>23</v>
      </c>
      <c r="I208" s="21" t="s">
        <v>40</v>
      </c>
      <c r="J208" s="17" t="s">
        <v>25</v>
      </c>
      <c r="K208" s="17" t="s">
        <v>26</v>
      </c>
      <c r="L208" s="17" t="s">
        <v>32</v>
      </c>
      <c r="M208" s="19" t="s">
        <v>28</v>
      </c>
      <c r="N208" s="17"/>
      <c r="O208" s="22" t="s">
        <v>746</v>
      </c>
      <c r="P208" s="22" t="s">
        <v>742</v>
      </c>
      <c r="Q208" s="31">
        <f t="shared" si="12"/>
        <v>0</v>
      </c>
      <c r="R208" s="32" t="str">
        <f t="shared" si="11"/>
        <v>P02.117</v>
      </c>
    </row>
    <row r="209" spans="1:18">
      <c r="A209" s="18"/>
      <c r="B209" s="18"/>
      <c r="C209" s="18"/>
      <c r="D209" s="17">
        <f t="shared" si="10"/>
        <v>630</v>
      </c>
      <c r="E209" s="19" t="s">
        <v>29</v>
      </c>
      <c r="F209" s="20" t="s">
        <v>747</v>
      </c>
      <c r="G209" s="21" t="s">
        <v>23</v>
      </c>
      <c r="H209" s="21" t="s">
        <v>23</v>
      </c>
      <c r="I209" s="21" t="s">
        <v>40</v>
      </c>
      <c r="J209" s="17" t="s">
        <v>25</v>
      </c>
      <c r="K209" s="17" t="s">
        <v>26</v>
      </c>
      <c r="L209" s="17" t="s">
        <v>32</v>
      </c>
      <c r="M209" s="19" t="s">
        <v>28</v>
      </c>
      <c r="N209" s="17"/>
      <c r="O209" s="22" t="s">
        <v>748</v>
      </c>
      <c r="P209" s="22" t="s">
        <v>742</v>
      </c>
      <c r="Q209" s="31">
        <f t="shared" si="12"/>
        <v>0</v>
      </c>
      <c r="R209" s="32" t="str">
        <f t="shared" si="11"/>
        <v>P02.118</v>
      </c>
    </row>
    <row r="210" spans="1:18">
      <c r="A210" s="18"/>
      <c r="B210" s="18"/>
      <c r="C210" s="18"/>
      <c r="D210" s="17">
        <f t="shared" si="10"/>
        <v>631</v>
      </c>
      <c r="E210" s="19" t="s">
        <v>29</v>
      </c>
      <c r="F210" s="20" t="s">
        <v>749</v>
      </c>
      <c r="G210" s="21" t="s">
        <v>23</v>
      </c>
      <c r="H210" s="21" t="s">
        <v>23</v>
      </c>
      <c r="I210" s="21" t="s">
        <v>40</v>
      </c>
      <c r="J210" s="17" t="s">
        <v>25</v>
      </c>
      <c r="K210" s="17" t="s">
        <v>26</v>
      </c>
      <c r="L210" s="17" t="s">
        <v>32</v>
      </c>
      <c r="M210" s="19" t="s">
        <v>28</v>
      </c>
      <c r="N210" s="17"/>
      <c r="O210" s="22" t="s">
        <v>750</v>
      </c>
      <c r="P210" s="22" t="s">
        <v>742</v>
      </c>
      <c r="Q210" s="31">
        <f t="shared" si="12"/>
        <v>0</v>
      </c>
      <c r="R210" s="32" t="str">
        <f t="shared" si="11"/>
        <v>P02.119</v>
      </c>
    </row>
    <row r="211" spans="1:18">
      <c r="A211" s="18"/>
      <c r="B211" s="18"/>
      <c r="C211" s="18"/>
      <c r="D211" s="17">
        <f t="shared" si="10"/>
        <v>632</v>
      </c>
      <c r="E211" s="19" t="s">
        <v>29</v>
      </c>
      <c r="F211" s="20" t="s">
        <v>751</v>
      </c>
      <c r="G211" s="21" t="s">
        <v>23</v>
      </c>
      <c r="H211" s="21" t="s">
        <v>23</v>
      </c>
      <c r="I211" s="21" t="s">
        <v>40</v>
      </c>
      <c r="J211" s="17" t="s">
        <v>25</v>
      </c>
      <c r="K211" s="17" t="s">
        <v>26</v>
      </c>
      <c r="L211" s="17" t="s">
        <v>32</v>
      </c>
      <c r="M211" s="19" t="s">
        <v>28</v>
      </c>
      <c r="N211" s="17"/>
      <c r="O211" s="22" t="s">
        <v>752</v>
      </c>
      <c r="P211" s="22" t="s">
        <v>742</v>
      </c>
      <c r="Q211" s="31">
        <f t="shared" si="12"/>
        <v>0</v>
      </c>
      <c r="R211" s="32" t="str">
        <f t="shared" si="11"/>
        <v>P02.120</v>
      </c>
    </row>
    <row r="212" spans="1:18">
      <c r="A212" s="18"/>
      <c r="B212" s="18"/>
      <c r="C212" s="18"/>
      <c r="D212" s="17">
        <f t="shared" si="10"/>
        <v>633</v>
      </c>
      <c r="E212" s="19" t="s">
        <v>29</v>
      </c>
      <c r="F212" s="20" t="s">
        <v>753</v>
      </c>
      <c r="G212" s="21" t="s">
        <v>23</v>
      </c>
      <c r="H212" s="21" t="s">
        <v>23</v>
      </c>
      <c r="I212" s="21" t="s">
        <v>40</v>
      </c>
      <c r="J212" s="17" t="s">
        <v>25</v>
      </c>
      <c r="K212" s="17" t="s">
        <v>26</v>
      </c>
      <c r="L212" s="17" t="s">
        <v>32</v>
      </c>
      <c r="M212" s="19" t="s">
        <v>28</v>
      </c>
      <c r="N212" s="17"/>
      <c r="O212" s="22" t="s">
        <v>754</v>
      </c>
      <c r="P212" s="22" t="s">
        <v>742</v>
      </c>
      <c r="Q212" s="31">
        <f t="shared" si="12"/>
        <v>0</v>
      </c>
      <c r="R212" s="32" t="str">
        <f t="shared" si="11"/>
        <v>P02.121</v>
      </c>
    </row>
    <row r="213" spans="1:18">
      <c r="A213" s="18"/>
      <c r="B213" s="18"/>
      <c r="C213" s="18"/>
      <c r="D213" s="17">
        <f t="shared" si="10"/>
        <v>634</v>
      </c>
      <c r="E213" s="19" t="s">
        <v>29</v>
      </c>
      <c r="F213" s="20" t="s">
        <v>755</v>
      </c>
      <c r="G213" s="21" t="s">
        <v>23</v>
      </c>
      <c r="H213" s="21" t="s">
        <v>23</v>
      </c>
      <c r="I213" s="21" t="s">
        <v>40</v>
      </c>
      <c r="J213" s="17" t="s">
        <v>25</v>
      </c>
      <c r="K213" s="17" t="s">
        <v>26</v>
      </c>
      <c r="L213" s="17" t="s">
        <v>32</v>
      </c>
      <c r="M213" s="19" t="s">
        <v>28</v>
      </c>
      <c r="N213" s="17"/>
      <c r="O213" s="22" t="s">
        <v>756</v>
      </c>
      <c r="P213" s="22" t="s">
        <v>742</v>
      </c>
      <c r="Q213" s="31">
        <f t="shared" si="12"/>
        <v>0</v>
      </c>
      <c r="R213" s="32" t="str">
        <f t="shared" si="11"/>
        <v>P02.122</v>
      </c>
    </row>
    <row r="214" spans="1:18">
      <c r="A214" s="18"/>
      <c r="B214" s="18"/>
      <c r="C214" s="18"/>
      <c r="D214" s="17">
        <f t="shared" si="10"/>
        <v>635</v>
      </c>
      <c r="E214" s="19" t="s">
        <v>29</v>
      </c>
      <c r="F214" s="20" t="s">
        <v>757</v>
      </c>
      <c r="G214" s="21" t="s">
        <v>23</v>
      </c>
      <c r="H214" s="21" t="s">
        <v>23</v>
      </c>
      <c r="I214" s="21" t="s">
        <v>40</v>
      </c>
      <c r="J214" s="17" t="s">
        <v>25</v>
      </c>
      <c r="K214" s="17" t="s">
        <v>26</v>
      </c>
      <c r="L214" s="17" t="s">
        <v>32</v>
      </c>
      <c r="M214" s="19" t="s">
        <v>28</v>
      </c>
      <c r="N214" s="17"/>
      <c r="O214" s="22" t="s">
        <v>758</v>
      </c>
      <c r="P214" s="22" t="s">
        <v>742</v>
      </c>
      <c r="Q214" s="31">
        <f t="shared" si="12"/>
        <v>0</v>
      </c>
      <c r="R214" s="32" t="str">
        <f t="shared" si="11"/>
        <v>P02.123</v>
      </c>
    </row>
    <row r="215" spans="1:18">
      <c r="A215" s="18"/>
      <c r="B215" s="18"/>
      <c r="C215" s="18"/>
      <c r="D215" s="17">
        <f t="shared" si="10"/>
        <v>636</v>
      </c>
      <c r="E215" s="19" t="s">
        <v>29</v>
      </c>
      <c r="F215" s="20" t="s">
        <v>759</v>
      </c>
      <c r="G215" s="21" t="s">
        <v>23</v>
      </c>
      <c r="H215" s="21" t="s">
        <v>23</v>
      </c>
      <c r="I215" s="21" t="s">
        <v>40</v>
      </c>
      <c r="J215" s="17" t="s">
        <v>25</v>
      </c>
      <c r="K215" s="17" t="s">
        <v>26</v>
      </c>
      <c r="L215" s="17" t="s">
        <v>32</v>
      </c>
      <c r="M215" s="19" t="s">
        <v>28</v>
      </c>
      <c r="N215" s="17"/>
      <c r="O215" s="22" t="s">
        <v>760</v>
      </c>
      <c r="P215" s="22" t="s">
        <v>742</v>
      </c>
      <c r="Q215" s="31">
        <f t="shared" si="12"/>
        <v>0</v>
      </c>
      <c r="R215" s="32" t="str">
        <f t="shared" si="11"/>
        <v>P02.124</v>
      </c>
    </row>
    <row r="216" spans="1:18">
      <c r="A216" s="18"/>
      <c r="B216" s="18"/>
      <c r="C216" s="18"/>
      <c r="D216" s="17">
        <f t="shared" si="10"/>
        <v>637</v>
      </c>
      <c r="E216" s="19" t="s">
        <v>29</v>
      </c>
      <c r="F216" s="20" t="s">
        <v>761</v>
      </c>
      <c r="G216" s="21" t="s">
        <v>23</v>
      </c>
      <c r="H216" s="21" t="s">
        <v>23</v>
      </c>
      <c r="I216" s="21" t="s">
        <v>40</v>
      </c>
      <c r="J216" s="17" t="s">
        <v>25</v>
      </c>
      <c r="K216" s="17" t="s">
        <v>26</v>
      </c>
      <c r="L216" s="17" t="s">
        <v>32</v>
      </c>
      <c r="M216" s="19" t="s">
        <v>28</v>
      </c>
      <c r="N216" s="17"/>
      <c r="O216" s="22" t="s">
        <v>762</v>
      </c>
      <c r="P216" s="22" t="s">
        <v>742</v>
      </c>
      <c r="Q216" s="31">
        <f t="shared" si="12"/>
        <v>0</v>
      </c>
      <c r="R216" s="32" t="str">
        <f t="shared" si="11"/>
        <v>P02.125</v>
      </c>
    </row>
    <row r="217" spans="1:18">
      <c r="A217" s="18"/>
      <c r="B217" s="18"/>
      <c r="C217" s="18"/>
      <c r="D217" s="17">
        <f t="shared" si="10"/>
        <v>638</v>
      </c>
      <c r="E217" s="19" t="s">
        <v>29</v>
      </c>
      <c r="F217" s="20" t="s">
        <v>763</v>
      </c>
      <c r="G217" s="21" t="s">
        <v>23</v>
      </c>
      <c r="H217" s="21" t="s">
        <v>23</v>
      </c>
      <c r="I217" s="21" t="s">
        <v>40</v>
      </c>
      <c r="J217" s="17" t="s">
        <v>25</v>
      </c>
      <c r="K217" s="17" t="s">
        <v>26</v>
      </c>
      <c r="L217" s="17" t="s">
        <v>32</v>
      </c>
      <c r="M217" s="19" t="s">
        <v>28</v>
      </c>
      <c r="N217" s="17"/>
      <c r="O217" s="22" t="s">
        <v>764</v>
      </c>
      <c r="P217" s="22" t="s">
        <v>742</v>
      </c>
      <c r="Q217" s="31">
        <f t="shared" si="12"/>
        <v>0</v>
      </c>
      <c r="R217" s="32" t="str">
        <f t="shared" si="11"/>
        <v>P02.126</v>
      </c>
    </row>
    <row r="218" spans="1:18">
      <c r="A218" s="18"/>
      <c r="B218" s="18"/>
      <c r="C218" s="18"/>
      <c r="D218" s="17">
        <f t="shared" ref="D218:D281" si="13">INDEX(D:D,ROW()-1)+_xlfn.IFS(INDEX(E:E,ROW()-1)="u16",1,INDEX(E:E,ROW()-1)="s16",1,INDEX(E:E,ROW()-1)="s32",2,INDEX(E:E,ROW()-1)="s64",4,INDEX(E:E,ROW()-1)="u16",1,INDEX(E:E,ROW()-1)="u32",2,INDEX(E:E,ROW()-1)="u64",4,INDEX(E:E,ROW()-1)="f32",2,INDEX(E:E,ROW()-1)="f64",4)</f>
        <v>639</v>
      </c>
      <c r="E218" s="19" t="s">
        <v>29</v>
      </c>
      <c r="F218" s="20" t="s">
        <v>765</v>
      </c>
      <c r="G218" s="21" t="s">
        <v>23</v>
      </c>
      <c r="H218" s="21" t="s">
        <v>23</v>
      </c>
      <c r="I218" s="21" t="s">
        <v>40</v>
      </c>
      <c r="J218" s="17" t="s">
        <v>25</v>
      </c>
      <c r="K218" s="17" t="s">
        <v>26</v>
      </c>
      <c r="L218" s="17" t="s">
        <v>32</v>
      </c>
      <c r="M218" s="19" t="s">
        <v>28</v>
      </c>
      <c r="N218" s="17"/>
      <c r="O218" s="22" t="s">
        <v>766</v>
      </c>
      <c r="P218" s="22" t="s">
        <v>742</v>
      </c>
      <c r="Q218" s="31">
        <f t="shared" si="12"/>
        <v>0</v>
      </c>
      <c r="R218" s="32" t="str">
        <f t="shared" si="11"/>
        <v>P02.127</v>
      </c>
    </row>
    <row r="219" spans="1:18">
      <c r="A219" s="18"/>
      <c r="B219" s="18"/>
      <c r="C219" s="18"/>
      <c r="D219" s="17">
        <f t="shared" si="13"/>
        <v>640</v>
      </c>
      <c r="E219" s="19" t="s">
        <v>29</v>
      </c>
      <c r="F219" s="20"/>
      <c r="G219" s="21" t="s">
        <v>23</v>
      </c>
      <c r="H219" s="21" t="s">
        <v>23</v>
      </c>
      <c r="I219" s="21" t="s">
        <v>30</v>
      </c>
      <c r="J219" s="17" t="s">
        <v>25</v>
      </c>
      <c r="K219" s="17" t="s">
        <v>26</v>
      </c>
      <c r="L219" s="17" t="s">
        <v>32</v>
      </c>
      <c r="M219" s="19" t="s">
        <v>28</v>
      </c>
      <c r="N219" s="17"/>
      <c r="O219" s="22"/>
      <c r="P219" s="22"/>
      <c r="Q219" s="31">
        <f t="shared" si="12"/>
        <v>1</v>
      </c>
      <c r="R219" s="32" t="str">
        <f t="shared" si="11"/>
        <v>P02.128</v>
      </c>
    </row>
    <row r="220" spans="1:18">
      <c r="A220" s="18"/>
      <c r="B220" s="18"/>
      <c r="C220" s="18"/>
      <c r="D220" s="17">
        <f t="shared" si="13"/>
        <v>641</v>
      </c>
      <c r="E220" s="19" t="s">
        <v>284</v>
      </c>
      <c r="F220" s="20" t="s">
        <v>767</v>
      </c>
      <c r="G220" s="21" t="s">
        <v>23</v>
      </c>
      <c r="H220" s="21" t="s">
        <v>286</v>
      </c>
      <c r="I220" s="21" t="s">
        <v>287</v>
      </c>
      <c r="J220" s="17" t="s">
        <v>25</v>
      </c>
      <c r="K220" s="17" t="s">
        <v>26</v>
      </c>
      <c r="L220" s="17" t="s">
        <v>32</v>
      </c>
      <c r="M220" s="19" t="s">
        <v>28</v>
      </c>
      <c r="N220" s="20"/>
      <c r="O220" s="22" t="s">
        <v>768</v>
      </c>
      <c r="P220" s="22"/>
      <c r="Q220" s="31">
        <f t="shared" si="12"/>
        <v>1</v>
      </c>
      <c r="R220" s="32" t="str">
        <f t="shared" si="11"/>
        <v>P02.129</v>
      </c>
    </row>
    <row r="221" spans="1:18">
      <c r="A221" s="18"/>
      <c r="B221" s="18"/>
      <c r="C221" s="18"/>
      <c r="D221" s="17">
        <f t="shared" si="13"/>
        <v>645</v>
      </c>
      <c r="E221" s="19" t="s">
        <v>284</v>
      </c>
      <c r="F221" s="20" t="s">
        <v>769</v>
      </c>
      <c r="G221" s="21" t="s">
        <v>23</v>
      </c>
      <c r="H221" s="21" t="s">
        <v>286</v>
      </c>
      <c r="I221" s="21" t="s">
        <v>287</v>
      </c>
      <c r="J221" s="17" t="s">
        <v>25</v>
      </c>
      <c r="K221" s="17" t="s">
        <v>26</v>
      </c>
      <c r="L221" s="17" t="s">
        <v>32</v>
      </c>
      <c r="M221" s="19" t="s">
        <v>28</v>
      </c>
      <c r="N221" s="20"/>
      <c r="O221" s="22" t="s">
        <v>770</v>
      </c>
      <c r="P221" s="22"/>
      <c r="Q221" s="31">
        <f t="shared" si="12"/>
        <v>1</v>
      </c>
      <c r="R221" s="32" t="str">
        <f t="shared" si="11"/>
        <v>P02.133</v>
      </c>
    </row>
    <row r="222" spans="1:18">
      <c r="A222" s="18"/>
      <c r="B222" s="18"/>
      <c r="C222" s="18"/>
      <c r="D222" s="17">
        <f t="shared" si="13"/>
        <v>649</v>
      </c>
      <c r="E222" s="19" t="s">
        <v>284</v>
      </c>
      <c r="F222" s="20" t="s">
        <v>771</v>
      </c>
      <c r="G222" s="21" t="s">
        <v>23</v>
      </c>
      <c r="H222" s="21" t="s">
        <v>286</v>
      </c>
      <c r="I222" s="21" t="s">
        <v>287</v>
      </c>
      <c r="J222" s="17" t="s">
        <v>25</v>
      </c>
      <c r="K222" s="17" t="s">
        <v>26</v>
      </c>
      <c r="L222" s="17" t="s">
        <v>32</v>
      </c>
      <c r="M222" s="19" t="s">
        <v>28</v>
      </c>
      <c r="N222" s="20"/>
      <c r="O222" s="22" t="s">
        <v>772</v>
      </c>
      <c r="P222" s="22"/>
      <c r="Q222" s="31">
        <f t="shared" si="12"/>
        <v>1</v>
      </c>
      <c r="R222" s="32" t="str">
        <f t="shared" si="11"/>
        <v>P02.137</v>
      </c>
    </row>
    <row r="223" spans="1:18">
      <c r="A223" s="18"/>
      <c r="B223" s="18"/>
      <c r="C223" s="18"/>
      <c r="D223" s="17">
        <f t="shared" si="13"/>
        <v>653</v>
      </c>
      <c r="E223" s="19" t="s">
        <v>284</v>
      </c>
      <c r="F223" s="20" t="s">
        <v>773</v>
      </c>
      <c r="G223" s="21" t="s">
        <v>23</v>
      </c>
      <c r="H223" s="21" t="s">
        <v>286</v>
      </c>
      <c r="I223" s="21" t="s">
        <v>287</v>
      </c>
      <c r="J223" s="17" t="s">
        <v>25</v>
      </c>
      <c r="K223" s="17" t="s">
        <v>26</v>
      </c>
      <c r="L223" s="17" t="s">
        <v>32</v>
      </c>
      <c r="M223" s="19" t="s">
        <v>28</v>
      </c>
      <c r="N223" s="20"/>
      <c r="O223" s="22" t="s">
        <v>774</v>
      </c>
      <c r="P223" s="22"/>
      <c r="Q223" s="31">
        <f t="shared" si="12"/>
        <v>1</v>
      </c>
      <c r="R223" s="32" t="str">
        <f t="shared" si="11"/>
        <v>P02.141</v>
      </c>
    </row>
    <row r="224" spans="1:18">
      <c r="A224" s="18"/>
      <c r="B224" s="18"/>
      <c r="C224" s="18"/>
      <c r="D224" s="17">
        <f t="shared" si="13"/>
        <v>657</v>
      </c>
      <c r="E224" s="19" t="s">
        <v>29</v>
      </c>
      <c r="F224" s="20" t="s">
        <v>775</v>
      </c>
      <c r="G224" s="21" t="s">
        <v>23</v>
      </c>
      <c r="H224" s="21" t="s">
        <v>23</v>
      </c>
      <c r="I224" s="21" t="s">
        <v>30</v>
      </c>
      <c r="J224" s="17" t="s">
        <v>25</v>
      </c>
      <c r="K224" s="17" t="s">
        <v>26</v>
      </c>
      <c r="L224" s="17" t="s">
        <v>32</v>
      </c>
      <c r="M224" s="19" t="s">
        <v>28</v>
      </c>
      <c r="N224" s="20"/>
      <c r="O224" s="22" t="s">
        <v>776</v>
      </c>
      <c r="P224" s="22"/>
      <c r="Q224" s="31">
        <f t="shared" si="12"/>
        <v>0</v>
      </c>
      <c r="R224" s="32" t="str">
        <f t="shared" si="11"/>
        <v>P02.145</v>
      </c>
    </row>
    <row r="225" spans="1:18">
      <c r="A225" s="18"/>
      <c r="B225" s="18"/>
      <c r="C225" s="18"/>
      <c r="D225" s="17">
        <f t="shared" si="13"/>
        <v>658</v>
      </c>
      <c r="E225" s="19" t="s">
        <v>29</v>
      </c>
      <c r="F225" s="20"/>
      <c r="G225" s="21" t="s">
        <v>23</v>
      </c>
      <c r="H225" s="21" t="s">
        <v>23</v>
      </c>
      <c r="I225" s="21" t="s">
        <v>30</v>
      </c>
      <c r="J225" s="17" t="s">
        <v>25</v>
      </c>
      <c r="K225" s="17" t="s">
        <v>26</v>
      </c>
      <c r="L225" s="17" t="s">
        <v>32</v>
      </c>
      <c r="M225" s="19" t="s">
        <v>28</v>
      </c>
      <c r="N225" s="17"/>
      <c r="O225" s="22"/>
      <c r="P225" s="22"/>
      <c r="Q225" s="31">
        <f t="shared" si="12"/>
        <v>1</v>
      </c>
      <c r="R225" s="32" t="str">
        <f t="shared" si="11"/>
        <v>P02.146</v>
      </c>
    </row>
    <row r="226" spans="1:18">
      <c r="A226" s="18"/>
      <c r="B226" s="18"/>
      <c r="C226" s="18"/>
      <c r="D226" s="17">
        <f t="shared" si="13"/>
        <v>659</v>
      </c>
      <c r="E226" s="19" t="s">
        <v>273</v>
      </c>
      <c r="F226" s="20" t="s">
        <v>777</v>
      </c>
      <c r="G226" s="21" t="s">
        <v>23</v>
      </c>
      <c r="H226" s="21" t="s">
        <v>275</v>
      </c>
      <c r="I226" s="21" t="s">
        <v>276</v>
      </c>
      <c r="J226" s="17" t="s">
        <v>722</v>
      </c>
      <c r="K226" s="17" t="s">
        <v>26</v>
      </c>
      <c r="L226" s="17" t="s">
        <v>32</v>
      </c>
      <c r="M226" s="19" t="s">
        <v>28</v>
      </c>
      <c r="N226" s="20"/>
      <c r="O226" s="22" t="s">
        <v>778</v>
      </c>
      <c r="P226" s="22"/>
      <c r="Q226" s="31">
        <f t="shared" si="12"/>
        <v>1</v>
      </c>
      <c r="R226" s="32" t="str">
        <f t="shared" si="11"/>
        <v>P02.147</v>
      </c>
    </row>
    <row r="227" spans="1:18">
      <c r="A227" s="18"/>
      <c r="B227" s="18"/>
      <c r="C227" s="18"/>
      <c r="D227" s="17">
        <f t="shared" si="13"/>
        <v>661</v>
      </c>
      <c r="E227" s="19" t="s">
        <v>29</v>
      </c>
      <c r="F227" s="20" t="s">
        <v>779</v>
      </c>
      <c r="G227" s="21" t="s">
        <v>23</v>
      </c>
      <c r="H227" s="21" t="s">
        <v>172</v>
      </c>
      <c r="I227" s="21" t="s">
        <v>30</v>
      </c>
      <c r="J227" s="17" t="s">
        <v>173</v>
      </c>
      <c r="K227" s="17" t="s">
        <v>26</v>
      </c>
      <c r="L227" s="17" t="s">
        <v>32</v>
      </c>
      <c r="M227" s="19" t="s">
        <v>28</v>
      </c>
      <c r="N227" s="20"/>
      <c r="O227" s="22" t="s">
        <v>780</v>
      </c>
      <c r="P227" s="22"/>
      <c r="Q227" s="31">
        <f t="shared" si="12"/>
        <v>1</v>
      </c>
      <c r="R227" s="32" t="str">
        <f t="shared" si="11"/>
        <v>P02.149</v>
      </c>
    </row>
    <row r="228" spans="1:18">
      <c r="A228" s="18"/>
      <c r="B228" s="18"/>
      <c r="C228" s="18"/>
      <c r="D228" s="17">
        <f t="shared" si="13"/>
        <v>662</v>
      </c>
      <c r="E228" s="19" t="s">
        <v>29</v>
      </c>
      <c r="F228" s="20" t="s">
        <v>781</v>
      </c>
      <c r="G228" s="21" t="s">
        <v>23</v>
      </c>
      <c r="H228" s="21" t="s">
        <v>172</v>
      </c>
      <c r="I228" s="21" t="s">
        <v>30</v>
      </c>
      <c r="J228" s="17" t="s">
        <v>173</v>
      </c>
      <c r="K228" s="17" t="s">
        <v>26</v>
      </c>
      <c r="L228" s="17" t="s">
        <v>32</v>
      </c>
      <c r="M228" s="19" t="s">
        <v>28</v>
      </c>
      <c r="N228" s="20"/>
      <c r="O228" s="22" t="s">
        <v>782</v>
      </c>
      <c r="P228" s="22"/>
      <c r="Q228" s="31">
        <f t="shared" si="12"/>
        <v>1</v>
      </c>
      <c r="R228" s="32" t="str">
        <f t="shared" si="11"/>
        <v>P02.150</v>
      </c>
    </row>
    <row r="229" spans="1:18">
      <c r="A229" s="18"/>
      <c r="B229" s="18"/>
      <c r="C229" s="18"/>
      <c r="D229" s="17">
        <f t="shared" si="13"/>
        <v>663</v>
      </c>
      <c r="E229" s="19" t="s">
        <v>29</v>
      </c>
      <c r="F229" s="20" t="s">
        <v>783</v>
      </c>
      <c r="G229" s="21" t="s">
        <v>23</v>
      </c>
      <c r="H229" s="21" t="s">
        <v>23</v>
      </c>
      <c r="I229" s="21" t="s">
        <v>30</v>
      </c>
      <c r="J229" s="17" t="s">
        <v>25</v>
      </c>
      <c r="K229" s="17" t="s">
        <v>26</v>
      </c>
      <c r="L229" s="17" t="s">
        <v>32</v>
      </c>
      <c r="M229" s="19" t="s">
        <v>28</v>
      </c>
      <c r="N229" s="20"/>
      <c r="O229" s="22" t="s">
        <v>784</v>
      </c>
      <c r="P229" s="22"/>
      <c r="Q229" s="31">
        <f t="shared" si="12"/>
        <v>0</v>
      </c>
      <c r="R229" s="32" t="str">
        <f t="shared" si="11"/>
        <v>P02.151</v>
      </c>
    </row>
    <row r="230" spans="1:18">
      <c r="A230" s="18"/>
      <c r="B230" s="18"/>
      <c r="C230" s="18"/>
      <c r="D230" s="17">
        <f t="shared" si="13"/>
        <v>664</v>
      </c>
      <c r="E230" s="19" t="s">
        <v>273</v>
      </c>
      <c r="F230" s="20" t="s">
        <v>785</v>
      </c>
      <c r="G230" s="21" t="s">
        <v>23</v>
      </c>
      <c r="H230" s="21" t="s">
        <v>275</v>
      </c>
      <c r="I230" s="21" t="s">
        <v>276</v>
      </c>
      <c r="J230" s="17" t="s">
        <v>722</v>
      </c>
      <c r="K230" s="17" t="s">
        <v>26</v>
      </c>
      <c r="L230" s="17" t="s">
        <v>32</v>
      </c>
      <c r="M230" s="19" t="s">
        <v>28</v>
      </c>
      <c r="N230" s="17"/>
      <c r="O230" s="22" t="s">
        <v>786</v>
      </c>
      <c r="P230" s="22"/>
      <c r="Q230" s="31">
        <f t="shared" si="12"/>
        <v>1</v>
      </c>
      <c r="R230" s="32" t="str">
        <f t="shared" si="11"/>
        <v>P02.152</v>
      </c>
    </row>
    <row r="231" spans="1:18">
      <c r="A231" s="18"/>
      <c r="B231" s="18"/>
      <c r="C231" s="18"/>
      <c r="D231" s="17">
        <f t="shared" si="13"/>
        <v>666</v>
      </c>
      <c r="E231" s="19" t="s">
        <v>273</v>
      </c>
      <c r="F231" s="20" t="s">
        <v>787</v>
      </c>
      <c r="G231" s="21" t="s">
        <v>23</v>
      </c>
      <c r="H231" s="21" t="s">
        <v>275</v>
      </c>
      <c r="I231" s="21" t="s">
        <v>276</v>
      </c>
      <c r="J231" s="17" t="s">
        <v>722</v>
      </c>
      <c r="K231" s="17" t="s">
        <v>26</v>
      </c>
      <c r="L231" s="17" t="s">
        <v>32</v>
      </c>
      <c r="M231" s="19" t="s">
        <v>28</v>
      </c>
      <c r="N231" s="22"/>
      <c r="O231" s="22" t="s">
        <v>788</v>
      </c>
      <c r="P231" s="22"/>
      <c r="Q231" s="31">
        <f t="shared" si="12"/>
        <v>1</v>
      </c>
      <c r="R231" s="32" t="str">
        <f t="shared" si="11"/>
        <v>P02.154</v>
      </c>
    </row>
    <row r="232" spans="1:18">
      <c r="A232" s="18"/>
      <c r="B232" s="18"/>
      <c r="C232" s="18"/>
      <c r="D232" s="17">
        <f t="shared" si="13"/>
        <v>668</v>
      </c>
      <c r="E232" s="19" t="s">
        <v>29</v>
      </c>
      <c r="F232" s="20"/>
      <c r="G232" s="21" t="s">
        <v>23</v>
      </c>
      <c r="H232" s="21" t="s">
        <v>23</v>
      </c>
      <c r="I232" s="21" t="s">
        <v>30</v>
      </c>
      <c r="J232" s="17" t="s">
        <v>25</v>
      </c>
      <c r="K232" s="17" t="s">
        <v>26</v>
      </c>
      <c r="L232" s="17" t="s">
        <v>32</v>
      </c>
      <c r="M232" s="19" t="s">
        <v>28</v>
      </c>
      <c r="N232" s="17"/>
      <c r="O232" s="22"/>
      <c r="P232" s="22"/>
      <c r="Q232" s="31">
        <f t="shared" si="12"/>
        <v>1</v>
      </c>
      <c r="R232" s="32" t="str">
        <f t="shared" si="11"/>
        <v>P02.156</v>
      </c>
    </row>
    <row r="233" spans="1:18">
      <c r="A233" s="18"/>
      <c r="B233" s="18"/>
      <c r="C233" s="18"/>
      <c r="D233" s="17">
        <f t="shared" si="13"/>
        <v>669</v>
      </c>
      <c r="E233" s="19" t="s">
        <v>92</v>
      </c>
      <c r="F233" s="20" t="s">
        <v>789</v>
      </c>
      <c r="G233" s="21" t="s">
        <v>23</v>
      </c>
      <c r="H233" s="21" t="s">
        <v>94</v>
      </c>
      <c r="I233" s="21" t="s">
        <v>95</v>
      </c>
      <c r="J233" s="17" t="s">
        <v>90</v>
      </c>
      <c r="K233" s="17" t="s">
        <v>26</v>
      </c>
      <c r="L233" s="17" t="s">
        <v>32</v>
      </c>
      <c r="M233" s="19" t="s">
        <v>28</v>
      </c>
      <c r="N233" s="20"/>
      <c r="O233" s="22" t="s">
        <v>790</v>
      </c>
      <c r="P233" s="22"/>
      <c r="Q233" s="31">
        <f t="shared" si="12"/>
        <v>1</v>
      </c>
      <c r="R233" s="32" t="str">
        <f t="shared" si="11"/>
        <v>P02.157</v>
      </c>
    </row>
    <row r="234" spans="1:18">
      <c r="A234" s="18"/>
      <c r="B234" s="18"/>
      <c r="C234" s="18"/>
      <c r="D234" s="17">
        <f t="shared" si="13"/>
        <v>670</v>
      </c>
      <c r="E234" s="19" t="s">
        <v>92</v>
      </c>
      <c r="F234" s="20" t="s">
        <v>791</v>
      </c>
      <c r="G234" s="21" t="s">
        <v>23</v>
      </c>
      <c r="H234" s="21" t="s">
        <v>94</v>
      </c>
      <c r="I234" s="21" t="s">
        <v>95</v>
      </c>
      <c r="J234" s="17" t="s">
        <v>90</v>
      </c>
      <c r="K234" s="17" t="s">
        <v>26</v>
      </c>
      <c r="L234" s="17" t="s">
        <v>32</v>
      </c>
      <c r="M234" s="19" t="s">
        <v>28</v>
      </c>
      <c r="N234" s="20"/>
      <c r="O234" s="22" t="s">
        <v>792</v>
      </c>
      <c r="P234" s="22"/>
      <c r="Q234" s="31">
        <f t="shared" si="12"/>
        <v>1</v>
      </c>
      <c r="R234" s="32" t="str">
        <f t="shared" si="11"/>
        <v>P02.158</v>
      </c>
    </row>
    <row r="235" spans="1:18">
      <c r="A235" s="18"/>
      <c r="B235" s="18"/>
      <c r="C235" s="18"/>
      <c r="D235" s="17">
        <f t="shared" si="13"/>
        <v>671</v>
      </c>
      <c r="E235" s="19" t="s">
        <v>92</v>
      </c>
      <c r="F235" s="20" t="s">
        <v>793</v>
      </c>
      <c r="G235" s="21" t="s">
        <v>23</v>
      </c>
      <c r="H235" s="21" t="s">
        <v>94</v>
      </c>
      <c r="I235" s="21" t="s">
        <v>95</v>
      </c>
      <c r="J235" s="17" t="s">
        <v>90</v>
      </c>
      <c r="K235" s="17" t="s">
        <v>26</v>
      </c>
      <c r="L235" s="17" t="s">
        <v>32</v>
      </c>
      <c r="M235" s="19" t="s">
        <v>28</v>
      </c>
      <c r="N235" s="20"/>
      <c r="O235" s="22" t="s">
        <v>794</v>
      </c>
      <c r="P235" s="22"/>
      <c r="Q235" s="31">
        <f t="shared" si="12"/>
        <v>1</v>
      </c>
      <c r="R235" s="32" t="str">
        <f t="shared" si="11"/>
        <v>P02.159</v>
      </c>
    </row>
    <row r="236" spans="1:18">
      <c r="A236" s="18"/>
      <c r="B236" s="18"/>
      <c r="C236" s="18"/>
      <c r="D236" s="17">
        <f t="shared" si="13"/>
        <v>672</v>
      </c>
      <c r="E236" s="19" t="s">
        <v>92</v>
      </c>
      <c r="F236" s="20" t="s">
        <v>795</v>
      </c>
      <c r="G236" s="21" t="s">
        <v>23</v>
      </c>
      <c r="H236" s="21" t="s">
        <v>94</v>
      </c>
      <c r="I236" s="21" t="s">
        <v>95</v>
      </c>
      <c r="J236" s="17" t="s">
        <v>90</v>
      </c>
      <c r="K236" s="17" t="s">
        <v>26</v>
      </c>
      <c r="L236" s="17" t="s">
        <v>32</v>
      </c>
      <c r="M236" s="19" t="s">
        <v>28</v>
      </c>
      <c r="N236" s="20"/>
      <c r="O236" s="22" t="s">
        <v>796</v>
      </c>
      <c r="P236" s="22"/>
      <c r="Q236" s="31">
        <f t="shared" si="12"/>
        <v>1</v>
      </c>
      <c r="R236" s="32" t="str">
        <f t="shared" si="11"/>
        <v>P02.160</v>
      </c>
    </row>
    <row r="237" spans="1:18">
      <c r="A237" s="18"/>
      <c r="B237" s="18"/>
      <c r="C237" s="18"/>
      <c r="D237" s="17">
        <f t="shared" si="13"/>
        <v>673</v>
      </c>
      <c r="E237" s="19" t="s">
        <v>29</v>
      </c>
      <c r="F237" s="20"/>
      <c r="G237" s="21" t="s">
        <v>23</v>
      </c>
      <c r="H237" s="21" t="s">
        <v>23</v>
      </c>
      <c r="I237" s="21" t="s">
        <v>30</v>
      </c>
      <c r="J237" s="17" t="s">
        <v>25</v>
      </c>
      <c r="K237" s="17" t="s">
        <v>26</v>
      </c>
      <c r="L237" s="17" t="s">
        <v>32</v>
      </c>
      <c r="M237" s="19" t="s">
        <v>28</v>
      </c>
      <c r="N237" s="17"/>
      <c r="O237" s="22"/>
      <c r="P237" s="22"/>
      <c r="Q237" s="31">
        <f t="shared" si="12"/>
        <v>1</v>
      </c>
      <c r="R237" s="32" t="str">
        <f t="shared" si="11"/>
        <v>P02.161</v>
      </c>
    </row>
    <row r="238" spans="1:18">
      <c r="A238" s="18"/>
      <c r="B238" s="18"/>
      <c r="C238" s="18"/>
      <c r="D238" s="17">
        <f t="shared" si="13"/>
        <v>674</v>
      </c>
      <c r="E238" s="19" t="s">
        <v>29</v>
      </c>
      <c r="F238" s="20"/>
      <c r="G238" s="21" t="s">
        <v>23</v>
      </c>
      <c r="H238" s="21" t="s">
        <v>23</v>
      </c>
      <c r="I238" s="21" t="s">
        <v>30</v>
      </c>
      <c r="J238" s="17" t="s">
        <v>25</v>
      </c>
      <c r="K238" s="17" t="s">
        <v>26</v>
      </c>
      <c r="L238" s="17" t="s">
        <v>32</v>
      </c>
      <c r="M238" s="19" t="s">
        <v>28</v>
      </c>
      <c r="N238" s="17"/>
      <c r="O238" s="22"/>
      <c r="P238" s="22"/>
      <c r="Q238" s="31">
        <f t="shared" si="12"/>
        <v>1</v>
      </c>
      <c r="R238" s="32" t="str">
        <f t="shared" si="11"/>
        <v>P02.162</v>
      </c>
    </row>
    <row r="239" spans="1:18">
      <c r="A239" s="18"/>
      <c r="B239" s="18"/>
      <c r="C239" s="18"/>
      <c r="D239" s="17">
        <f t="shared" si="13"/>
        <v>675</v>
      </c>
      <c r="E239" s="19" t="s">
        <v>284</v>
      </c>
      <c r="F239" s="20" t="s">
        <v>797</v>
      </c>
      <c r="G239" s="21" t="s">
        <v>23</v>
      </c>
      <c r="H239" s="21" t="s">
        <v>286</v>
      </c>
      <c r="I239" s="21" t="s">
        <v>287</v>
      </c>
      <c r="J239" s="17" t="s">
        <v>25</v>
      </c>
      <c r="K239" s="17" t="s">
        <v>26</v>
      </c>
      <c r="L239" s="17" t="s">
        <v>32</v>
      </c>
      <c r="M239" s="19" t="s">
        <v>28</v>
      </c>
      <c r="N239" s="20"/>
      <c r="O239" s="22" t="s">
        <v>798</v>
      </c>
      <c r="P239" s="22"/>
      <c r="Q239" s="31">
        <f t="shared" si="12"/>
        <v>1</v>
      </c>
      <c r="R239" s="32" t="str">
        <f t="shared" si="11"/>
        <v>P02.163</v>
      </c>
    </row>
    <row r="240" spans="1:18">
      <c r="A240" s="18"/>
      <c r="B240" s="18"/>
      <c r="C240" s="18"/>
      <c r="D240" s="17">
        <f t="shared" si="13"/>
        <v>679</v>
      </c>
      <c r="E240" s="19" t="s">
        <v>273</v>
      </c>
      <c r="F240" s="20" t="s">
        <v>799</v>
      </c>
      <c r="G240" s="21" t="s">
        <v>23</v>
      </c>
      <c r="H240" s="21" t="s">
        <v>275</v>
      </c>
      <c r="I240" s="21" t="s">
        <v>276</v>
      </c>
      <c r="J240" s="17" t="s">
        <v>722</v>
      </c>
      <c r="K240" s="17" t="s">
        <v>26</v>
      </c>
      <c r="L240" s="17" t="s">
        <v>32</v>
      </c>
      <c r="M240" s="19" t="s">
        <v>28</v>
      </c>
      <c r="N240" s="22"/>
      <c r="O240" s="22" t="s">
        <v>800</v>
      </c>
      <c r="P240" s="22"/>
      <c r="Q240" s="31">
        <f t="shared" si="12"/>
        <v>1</v>
      </c>
      <c r="R240" s="32" t="str">
        <f t="shared" si="11"/>
        <v>P02.167</v>
      </c>
    </row>
    <row r="241" spans="1:18">
      <c r="A241" s="18"/>
      <c r="B241" s="18"/>
      <c r="C241" s="18"/>
      <c r="D241" s="17">
        <f t="shared" si="13"/>
        <v>681</v>
      </c>
      <c r="E241" s="19" t="s">
        <v>92</v>
      </c>
      <c r="F241" s="20" t="s">
        <v>801</v>
      </c>
      <c r="G241" s="21" t="s">
        <v>23</v>
      </c>
      <c r="H241" s="21" t="s">
        <v>94</v>
      </c>
      <c r="I241" s="21" t="s">
        <v>95</v>
      </c>
      <c r="J241" s="17" t="s">
        <v>420</v>
      </c>
      <c r="K241" s="17" t="s">
        <v>26</v>
      </c>
      <c r="L241" s="17" t="s">
        <v>32</v>
      </c>
      <c r="M241" s="19" t="s">
        <v>28</v>
      </c>
      <c r="N241" s="22"/>
      <c r="O241" s="22" t="s">
        <v>802</v>
      </c>
      <c r="P241" s="22"/>
      <c r="Q241" s="31">
        <f t="shared" si="12"/>
        <v>1</v>
      </c>
      <c r="R241" s="32" t="str">
        <f t="shared" si="11"/>
        <v>P02.169</v>
      </c>
    </row>
    <row r="242" spans="1:18">
      <c r="A242" s="18"/>
      <c r="B242" s="18"/>
      <c r="C242" s="18"/>
      <c r="D242" s="17">
        <f t="shared" si="13"/>
        <v>682</v>
      </c>
      <c r="E242" s="19" t="s">
        <v>92</v>
      </c>
      <c r="F242" s="20" t="s">
        <v>803</v>
      </c>
      <c r="G242" s="21" t="s">
        <v>23</v>
      </c>
      <c r="H242" s="21" t="s">
        <v>94</v>
      </c>
      <c r="I242" s="21" t="s">
        <v>95</v>
      </c>
      <c r="J242" s="17" t="s">
        <v>420</v>
      </c>
      <c r="K242" s="17" t="s">
        <v>26</v>
      </c>
      <c r="L242" s="17" t="s">
        <v>32</v>
      </c>
      <c r="M242" s="19" t="s">
        <v>28</v>
      </c>
      <c r="N242" s="22"/>
      <c r="O242" s="22" t="s">
        <v>804</v>
      </c>
      <c r="P242" s="22"/>
      <c r="Q242" s="31">
        <f t="shared" si="12"/>
        <v>1</v>
      </c>
      <c r="R242" s="32" t="str">
        <f t="shared" si="11"/>
        <v>P02.170</v>
      </c>
    </row>
    <row r="243" spans="1:18">
      <c r="A243" s="18"/>
      <c r="B243" s="18"/>
      <c r="C243" s="18"/>
      <c r="D243" s="17">
        <f t="shared" si="13"/>
        <v>683</v>
      </c>
      <c r="E243" s="19" t="s">
        <v>273</v>
      </c>
      <c r="F243" s="20" t="s">
        <v>805</v>
      </c>
      <c r="G243" s="21" t="s">
        <v>23</v>
      </c>
      <c r="H243" s="21" t="s">
        <v>275</v>
      </c>
      <c r="I243" s="21" t="s">
        <v>276</v>
      </c>
      <c r="J243" s="17" t="s">
        <v>517</v>
      </c>
      <c r="K243" s="17" t="s">
        <v>26</v>
      </c>
      <c r="L243" s="17" t="s">
        <v>32</v>
      </c>
      <c r="M243" s="19" t="s">
        <v>28</v>
      </c>
      <c r="N243" s="20"/>
      <c r="O243" s="22" t="s">
        <v>806</v>
      </c>
      <c r="P243" s="22"/>
      <c r="Q243" s="31">
        <f t="shared" si="12"/>
        <v>1</v>
      </c>
      <c r="R243" s="32" t="str">
        <f t="shared" si="11"/>
        <v>P02.171</v>
      </c>
    </row>
    <row r="244" spans="1:18">
      <c r="A244" s="18"/>
      <c r="B244" s="18"/>
      <c r="C244" s="18"/>
      <c r="D244" s="17">
        <f t="shared" si="13"/>
        <v>685</v>
      </c>
      <c r="E244" s="19" t="s">
        <v>29</v>
      </c>
      <c r="F244" s="20"/>
      <c r="G244" s="21" t="s">
        <v>23</v>
      </c>
      <c r="H244" s="21" t="s">
        <v>23</v>
      </c>
      <c r="I244" s="21" t="s">
        <v>30</v>
      </c>
      <c r="J244" s="17" t="s">
        <v>25</v>
      </c>
      <c r="K244" s="17" t="s">
        <v>26</v>
      </c>
      <c r="L244" s="17" t="s">
        <v>32</v>
      </c>
      <c r="M244" s="19" t="s">
        <v>28</v>
      </c>
      <c r="N244" s="17"/>
      <c r="O244" s="22"/>
      <c r="P244" s="22"/>
      <c r="Q244" s="31">
        <f t="shared" si="12"/>
        <v>1</v>
      </c>
      <c r="R244" s="32" t="str">
        <f t="shared" si="11"/>
        <v>P02.173</v>
      </c>
    </row>
    <row r="245" spans="1:18">
      <c r="A245" s="18"/>
      <c r="B245" s="18"/>
      <c r="C245" s="18"/>
      <c r="D245" s="17">
        <f t="shared" si="13"/>
        <v>686</v>
      </c>
      <c r="E245" s="19" t="s">
        <v>29</v>
      </c>
      <c r="F245" s="20"/>
      <c r="G245" s="21" t="s">
        <v>23</v>
      </c>
      <c r="H245" s="21" t="s">
        <v>23</v>
      </c>
      <c r="I245" s="21" t="s">
        <v>30</v>
      </c>
      <c r="J245" s="17" t="s">
        <v>25</v>
      </c>
      <c r="K245" s="17" t="s">
        <v>26</v>
      </c>
      <c r="L245" s="17" t="s">
        <v>32</v>
      </c>
      <c r="M245" s="19" t="s">
        <v>28</v>
      </c>
      <c r="N245" s="17"/>
      <c r="O245" s="22"/>
      <c r="P245" s="22"/>
      <c r="Q245" s="31">
        <f t="shared" si="12"/>
        <v>1</v>
      </c>
      <c r="R245" s="32" t="str">
        <f t="shared" si="11"/>
        <v>P02.174</v>
      </c>
    </row>
    <row r="246" spans="1:18">
      <c r="A246" s="18"/>
      <c r="B246" s="18"/>
      <c r="C246" s="18"/>
      <c r="D246" s="17">
        <f t="shared" si="13"/>
        <v>687</v>
      </c>
      <c r="E246" s="19" t="s">
        <v>29</v>
      </c>
      <c r="F246" s="20"/>
      <c r="G246" s="21" t="s">
        <v>23</v>
      </c>
      <c r="H246" s="21" t="s">
        <v>23</v>
      </c>
      <c r="I246" s="21" t="s">
        <v>30</v>
      </c>
      <c r="J246" s="17" t="s">
        <v>25</v>
      </c>
      <c r="K246" s="17" t="s">
        <v>26</v>
      </c>
      <c r="L246" s="17" t="s">
        <v>32</v>
      </c>
      <c r="M246" s="19" t="s">
        <v>28</v>
      </c>
      <c r="N246" s="17"/>
      <c r="O246" s="22"/>
      <c r="P246" s="22"/>
      <c r="Q246" s="31">
        <f t="shared" si="12"/>
        <v>1</v>
      </c>
      <c r="R246" s="32" t="str">
        <f t="shared" ref="R246:R309" si="14">"P"&amp;TEXT(INT(D246/256),"00")&amp;"."&amp;TEXT(MOD(D246,256),"000")</f>
        <v>P02.175</v>
      </c>
    </row>
    <row r="247" spans="1:18">
      <c r="A247" s="18"/>
      <c r="B247" s="18"/>
      <c r="C247" s="18"/>
      <c r="D247" s="17">
        <f t="shared" si="13"/>
        <v>688</v>
      </c>
      <c r="E247" s="19" t="s">
        <v>273</v>
      </c>
      <c r="F247" s="20" t="s">
        <v>807</v>
      </c>
      <c r="G247" s="21" t="s">
        <v>23</v>
      </c>
      <c r="H247" s="21" t="s">
        <v>275</v>
      </c>
      <c r="I247" s="21" t="s">
        <v>276</v>
      </c>
      <c r="J247" s="17" t="s">
        <v>439</v>
      </c>
      <c r="K247" s="17" t="s">
        <v>26</v>
      </c>
      <c r="L247" s="17" t="s">
        <v>32</v>
      </c>
      <c r="M247" s="19" t="s">
        <v>28</v>
      </c>
      <c r="N247" s="22"/>
      <c r="O247" s="22" t="s">
        <v>808</v>
      </c>
      <c r="P247" s="22"/>
      <c r="Q247" s="31">
        <f t="shared" si="12"/>
        <v>1</v>
      </c>
      <c r="R247" s="32" t="str">
        <f t="shared" si="14"/>
        <v>P02.176</v>
      </c>
    </row>
    <row r="248" spans="1:18">
      <c r="A248" s="18"/>
      <c r="B248" s="18"/>
      <c r="C248" s="18"/>
      <c r="D248" s="17">
        <f t="shared" si="13"/>
        <v>690</v>
      </c>
      <c r="E248" s="19" t="s">
        <v>273</v>
      </c>
      <c r="F248" s="20" t="s">
        <v>809</v>
      </c>
      <c r="G248" s="21" t="s">
        <v>23</v>
      </c>
      <c r="H248" s="21" t="s">
        <v>275</v>
      </c>
      <c r="I248" s="21" t="s">
        <v>276</v>
      </c>
      <c r="J248" s="17" t="s">
        <v>25</v>
      </c>
      <c r="K248" s="17" t="s">
        <v>26</v>
      </c>
      <c r="L248" s="17" t="s">
        <v>32</v>
      </c>
      <c r="M248" s="19" t="s">
        <v>28</v>
      </c>
      <c r="N248" s="17"/>
      <c r="O248" s="22" t="s">
        <v>810</v>
      </c>
      <c r="P248" s="22"/>
      <c r="Q248" s="31">
        <f t="shared" si="12"/>
        <v>1</v>
      </c>
      <c r="R248" s="32" t="str">
        <f t="shared" si="14"/>
        <v>P02.178</v>
      </c>
    </row>
    <row r="249" spans="1:18">
      <c r="A249" s="18"/>
      <c r="B249" s="18"/>
      <c r="C249" s="18"/>
      <c r="D249" s="17">
        <f t="shared" si="13"/>
        <v>692</v>
      </c>
      <c r="E249" s="19" t="s">
        <v>273</v>
      </c>
      <c r="F249" s="20" t="s">
        <v>811</v>
      </c>
      <c r="G249" s="21" t="s">
        <v>23</v>
      </c>
      <c r="H249" s="21" t="s">
        <v>275</v>
      </c>
      <c r="I249" s="21" t="s">
        <v>276</v>
      </c>
      <c r="J249" s="17" t="s">
        <v>25</v>
      </c>
      <c r="K249" s="17" t="s">
        <v>26</v>
      </c>
      <c r="L249" s="17" t="s">
        <v>32</v>
      </c>
      <c r="M249" s="19" t="s">
        <v>28</v>
      </c>
      <c r="N249" s="17"/>
      <c r="O249" s="22" t="s">
        <v>812</v>
      </c>
      <c r="P249" s="22"/>
      <c r="Q249" s="31">
        <f t="shared" si="12"/>
        <v>1</v>
      </c>
      <c r="R249" s="32" t="str">
        <f t="shared" si="14"/>
        <v>P02.180</v>
      </c>
    </row>
    <row r="250" spans="1:18">
      <c r="A250" s="18"/>
      <c r="B250" s="18"/>
      <c r="C250" s="18"/>
      <c r="D250" s="17">
        <f t="shared" si="13"/>
        <v>694</v>
      </c>
      <c r="E250" s="19" t="s">
        <v>29</v>
      </c>
      <c r="F250" s="20"/>
      <c r="G250" s="21" t="s">
        <v>23</v>
      </c>
      <c r="H250" s="21" t="s">
        <v>23</v>
      </c>
      <c r="I250" s="21" t="s">
        <v>30</v>
      </c>
      <c r="J250" s="17" t="s">
        <v>25</v>
      </c>
      <c r="K250" s="17" t="s">
        <v>26</v>
      </c>
      <c r="L250" s="17" t="s">
        <v>32</v>
      </c>
      <c r="M250" s="19" t="s">
        <v>28</v>
      </c>
      <c r="N250" s="17"/>
      <c r="O250" s="22"/>
      <c r="P250" s="22"/>
      <c r="Q250" s="31">
        <f t="shared" si="12"/>
        <v>1</v>
      </c>
      <c r="R250" s="32" t="str">
        <f t="shared" si="14"/>
        <v>P02.182</v>
      </c>
    </row>
    <row r="251" spans="1:18">
      <c r="A251" s="18"/>
      <c r="B251" s="18"/>
      <c r="C251" s="18"/>
      <c r="D251" s="17">
        <f t="shared" si="13"/>
        <v>695</v>
      </c>
      <c r="E251" s="19" t="s">
        <v>273</v>
      </c>
      <c r="F251" s="20" t="s">
        <v>813</v>
      </c>
      <c r="G251" s="21" t="s">
        <v>23</v>
      </c>
      <c r="H251" s="21" t="s">
        <v>275</v>
      </c>
      <c r="I251" s="21" t="s">
        <v>276</v>
      </c>
      <c r="J251" s="17" t="s">
        <v>814</v>
      </c>
      <c r="K251" s="17" t="s">
        <v>26</v>
      </c>
      <c r="L251" s="17" t="s">
        <v>32</v>
      </c>
      <c r="M251" s="19" t="s">
        <v>28</v>
      </c>
      <c r="N251" s="17"/>
      <c r="O251" s="22" t="s">
        <v>815</v>
      </c>
      <c r="P251" s="22"/>
      <c r="Q251" s="31">
        <f t="shared" si="12"/>
        <v>1</v>
      </c>
      <c r="R251" s="32" t="str">
        <f t="shared" si="14"/>
        <v>P02.183</v>
      </c>
    </row>
    <row r="252" spans="1:18">
      <c r="A252" s="18"/>
      <c r="B252" s="18"/>
      <c r="C252" s="18"/>
      <c r="D252" s="17">
        <f t="shared" si="13"/>
        <v>697</v>
      </c>
      <c r="E252" s="19" t="s">
        <v>273</v>
      </c>
      <c r="F252" s="20" t="s">
        <v>816</v>
      </c>
      <c r="G252" s="21" t="s">
        <v>23</v>
      </c>
      <c r="H252" s="21" t="s">
        <v>275</v>
      </c>
      <c r="I252" s="21" t="s">
        <v>276</v>
      </c>
      <c r="J252" s="17" t="s">
        <v>25</v>
      </c>
      <c r="K252" s="17" t="s">
        <v>26</v>
      </c>
      <c r="L252" s="17" t="s">
        <v>32</v>
      </c>
      <c r="M252" s="19" t="s">
        <v>28</v>
      </c>
      <c r="N252" s="17"/>
      <c r="O252" s="22" t="s">
        <v>817</v>
      </c>
      <c r="P252" s="22"/>
      <c r="Q252" s="31">
        <f t="shared" si="12"/>
        <v>1</v>
      </c>
      <c r="R252" s="32" t="str">
        <f t="shared" si="14"/>
        <v>P02.185</v>
      </c>
    </row>
    <row r="253" spans="1:18">
      <c r="A253" s="18"/>
      <c r="B253" s="18"/>
      <c r="C253" s="18"/>
      <c r="D253" s="17">
        <f t="shared" si="13"/>
        <v>699</v>
      </c>
      <c r="E253" s="19" t="s">
        <v>273</v>
      </c>
      <c r="F253" s="20" t="s">
        <v>818</v>
      </c>
      <c r="G253" s="21" t="s">
        <v>23</v>
      </c>
      <c r="H253" s="21" t="s">
        <v>275</v>
      </c>
      <c r="I253" s="21" t="s">
        <v>276</v>
      </c>
      <c r="J253" s="17" t="s">
        <v>25</v>
      </c>
      <c r="K253" s="17" t="s">
        <v>26</v>
      </c>
      <c r="L253" s="17" t="s">
        <v>32</v>
      </c>
      <c r="M253" s="19" t="s">
        <v>28</v>
      </c>
      <c r="N253" s="17"/>
      <c r="O253" s="22" t="s">
        <v>819</v>
      </c>
      <c r="P253" s="22"/>
      <c r="Q253" s="31">
        <f t="shared" si="12"/>
        <v>1</v>
      </c>
      <c r="R253" s="32" t="str">
        <f t="shared" si="14"/>
        <v>P02.187</v>
      </c>
    </row>
    <row r="254" spans="1:18">
      <c r="A254" s="18"/>
      <c r="B254" s="18"/>
      <c r="C254" s="18"/>
      <c r="D254" s="17">
        <f t="shared" si="13"/>
        <v>701</v>
      </c>
      <c r="E254" s="19" t="s">
        <v>273</v>
      </c>
      <c r="F254" s="20" t="s">
        <v>820</v>
      </c>
      <c r="G254" s="21" t="s">
        <v>23</v>
      </c>
      <c r="H254" s="21" t="s">
        <v>275</v>
      </c>
      <c r="I254" s="21" t="s">
        <v>276</v>
      </c>
      <c r="J254" s="17" t="s">
        <v>25</v>
      </c>
      <c r="K254" s="17" t="s">
        <v>26</v>
      </c>
      <c r="L254" s="17" t="s">
        <v>32</v>
      </c>
      <c r="M254" s="19" t="s">
        <v>28</v>
      </c>
      <c r="N254" s="17"/>
      <c r="O254" s="22" t="s">
        <v>821</v>
      </c>
      <c r="P254" s="22"/>
      <c r="Q254" s="31">
        <f t="shared" si="12"/>
        <v>1</v>
      </c>
      <c r="R254" s="32" t="str">
        <f t="shared" si="14"/>
        <v>P02.189</v>
      </c>
    </row>
    <row r="255" spans="1:18">
      <c r="A255" s="18"/>
      <c r="B255" s="18"/>
      <c r="C255" s="18"/>
      <c r="D255" s="17">
        <f t="shared" si="13"/>
        <v>703</v>
      </c>
      <c r="E255" s="19" t="s">
        <v>273</v>
      </c>
      <c r="F255" s="20" t="s">
        <v>822</v>
      </c>
      <c r="G255" s="21" t="s">
        <v>23</v>
      </c>
      <c r="H255" s="21" t="s">
        <v>275</v>
      </c>
      <c r="I255" s="21" t="s">
        <v>276</v>
      </c>
      <c r="J255" s="17" t="s">
        <v>25</v>
      </c>
      <c r="K255" s="17" t="s">
        <v>26</v>
      </c>
      <c r="L255" s="17" t="s">
        <v>32</v>
      </c>
      <c r="M255" s="19" t="s">
        <v>28</v>
      </c>
      <c r="N255" s="17"/>
      <c r="O255" s="22" t="s">
        <v>823</v>
      </c>
      <c r="P255" s="22"/>
      <c r="Q255" s="31">
        <f t="shared" si="12"/>
        <v>1</v>
      </c>
      <c r="R255" s="32" t="str">
        <f t="shared" si="14"/>
        <v>P02.191</v>
      </c>
    </row>
    <row r="256" spans="1:18">
      <c r="A256" s="18"/>
      <c r="B256" s="18"/>
      <c r="C256" s="18"/>
      <c r="D256" s="17">
        <f t="shared" si="13"/>
        <v>705</v>
      </c>
      <c r="E256" s="19" t="s">
        <v>273</v>
      </c>
      <c r="F256" s="20" t="s">
        <v>824</v>
      </c>
      <c r="G256" s="21" t="s">
        <v>23</v>
      </c>
      <c r="H256" s="21" t="s">
        <v>275</v>
      </c>
      <c r="I256" s="21" t="s">
        <v>276</v>
      </c>
      <c r="J256" s="17" t="s">
        <v>25</v>
      </c>
      <c r="K256" s="17" t="s">
        <v>26</v>
      </c>
      <c r="L256" s="17" t="s">
        <v>32</v>
      </c>
      <c r="M256" s="19" t="s">
        <v>28</v>
      </c>
      <c r="N256" s="17"/>
      <c r="O256" s="22" t="s">
        <v>825</v>
      </c>
      <c r="P256" s="22"/>
      <c r="Q256" s="31">
        <f t="shared" si="12"/>
        <v>1</v>
      </c>
      <c r="R256" s="32" t="str">
        <f t="shared" si="14"/>
        <v>P02.193</v>
      </c>
    </row>
    <row r="257" spans="1:18">
      <c r="A257" s="18"/>
      <c r="B257" s="18"/>
      <c r="C257" s="18"/>
      <c r="D257" s="17">
        <f t="shared" si="13"/>
        <v>707</v>
      </c>
      <c r="E257" s="19" t="s">
        <v>29</v>
      </c>
      <c r="F257" s="20"/>
      <c r="G257" s="21" t="s">
        <v>23</v>
      </c>
      <c r="H257" s="21" t="s">
        <v>23</v>
      </c>
      <c r="I257" s="21" t="s">
        <v>30</v>
      </c>
      <c r="J257" s="17" t="s">
        <v>25</v>
      </c>
      <c r="K257" s="17" t="s">
        <v>26</v>
      </c>
      <c r="L257" s="17" t="s">
        <v>32</v>
      </c>
      <c r="M257" s="19" t="s">
        <v>28</v>
      </c>
      <c r="N257" s="17"/>
      <c r="O257" s="22"/>
      <c r="P257" s="22"/>
      <c r="Q257" s="31">
        <f t="shared" si="12"/>
        <v>1</v>
      </c>
      <c r="R257" s="32" t="str">
        <f t="shared" si="14"/>
        <v>P02.195</v>
      </c>
    </row>
    <row r="258" spans="1:18">
      <c r="A258" s="18"/>
      <c r="B258" s="18"/>
      <c r="C258" s="18"/>
      <c r="D258" s="17">
        <f t="shared" si="13"/>
        <v>708</v>
      </c>
      <c r="E258" s="19" t="s">
        <v>92</v>
      </c>
      <c r="F258" s="20" t="s">
        <v>826</v>
      </c>
      <c r="G258" s="21" t="s">
        <v>23</v>
      </c>
      <c r="H258" s="21" t="s">
        <v>94</v>
      </c>
      <c r="I258" s="21" t="s">
        <v>95</v>
      </c>
      <c r="J258" s="17" t="s">
        <v>25</v>
      </c>
      <c r="K258" s="17" t="s">
        <v>26</v>
      </c>
      <c r="L258" s="17" t="s">
        <v>32</v>
      </c>
      <c r="M258" s="19" t="s">
        <v>28</v>
      </c>
      <c r="N258" s="17"/>
      <c r="O258" s="22" t="s">
        <v>827</v>
      </c>
      <c r="P258" s="22"/>
      <c r="Q258" s="31">
        <f t="shared" si="12"/>
        <v>1</v>
      </c>
      <c r="R258" s="32" t="str">
        <f t="shared" si="14"/>
        <v>P02.196</v>
      </c>
    </row>
    <row r="259" spans="1:18">
      <c r="A259" s="18"/>
      <c r="B259" s="18"/>
      <c r="C259" s="18"/>
      <c r="D259" s="17">
        <f t="shared" si="13"/>
        <v>709</v>
      </c>
      <c r="E259" s="19" t="s">
        <v>92</v>
      </c>
      <c r="F259" s="20" t="s">
        <v>828</v>
      </c>
      <c r="G259" s="21" t="s">
        <v>23</v>
      </c>
      <c r="H259" s="21" t="s">
        <v>94</v>
      </c>
      <c r="I259" s="21" t="s">
        <v>95</v>
      </c>
      <c r="J259" s="17" t="s">
        <v>25</v>
      </c>
      <c r="K259" s="17" t="s">
        <v>26</v>
      </c>
      <c r="L259" s="17" t="s">
        <v>32</v>
      </c>
      <c r="M259" s="19" t="s">
        <v>28</v>
      </c>
      <c r="N259" s="17"/>
      <c r="O259" s="22" t="s">
        <v>829</v>
      </c>
      <c r="P259" s="22"/>
      <c r="Q259" s="31">
        <f t="shared" si="12"/>
        <v>1</v>
      </c>
      <c r="R259" s="32" t="str">
        <f t="shared" si="14"/>
        <v>P02.197</v>
      </c>
    </row>
    <row r="260" spans="1:18">
      <c r="A260" s="18"/>
      <c r="B260" s="18"/>
      <c r="C260" s="18"/>
      <c r="D260" s="17">
        <f t="shared" si="13"/>
        <v>710</v>
      </c>
      <c r="E260" s="19" t="s">
        <v>92</v>
      </c>
      <c r="F260" s="20" t="s">
        <v>830</v>
      </c>
      <c r="G260" s="21" t="s">
        <v>23</v>
      </c>
      <c r="H260" s="21" t="s">
        <v>94</v>
      </c>
      <c r="I260" s="21" t="s">
        <v>95</v>
      </c>
      <c r="J260" s="17" t="s">
        <v>25</v>
      </c>
      <c r="K260" s="17" t="s">
        <v>26</v>
      </c>
      <c r="L260" s="17" t="s">
        <v>32</v>
      </c>
      <c r="M260" s="19" t="s">
        <v>28</v>
      </c>
      <c r="N260" s="17"/>
      <c r="O260" s="22" t="s">
        <v>831</v>
      </c>
      <c r="P260" s="22"/>
      <c r="Q260" s="31">
        <f t="shared" si="12"/>
        <v>1</v>
      </c>
      <c r="R260" s="32" t="str">
        <f t="shared" si="14"/>
        <v>P02.198</v>
      </c>
    </row>
    <row r="261" spans="1:18">
      <c r="A261" s="18"/>
      <c r="B261" s="18"/>
      <c r="C261" s="18"/>
      <c r="D261" s="17">
        <f t="shared" si="13"/>
        <v>711</v>
      </c>
      <c r="E261" s="19" t="s">
        <v>273</v>
      </c>
      <c r="F261" s="20" t="s">
        <v>832</v>
      </c>
      <c r="G261" s="21" t="s">
        <v>23</v>
      </c>
      <c r="H261" s="21" t="s">
        <v>275</v>
      </c>
      <c r="I261" s="21" t="s">
        <v>276</v>
      </c>
      <c r="J261" s="17" t="s">
        <v>25</v>
      </c>
      <c r="K261" s="17" t="s">
        <v>26</v>
      </c>
      <c r="L261" s="17" t="s">
        <v>32</v>
      </c>
      <c r="M261" s="19" t="s">
        <v>28</v>
      </c>
      <c r="N261" s="17"/>
      <c r="O261" s="22" t="s">
        <v>833</v>
      </c>
      <c r="P261" s="22"/>
      <c r="Q261" s="31">
        <f t="shared" si="12"/>
        <v>1</v>
      </c>
      <c r="R261" s="32" t="str">
        <f t="shared" si="14"/>
        <v>P02.199</v>
      </c>
    </row>
    <row r="262" spans="1:18">
      <c r="A262" s="18"/>
      <c r="B262" s="18"/>
      <c r="C262" s="18"/>
      <c r="D262" s="17">
        <f t="shared" si="13"/>
        <v>713</v>
      </c>
      <c r="E262" s="19" t="s">
        <v>273</v>
      </c>
      <c r="F262" s="20" t="s">
        <v>834</v>
      </c>
      <c r="G262" s="21" t="s">
        <v>23</v>
      </c>
      <c r="H262" s="21" t="s">
        <v>275</v>
      </c>
      <c r="I262" s="21" t="s">
        <v>276</v>
      </c>
      <c r="J262" s="17" t="s">
        <v>25</v>
      </c>
      <c r="K262" s="17" t="s">
        <v>26</v>
      </c>
      <c r="L262" s="17" t="s">
        <v>32</v>
      </c>
      <c r="M262" s="19" t="s">
        <v>28</v>
      </c>
      <c r="N262" s="17"/>
      <c r="O262" s="22" t="s">
        <v>835</v>
      </c>
      <c r="P262" s="22"/>
      <c r="Q262" s="31">
        <f t="shared" ref="Q262:Q325" si="15">IF(OR(F262="",LEFT(TRIM(F262),3)=E262),1,0)</f>
        <v>1</v>
      </c>
      <c r="R262" s="32" t="str">
        <f t="shared" si="14"/>
        <v>P02.201</v>
      </c>
    </row>
    <row r="263" spans="1:18">
      <c r="A263" s="18"/>
      <c r="B263" s="18"/>
      <c r="C263" s="18"/>
      <c r="D263" s="17">
        <f t="shared" si="13"/>
        <v>715</v>
      </c>
      <c r="E263" s="19" t="s">
        <v>92</v>
      </c>
      <c r="F263" s="20" t="s">
        <v>836</v>
      </c>
      <c r="G263" s="21" t="s">
        <v>23</v>
      </c>
      <c r="H263" s="21" t="s">
        <v>94</v>
      </c>
      <c r="I263" s="21" t="s">
        <v>95</v>
      </c>
      <c r="J263" s="17" t="s">
        <v>25</v>
      </c>
      <c r="K263" s="17" t="s">
        <v>26</v>
      </c>
      <c r="L263" s="17" t="s">
        <v>32</v>
      </c>
      <c r="M263" s="19" t="s">
        <v>28</v>
      </c>
      <c r="N263" s="17"/>
      <c r="O263" s="22" t="s">
        <v>837</v>
      </c>
      <c r="P263" s="22"/>
      <c r="Q263" s="31">
        <f t="shared" si="15"/>
        <v>1</v>
      </c>
      <c r="R263" s="32" t="str">
        <f t="shared" si="14"/>
        <v>P02.203</v>
      </c>
    </row>
    <row r="264" spans="1:18">
      <c r="A264" s="18"/>
      <c r="B264" s="18"/>
      <c r="C264" s="18"/>
      <c r="D264" s="17">
        <f t="shared" si="13"/>
        <v>716</v>
      </c>
      <c r="E264" s="19" t="s">
        <v>92</v>
      </c>
      <c r="F264" s="20"/>
      <c r="G264" s="21" t="s">
        <v>23</v>
      </c>
      <c r="H264" s="21" t="s">
        <v>94</v>
      </c>
      <c r="I264" s="21" t="s">
        <v>95</v>
      </c>
      <c r="J264" s="17" t="s">
        <v>25</v>
      </c>
      <c r="K264" s="17" t="s">
        <v>26</v>
      </c>
      <c r="L264" s="17" t="s">
        <v>32</v>
      </c>
      <c r="M264" s="19" t="s">
        <v>28</v>
      </c>
      <c r="N264" s="17"/>
      <c r="O264" s="22"/>
      <c r="P264" s="22"/>
      <c r="Q264" s="31">
        <f t="shared" si="15"/>
        <v>1</v>
      </c>
      <c r="R264" s="32" t="str">
        <f t="shared" si="14"/>
        <v>P02.204</v>
      </c>
    </row>
    <row r="265" spans="1:18">
      <c r="A265" s="18"/>
      <c r="B265" s="18"/>
      <c r="C265" s="18"/>
      <c r="D265" s="17">
        <f t="shared" si="13"/>
        <v>717</v>
      </c>
      <c r="E265" s="19" t="s">
        <v>92</v>
      </c>
      <c r="F265" s="20" t="s">
        <v>838</v>
      </c>
      <c r="G265" s="21" t="s">
        <v>23</v>
      </c>
      <c r="H265" s="21" t="s">
        <v>94</v>
      </c>
      <c r="I265" s="21" t="s">
        <v>95</v>
      </c>
      <c r="J265" s="17" t="s">
        <v>25</v>
      </c>
      <c r="K265" s="17" t="s">
        <v>26</v>
      </c>
      <c r="L265" s="17" t="s">
        <v>32</v>
      </c>
      <c r="M265" s="19" t="s">
        <v>28</v>
      </c>
      <c r="N265" s="17"/>
      <c r="O265" s="22" t="s">
        <v>839</v>
      </c>
      <c r="P265" s="22"/>
      <c r="Q265" s="31">
        <f t="shared" si="15"/>
        <v>1</v>
      </c>
      <c r="R265" s="32" t="str">
        <f t="shared" si="14"/>
        <v>P02.205</v>
      </c>
    </row>
    <row r="266" spans="1:18">
      <c r="A266" s="18"/>
      <c r="B266" s="18"/>
      <c r="C266" s="18"/>
      <c r="D266" s="17">
        <f t="shared" si="13"/>
        <v>718</v>
      </c>
      <c r="E266" s="19" t="s">
        <v>92</v>
      </c>
      <c r="F266" s="20" t="s">
        <v>840</v>
      </c>
      <c r="G266" s="21" t="s">
        <v>23</v>
      </c>
      <c r="H266" s="21" t="s">
        <v>94</v>
      </c>
      <c r="I266" s="21" t="s">
        <v>95</v>
      </c>
      <c r="J266" s="17" t="s">
        <v>25</v>
      </c>
      <c r="K266" s="17" t="s">
        <v>26</v>
      </c>
      <c r="L266" s="17" t="s">
        <v>32</v>
      </c>
      <c r="M266" s="19" t="s">
        <v>28</v>
      </c>
      <c r="N266" s="17"/>
      <c r="O266" s="22" t="s">
        <v>841</v>
      </c>
      <c r="P266" s="22"/>
      <c r="Q266" s="31">
        <f t="shared" si="15"/>
        <v>1</v>
      </c>
      <c r="R266" s="32" t="str">
        <f t="shared" si="14"/>
        <v>P02.206</v>
      </c>
    </row>
    <row r="267" spans="1:18">
      <c r="A267" s="18"/>
      <c r="B267" s="18"/>
      <c r="C267" s="18"/>
      <c r="D267" s="17">
        <f t="shared" si="13"/>
        <v>719</v>
      </c>
      <c r="E267" s="19" t="s">
        <v>92</v>
      </c>
      <c r="F267" s="20" t="s">
        <v>842</v>
      </c>
      <c r="G267" s="21" t="s">
        <v>23</v>
      </c>
      <c r="H267" s="21" t="s">
        <v>94</v>
      </c>
      <c r="I267" s="21" t="s">
        <v>95</v>
      </c>
      <c r="J267" s="17" t="s">
        <v>25</v>
      </c>
      <c r="K267" s="17" t="s">
        <v>26</v>
      </c>
      <c r="L267" s="17" t="s">
        <v>32</v>
      </c>
      <c r="M267" s="19" t="s">
        <v>28</v>
      </c>
      <c r="N267" s="17"/>
      <c r="O267" s="22" t="s">
        <v>843</v>
      </c>
      <c r="P267" s="22"/>
      <c r="Q267" s="31">
        <f t="shared" si="15"/>
        <v>1</v>
      </c>
      <c r="R267" s="32" t="str">
        <f t="shared" si="14"/>
        <v>P02.207</v>
      </c>
    </row>
    <row r="268" spans="1:18">
      <c r="A268" s="18"/>
      <c r="B268" s="18"/>
      <c r="C268" s="18"/>
      <c r="D268" s="17">
        <f t="shared" si="13"/>
        <v>720</v>
      </c>
      <c r="E268" s="19" t="s">
        <v>273</v>
      </c>
      <c r="F268" s="20" t="s">
        <v>844</v>
      </c>
      <c r="G268" s="21" t="s">
        <v>23</v>
      </c>
      <c r="H268" s="21" t="s">
        <v>275</v>
      </c>
      <c r="I268" s="21" t="s">
        <v>276</v>
      </c>
      <c r="J268" s="17" t="s">
        <v>25</v>
      </c>
      <c r="K268" s="17" t="s">
        <v>26</v>
      </c>
      <c r="L268" s="17" t="s">
        <v>32</v>
      </c>
      <c r="M268" s="19" t="s">
        <v>28</v>
      </c>
      <c r="N268" s="17"/>
      <c r="O268" s="22" t="s">
        <v>845</v>
      </c>
      <c r="P268" s="22"/>
      <c r="Q268" s="31">
        <f t="shared" si="15"/>
        <v>1</v>
      </c>
      <c r="R268" s="32" t="str">
        <f t="shared" si="14"/>
        <v>P02.208</v>
      </c>
    </row>
    <row r="269" spans="1:18">
      <c r="A269" s="18"/>
      <c r="B269" s="18"/>
      <c r="C269" s="18"/>
      <c r="D269" s="17">
        <f t="shared" si="13"/>
        <v>722</v>
      </c>
      <c r="E269" s="19" t="s">
        <v>273</v>
      </c>
      <c r="F269" s="20" t="s">
        <v>846</v>
      </c>
      <c r="G269" s="21" t="s">
        <v>23</v>
      </c>
      <c r="H269" s="21" t="s">
        <v>275</v>
      </c>
      <c r="I269" s="21" t="s">
        <v>276</v>
      </c>
      <c r="J269" s="17" t="s">
        <v>25</v>
      </c>
      <c r="K269" s="17" t="s">
        <v>26</v>
      </c>
      <c r="L269" s="17" t="s">
        <v>32</v>
      </c>
      <c r="M269" s="19" t="s">
        <v>28</v>
      </c>
      <c r="N269" s="17"/>
      <c r="O269" s="22" t="s">
        <v>847</v>
      </c>
      <c r="P269" s="22"/>
      <c r="Q269" s="31">
        <f t="shared" si="15"/>
        <v>1</v>
      </c>
      <c r="R269" s="32" t="str">
        <f t="shared" si="14"/>
        <v>P02.210</v>
      </c>
    </row>
    <row r="270" spans="1:18">
      <c r="A270" s="18"/>
      <c r="B270" s="18"/>
      <c r="C270" s="18"/>
      <c r="D270" s="17">
        <f t="shared" si="13"/>
        <v>724</v>
      </c>
      <c r="E270" s="19" t="s">
        <v>92</v>
      </c>
      <c r="F270" s="20" t="s">
        <v>848</v>
      </c>
      <c r="G270" s="21" t="s">
        <v>23</v>
      </c>
      <c r="H270" s="21" t="s">
        <v>94</v>
      </c>
      <c r="I270" s="21" t="s">
        <v>95</v>
      </c>
      <c r="J270" s="17" t="s">
        <v>25</v>
      </c>
      <c r="K270" s="17" t="s">
        <v>26</v>
      </c>
      <c r="L270" s="17" t="s">
        <v>32</v>
      </c>
      <c r="M270" s="19" t="s">
        <v>28</v>
      </c>
      <c r="N270" s="17"/>
      <c r="O270" s="22" t="s">
        <v>849</v>
      </c>
      <c r="P270" s="22"/>
      <c r="Q270" s="31">
        <f t="shared" si="15"/>
        <v>1</v>
      </c>
      <c r="R270" s="32" t="str">
        <f t="shared" si="14"/>
        <v>P02.212</v>
      </c>
    </row>
    <row r="271" spans="1:18">
      <c r="A271" s="18"/>
      <c r="B271" s="18"/>
      <c r="C271" s="18"/>
      <c r="D271" s="17">
        <f t="shared" si="13"/>
        <v>725</v>
      </c>
      <c r="E271" s="19" t="s">
        <v>29</v>
      </c>
      <c r="F271" s="20"/>
      <c r="G271" s="21" t="s">
        <v>23</v>
      </c>
      <c r="H271" s="21" t="s">
        <v>23</v>
      </c>
      <c r="I271" s="21" t="s">
        <v>30</v>
      </c>
      <c r="J271" s="17" t="s">
        <v>25</v>
      </c>
      <c r="K271" s="17" t="s">
        <v>26</v>
      </c>
      <c r="L271" s="17" t="s">
        <v>32</v>
      </c>
      <c r="M271" s="19" t="s">
        <v>28</v>
      </c>
      <c r="N271" s="17"/>
      <c r="O271" s="22"/>
      <c r="P271" s="22"/>
      <c r="Q271" s="31">
        <f t="shared" si="15"/>
        <v>1</v>
      </c>
      <c r="R271" s="32" t="str">
        <f t="shared" si="14"/>
        <v>P02.213</v>
      </c>
    </row>
    <row r="272" spans="1:18">
      <c r="A272" s="18"/>
      <c r="B272" s="18"/>
      <c r="C272" s="18"/>
      <c r="D272" s="17">
        <f t="shared" si="13"/>
        <v>726</v>
      </c>
      <c r="E272" s="19" t="s">
        <v>92</v>
      </c>
      <c r="F272" s="20" t="s">
        <v>850</v>
      </c>
      <c r="G272" s="21" t="s">
        <v>23</v>
      </c>
      <c r="H272" s="21" t="s">
        <v>94</v>
      </c>
      <c r="I272" s="21" t="s">
        <v>95</v>
      </c>
      <c r="J272" s="17" t="s">
        <v>420</v>
      </c>
      <c r="K272" s="17" t="s">
        <v>26</v>
      </c>
      <c r="L272" s="17" t="s">
        <v>32</v>
      </c>
      <c r="M272" s="19" t="s">
        <v>28</v>
      </c>
      <c r="N272" s="17"/>
      <c r="O272" s="22" t="s">
        <v>851</v>
      </c>
      <c r="P272" s="22"/>
      <c r="Q272" s="31">
        <f t="shared" si="15"/>
        <v>1</v>
      </c>
      <c r="R272" s="32" t="str">
        <f t="shared" si="14"/>
        <v>P02.214</v>
      </c>
    </row>
    <row r="273" spans="1:18">
      <c r="A273" s="18"/>
      <c r="B273" s="18"/>
      <c r="C273" s="18"/>
      <c r="D273" s="17">
        <f t="shared" si="13"/>
        <v>727</v>
      </c>
      <c r="E273" s="19" t="s">
        <v>92</v>
      </c>
      <c r="F273" s="20" t="s">
        <v>852</v>
      </c>
      <c r="G273" s="21" t="s">
        <v>23</v>
      </c>
      <c r="H273" s="21" t="s">
        <v>94</v>
      </c>
      <c r="I273" s="21" t="s">
        <v>95</v>
      </c>
      <c r="J273" s="17" t="s">
        <v>420</v>
      </c>
      <c r="K273" s="17" t="s">
        <v>26</v>
      </c>
      <c r="L273" s="17" t="s">
        <v>32</v>
      </c>
      <c r="M273" s="19" t="s">
        <v>28</v>
      </c>
      <c r="N273" s="17"/>
      <c r="O273" s="22" t="s">
        <v>853</v>
      </c>
      <c r="P273" s="22"/>
      <c r="Q273" s="31">
        <f t="shared" si="15"/>
        <v>1</v>
      </c>
      <c r="R273" s="32" t="str">
        <f t="shared" si="14"/>
        <v>P02.215</v>
      </c>
    </row>
    <row r="274" spans="1:18">
      <c r="A274" s="18"/>
      <c r="B274" s="18"/>
      <c r="C274" s="18"/>
      <c r="D274" s="17">
        <f t="shared" si="13"/>
        <v>728</v>
      </c>
      <c r="E274" s="19" t="s">
        <v>92</v>
      </c>
      <c r="F274" s="20" t="s">
        <v>854</v>
      </c>
      <c r="G274" s="21" t="s">
        <v>23</v>
      </c>
      <c r="H274" s="21" t="s">
        <v>94</v>
      </c>
      <c r="I274" s="21" t="s">
        <v>95</v>
      </c>
      <c r="J274" s="17" t="s">
        <v>420</v>
      </c>
      <c r="K274" s="17" t="s">
        <v>26</v>
      </c>
      <c r="L274" s="17" t="s">
        <v>32</v>
      </c>
      <c r="M274" s="19" t="s">
        <v>28</v>
      </c>
      <c r="N274" s="17"/>
      <c r="O274" s="22" t="s">
        <v>855</v>
      </c>
      <c r="P274" s="22"/>
      <c r="Q274" s="31">
        <f t="shared" si="15"/>
        <v>1</v>
      </c>
      <c r="R274" s="32" t="str">
        <f t="shared" si="14"/>
        <v>P02.216</v>
      </c>
    </row>
    <row r="275" spans="1:18">
      <c r="A275" s="18"/>
      <c r="B275" s="18"/>
      <c r="C275" s="18"/>
      <c r="D275" s="17">
        <f t="shared" si="13"/>
        <v>729</v>
      </c>
      <c r="E275" s="19" t="s">
        <v>92</v>
      </c>
      <c r="F275" s="20" t="s">
        <v>856</v>
      </c>
      <c r="G275" s="21" t="s">
        <v>23</v>
      </c>
      <c r="H275" s="21" t="s">
        <v>94</v>
      </c>
      <c r="I275" s="21" t="s">
        <v>95</v>
      </c>
      <c r="J275" s="17" t="s">
        <v>420</v>
      </c>
      <c r="K275" s="17" t="s">
        <v>26</v>
      </c>
      <c r="L275" s="17" t="s">
        <v>32</v>
      </c>
      <c r="M275" s="19" t="s">
        <v>28</v>
      </c>
      <c r="N275" s="17"/>
      <c r="O275" s="22" t="s">
        <v>857</v>
      </c>
      <c r="P275" s="22"/>
      <c r="Q275" s="31">
        <f t="shared" si="15"/>
        <v>1</v>
      </c>
      <c r="R275" s="32" t="str">
        <f t="shared" si="14"/>
        <v>P02.217</v>
      </c>
    </row>
    <row r="276" spans="1:18">
      <c r="A276" s="18"/>
      <c r="B276" s="18"/>
      <c r="C276" s="18"/>
      <c r="D276" s="17">
        <f t="shared" si="13"/>
        <v>730</v>
      </c>
      <c r="E276" s="19" t="s">
        <v>92</v>
      </c>
      <c r="F276" s="20" t="s">
        <v>858</v>
      </c>
      <c r="G276" s="21" t="s">
        <v>23</v>
      </c>
      <c r="H276" s="21" t="s">
        <v>94</v>
      </c>
      <c r="I276" s="21" t="s">
        <v>95</v>
      </c>
      <c r="J276" s="17" t="s">
        <v>420</v>
      </c>
      <c r="K276" s="17" t="s">
        <v>26</v>
      </c>
      <c r="L276" s="17" t="s">
        <v>32</v>
      </c>
      <c r="M276" s="19" t="s">
        <v>28</v>
      </c>
      <c r="N276" s="17"/>
      <c r="O276" s="22" t="s">
        <v>859</v>
      </c>
      <c r="P276" s="22"/>
      <c r="Q276" s="31">
        <f t="shared" si="15"/>
        <v>1</v>
      </c>
      <c r="R276" s="32" t="str">
        <f t="shared" si="14"/>
        <v>P02.218</v>
      </c>
    </row>
    <row r="277" spans="1:18">
      <c r="A277" s="18"/>
      <c r="B277" s="18"/>
      <c r="C277" s="18"/>
      <c r="D277" s="17">
        <f t="shared" si="13"/>
        <v>731</v>
      </c>
      <c r="E277" s="19" t="s">
        <v>92</v>
      </c>
      <c r="F277" s="20" t="s">
        <v>860</v>
      </c>
      <c r="G277" s="21" t="s">
        <v>23</v>
      </c>
      <c r="H277" s="21" t="s">
        <v>94</v>
      </c>
      <c r="I277" s="21" t="s">
        <v>95</v>
      </c>
      <c r="J277" s="17" t="s">
        <v>420</v>
      </c>
      <c r="K277" s="17" t="s">
        <v>26</v>
      </c>
      <c r="L277" s="17" t="s">
        <v>32</v>
      </c>
      <c r="M277" s="19" t="s">
        <v>28</v>
      </c>
      <c r="N277" s="17"/>
      <c r="O277" s="22" t="s">
        <v>861</v>
      </c>
      <c r="P277" s="22"/>
      <c r="Q277" s="31">
        <f t="shared" si="15"/>
        <v>1</v>
      </c>
      <c r="R277" s="32" t="str">
        <f t="shared" si="14"/>
        <v>P02.219</v>
      </c>
    </row>
    <row r="278" spans="1:18">
      <c r="A278" s="18"/>
      <c r="B278" s="18"/>
      <c r="C278" s="18"/>
      <c r="D278" s="17">
        <f t="shared" si="13"/>
        <v>732</v>
      </c>
      <c r="E278" s="19" t="s">
        <v>92</v>
      </c>
      <c r="F278" s="20" t="s">
        <v>862</v>
      </c>
      <c r="G278" s="21" t="s">
        <v>23</v>
      </c>
      <c r="H278" s="21" t="s">
        <v>94</v>
      </c>
      <c r="I278" s="21" t="s">
        <v>95</v>
      </c>
      <c r="J278" s="17" t="s">
        <v>420</v>
      </c>
      <c r="K278" s="17" t="s">
        <v>26</v>
      </c>
      <c r="L278" s="17" t="s">
        <v>32</v>
      </c>
      <c r="M278" s="19" t="s">
        <v>28</v>
      </c>
      <c r="N278" s="20"/>
      <c r="O278" s="22" t="s">
        <v>863</v>
      </c>
      <c r="P278" s="22"/>
      <c r="Q278" s="31">
        <f t="shared" si="15"/>
        <v>1</v>
      </c>
      <c r="R278" s="32" t="str">
        <f t="shared" si="14"/>
        <v>P02.220</v>
      </c>
    </row>
    <row r="279" spans="1:18">
      <c r="A279" s="18"/>
      <c r="B279" s="18"/>
      <c r="C279" s="18"/>
      <c r="D279" s="17">
        <f t="shared" si="13"/>
        <v>733</v>
      </c>
      <c r="E279" s="19" t="s">
        <v>92</v>
      </c>
      <c r="F279" s="20" t="s">
        <v>864</v>
      </c>
      <c r="G279" s="21" t="s">
        <v>23</v>
      </c>
      <c r="H279" s="21" t="s">
        <v>94</v>
      </c>
      <c r="I279" s="21" t="s">
        <v>95</v>
      </c>
      <c r="J279" s="17" t="s">
        <v>420</v>
      </c>
      <c r="K279" s="17" t="s">
        <v>26</v>
      </c>
      <c r="L279" s="17" t="s">
        <v>32</v>
      </c>
      <c r="M279" s="19" t="s">
        <v>28</v>
      </c>
      <c r="N279" s="20"/>
      <c r="O279" s="22" t="s">
        <v>865</v>
      </c>
      <c r="P279" s="22"/>
      <c r="Q279" s="31">
        <f t="shared" si="15"/>
        <v>1</v>
      </c>
      <c r="R279" s="32" t="str">
        <f t="shared" si="14"/>
        <v>P02.221</v>
      </c>
    </row>
    <row r="280" spans="1:18">
      <c r="A280" s="18"/>
      <c r="B280" s="18"/>
      <c r="C280" s="18"/>
      <c r="D280" s="17">
        <f t="shared" si="13"/>
        <v>734</v>
      </c>
      <c r="E280" s="19" t="s">
        <v>92</v>
      </c>
      <c r="F280" s="20" t="s">
        <v>866</v>
      </c>
      <c r="G280" s="21" t="s">
        <v>23</v>
      </c>
      <c r="H280" s="21" t="s">
        <v>94</v>
      </c>
      <c r="I280" s="21" t="s">
        <v>95</v>
      </c>
      <c r="J280" s="17" t="s">
        <v>420</v>
      </c>
      <c r="K280" s="17" t="s">
        <v>26</v>
      </c>
      <c r="L280" s="17" t="s">
        <v>32</v>
      </c>
      <c r="M280" s="19" t="s">
        <v>28</v>
      </c>
      <c r="N280" s="20"/>
      <c r="O280" s="22" t="s">
        <v>867</v>
      </c>
      <c r="P280" s="22"/>
      <c r="Q280" s="31">
        <f t="shared" si="15"/>
        <v>1</v>
      </c>
      <c r="R280" s="32" t="str">
        <f t="shared" si="14"/>
        <v>P02.222</v>
      </c>
    </row>
    <row r="281" spans="1:18">
      <c r="A281" s="18"/>
      <c r="B281" s="18"/>
      <c r="C281" s="18"/>
      <c r="D281" s="17">
        <f t="shared" si="13"/>
        <v>735</v>
      </c>
      <c r="E281" s="19" t="s">
        <v>92</v>
      </c>
      <c r="F281" s="20" t="s">
        <v>868</v>
      </c>
      <c r="G281" s="21" t="s">
        <v>23</v>
      </c>
      <c r="H281" s="21" t="s">
        <v>94</v>
      </c>
      <c r="I281" s="21" t="s">
        <v>95</v>
      </c>
      <c r="J281" s="17" t="s">
        <v>420</v>
      </c>
      <c r="K281" s="17" t="s">
        <v>26</v>
      </c>
      <c r="L281" s="17" t="s">
        <v>32</v>
      </c>
      <c r="M281" s="19" t="s">
        <v>28</v>
      </c>
      <c r="N281" s="20"/>
      <c r="O281" s="22" t="s">
        <v>869</v>
      </c>
      <c r="P281" s="22"/>
      <c r="Q281" s="31">
        <f t="shared" si="15"/>
        <v>1</v>
      </c>
      <c r="R281" s="32" t="str">
        <f t="shared" si="14"/>
        <v>P02.223</v>
      </c>
    </row>
    <row r="282" spans="1:18">
      <c r="A282" s="18"/>
      <c r="B282" s="18"/>
      <c r="C282" s="18"/>
      <c r="D282" s="17">
        <f t="shared" ref="D282:D345" si="16">INDEX(D:D,ROW()-1)+_xlfn.IFS(INDEX(E:E,ROW()-1)="u16",1,INDEX(E:E,ROW()-1)="s16",1,INDEX(E:E,ROW()-1)="s32",2,INDEX(E:E,ROW()-1)="s64",4,INDEX(E:E,ROW()-1)="u16",1,INDEX(E:E,ROW()-1)="u32",2,INDEX(E:E,ROW()-1)="u64",4,INDEX(E:E,ROW()-1)="f32",2,INDEX(E:E,ROW()-1)="f64",4)</f>
        <v>736</v>
      </c>
      <c r="E282" s="19" t="s">
        <v>29</v>
      </c>
      <c r="F282" s="20" t="s">
        <v>870</v>
      </c>
      <c r="G282" s="21" t="s">
        <v>23</v>
      </c>
      <c r="H282" s="21" t="s">
        <v>23</v>
      </c>
      <c r="I282" s="21" t="s">
        <v>30</v>
      </c>
      <c r="J282" s="17" t="s">
        <v>25</v>
      </c>
      <c r="K282" s="17" t="s">
        <v>26</v>
      </c>
      <c r="L282" s="17" t="s">
        <v>32</v>
      </c>
      <c r="M282" s="19" t="s">
        <v>28</v>
      </c>
      <c r="N282" s="20"/>
      <c r="O282" s="22" t="s">
        <v>871</v>
      </c>
      <c r="P282" s="22"/>
      <c r="Q282" s="31">
        <f t="shared" si="15"/>
        <v>1</v>
      </c>
      <c r="R282" s="32" t="str">
        <f t="shared" si="14"/>
        <v>P02.224</v>
      </c>
    </row>
    <row r="283" spans="1:18">
      <c r="A283" s="18"/>
      <c r="B283" s="18"/>
      <c r="C283" s="18"/>
      <c r="D283" s="17">
        <f t="shared" si="16"/>
        <v>737</v>
      </c>
      <c r="E283" s="19" t="s">
        <v>29</v>
      </c>
      <c r="F283" s="20"/>
      <c r="G283" s="21" t="s">
        <v>23</v>
      </c>
      <c r="H283" s="21" t="s">
        <v>23</v>
      </c>
      <c r="I283" s="21" t="s">
        <v>30</v>
      </c>
      <c r="J283" s="17" t="s">
        <v>25</v>
      </c>
      <c r="K283" s="17" t="s">
        <v>26</v>
      </c>
      <c r="L283" s="17" t="s">
        <v>32</v>
      </c>
      <c r="M283" s="19" t="s">
        <v>28</v>
      </c>
      <c r="N283" s="17"/>
      <c r="O283" s="22"/>
      <c r="P283" s="22"/>
      <c r="Q283" s="31">
        <f t="shared" si="15"/>
        <v>1</v>
      </c>
      <c r="R283" s="32" t="str">
        <f t="shared" si="14"/>
        <v>P02.225</v>
      </c>
    </row>
    <row r="284" spans="1:18">
      <c r="A284" s="18"/>
      <c r="B284" s="18"/>
      <c r="C284" s="18"/>
      <c r="D284" s="17">
        <f t="shared" si="16"/>
        <v>738</v>
      </c>
      <c r="E284" s="19" t="s">
        <v>29</v>
      </c>
      <c r="F284" s="20" t="s">
        <v>872</v>
      </c>
      <c r="G284" s="21" t="s">
        <v>23</v>
      </c>
      <c r="H284" s="21" t="s">
        <v>23</v>
      </c>
      <c r="I284" s="21" t="s">
        <v>30</v>
      </c>
      <c r="J284" s="17" t="s">
        <v>25</v>
      </c>
      <c r="K284" s="17" t="s">
        <v>26</v>
      </c>
      <c r="L284" s="17" t="s">
        <v>32</v>
      </c>
      <c r="M284" s="19" t="s">
        <v>28</v>
      </c>
      <c r="N284" s="20"/>
      <c r="O284" s="22" t="s">
        <v>873</v>
      </c>
      <c r="P284" s="22"/>
      <c r="Q284" s="31">
        <f t="shared" si="15"/>
        <v>1</v>
      </c>
      <c r="R284" s="32" t="str">
        <f t="shared" si="14"/>
        <v>P02.226</v>
      </c>
    </row>
    <row r="285" spans="1:18">
      <c r="A285" s="18"/>
      <c r="B285" s="18"/>
      <c r="C285" s="18"/>
      <c r="D285" s="17">
        <f t="shared" si="16"/>
        <v>739</v>
      </c>
      <c r="E285" s="19" t="s">
        <v>92</v>
      </c>
      <c r="F285" s="20" t="s">
        <v>874</v>
      </c>
      <c r="G285" s="21" t="s">
        <v>23</v>
      </c>
      <c r="H285" s="21" t="s">
        <v>94</v>
      </c>
      <c r="I285" s="21" t="s">
        <v>95</v>
      </c>
      <c r="J285" s="17" t="s">
        <v>420</v>
      </c>
      <c r="K285" s="17" t="s">
        <v>26</v>
      </c>
      <c r="L285" s="17" t="s">
        <v>32</v>
      </c>
      <c r="M285" s="19" t="s">
        <v>28</v>
      </c>
      <c r="N285" s="20"/>
      <c r="O285" s="22" t="s">
        <v>875</v>
      </c>
      <c r="P285" s="22"/>
      <c r="Q285" s="31">
        <f t="shared" si="15"/>
        <v>1</v>
      </c>
      <c r="R285" s="32" t="str">
        <f t="shared" si="14"/>
        <v>P02.227</v>
      </c>
    </row>
    <row r="286" spans="1:18">
      <c r="A286" s="18"/>
      <c r="B286" s="18"/>
      <c r="C286" s="18"/>
      <c r="D286" s="17">
        <f t="shared" si="16"/>
        <v>740</v>
      </c>
      <c r="E286" s="19" t="s">
        <v>92</v>
      </c>
      <c r="F286" s="20" t="s">
        <v>876</v>
      </c>
      <c r="G286" s="21" t="s">
        <v>23</v>
      </c>
      <c r="H286" s="21" t="s">
        <v>94</v>
      </c>
      <c r="I286" s="21" t="s">
        <v>95</v>
      </c>
      <c r="J286" s="17" t="s">
        <v>420</v>
      </c>
      <c r="K286" s="17" t="s">
        <v>26</v>
      </c>
      <c r="L286" s="17" t="s">
        <v>32</v>
      </c>
      <c r="M286" s="19" t="s">
        <v>28</v>
      </c>
      <c r="N286" s="20"/>
      <c r="O286" s="22" t="s">
        <v>877</v>
      </c>
      <c r="P286" s="22"/>
      <c r="Q286" s="31">
        <f t="shared" si="15"/>
        <v>1</v>
      </c>
      <c r="R286" s="32" t="str">
        <f t="shared" si="14"/>
        <v>P02.228</v>
      </c>
    </row>
    <row r="287" spans="1:18">
      <c r="A287" s="18"/>
      <c r="B287" s="18"/>
      <c r="C287" s="18"/>
      <c r="D287" s="17">
        <f t="shared" si="16"/>
        <v>741</v>
      </c>
      <c r="E287" s="19" t="s">
        <v>92</v>
      </c>
      <c r="F287" s="20" t="s">
        <v>878</v>
      </c>
      <c r="G287" s="21" t="s">
        <v>23</v>
      </c>
      <c r="H287" s="21" t="s">
        <v>94</v>
      </c>
      <c r="I287" s="21" t="s">
        <v>95</v>
      </c>
      <c r="J287" s="17" t="s">
        <v>420</v>
      </c>
      <c r="K287" s="17" t="s">
        <v>26</v>
      </c>
      <c r="L287" s="17" t="s">
        <v>32</v>
      </c>
      <c r="M287" s="19" t="s">
        <v>28</v>
      </c>
      <c r="N287" s="20"/>
      <c r="O287" s="22" t="s">
        <v>879</v>
      </c>
      <c r="P287" s="22"/>
      <c r="Q287" s="31">
        <f t="shared" si="15"/>
        <v>1</v>
      </c>
      <c r="R287" s="32" t="str">
        <f t="shared" si="14"/>
        <v>P02.229</v>
      </c>
    </row>
    <row r="288" spans="1:18">
      <c r="A288" s="18"/>
      <c r="B288" s="18"/>
      <c r="C288" s="18"/>
      <c r="D288" s="17">
        <f t="shared" si="16"/>
        <v>742</v>
      </c>
      <c r="E288" s="19" t="s">
        <v>92</v>
      </c>
      <c r="F288" s="20" t="s">
        <v>880</v>
      </c>
      <c r="G288" s="21" t="s">
        <v>23</v>
      </c>
      <c r="H288" s="21" t="s">
        <v>94</v>
      </c>
      <c r="I288" s="21" t="s">
        <v>95</v>
      </c>
      <c r="J288" s="17" t="s">
        <v>420</v>
      </c>
      <c r="K288" s="17" t="s">
        <v>26</v>
      </c>
      <c r="L288" s="17" t="s">
        <v>32</v>
      </c>
      <c r="M288" s="19" t="s">
        <v>28</v>
      </c>
      <c r="N288" s="20"/>
      <c r="O288" s="22" t="s">
        <v>881</v>
      </c>
      <c r="P288" s="22"/>
      <c r="Q288" s="31">
        <f t="shared" si="15"/>
        <v>1</v>
      </c>
      <c r="R288" s="32" t="str">
        <f t="shared" si="14"/>
        <v>P02.230</v>
      </c>
    </row>
    <row r="289" spans="1:18">
      <c r="A289" s="18"/>
      <c r="B289" s="18"/>
      <c r="C289" s="18"/>
      <c r="D289" s="17">
        <f t="shared" si="16"/>
        <v>743</v>
      </c>
      <c r="E289" s="19" t="s">
        <v>29</v>
      </c>
      <c r="F289" s="20" t="s">
        <v>882</v>
      </c>
      <c r="G289" s="21" t="s">
        <v>23</v>
      </c>
      <c r="H289" s="21" t="s">
        <v>23</v>
      </c>
      <c r="I289" s="21" t="s">
        <v>592</v>
      </c>
      <c r="J289" s="17" t="s">
        <v>25</v>
      </c>
      <c r="K289" s="17" t="s">
        <v>26</v>
      </c>
      <c r="L289" s="17" t="s">
        <v>32</v>
      </c>
      <c r="M289" s="19" t="s">
        <v>28</v>
      </c>
      <c r="N289" s="20"/>
      <c r="O289" s="22" t="s">
        <v>883</v>
      </c>
      <c r="P289" s="22"/>
      <c r="Q289" s="31">
        <f t="shared" si="15"/>
        <v>0</v>
      </c>
      <c r="R289" s="32" t="str">
        <f t="shared" si="14"/>
        <v>P02.231</v>
      </c>
    </row>
    <row r="290" spans="1:18">
      <c r="A290" s="18"/>
      <c r="B290" s="18"/>
      <c r="C290" s="18"/>
      <c r="D290" s="17">
        <f t="shared" si="16"/>
        <v>744</v>
      </c>
      <c r="E290" s="19" t="s">
        <v>29</v>
      </c>
      <c r="F290" s="20" t="s">
        <v>884</v>
      </c>
      <c r="G290" s="21" t="s">
        <v>23</v>
      </c>
      <c r="H290" s="21" t="s">
        <v>23</v>
      </c>
      <c r="I290" s="21" t="s">
        <v>30</v>
      </c>
      <c r="J290" s="17" t="s">
        <v>25</v>
      </c>
      <c r="K290" s="17" t="s">
        <v>26</v>
      </c>
      <c r="L290" s="17" t="s">
        <v>32</v>
      </c>
      <c r="M290" s="19" t="s">
        <v>28</v>
      </c>
      <c r="N290" s="20"/>
      <c r="O290" s="22" t="s">
        <v>885</v>
      </c>
      <c r="P290" s="22"/>
      <c r="Q290" s="31">
        <f t="shared" si="15"/>
        <v>1</v>
      </c>
      <c r="R290" s="32" t="str">
        <f t="shared" si="14"/>
        <v>P02.232</v>
      </c>
    </row>
    <row r="291" spans="1:18">
      <c r="A291" s="18"/>
      <c r="B291" s="18"/>
      <c r="C291" s="18"/>
      <c r="D291" s="17">
        <f t="shared" si="16"/>
        <v>745</v>
      </c>
      <c r="E291" s="19" t="s">
        <v>29</v>
      </c>
      <c r="F291" s="20" t="s">
        <v>886</v>
      </c>
      <c r="G291" s="21" t="s">
        <v>23</v>
      </c>
      <c r="H291" s="21" t="s">
        <v>23</v>
      </c>
      <c r="I291" s="21" t="s">
        <v>30</v>
      </c>
      <c r="J291" s="17" t="s">
        <v>25</v>
      </c>
      <c r="K291" s="17" t="s">
        <v>26</v>
      </c>
      <c r="L291" s="17" t="s">
        <v>32</v>
      </c>
      <c r="M291" s="19" t="s">
        <v>28</v>
      </c>
      <c r="N291" s="20"/>
      <c r="O291" s="22" t="s">
        <v>887</v>
      </c>
      <c r="P291" s="22"/>
      <c r="Q291" s="31">
        <f t="shared" si="15"/>
        <v>1</v>
      </c>
      <c r="R291" s="32" t="str">
        <f t="shared" si="14"/>
        <v>P02.233</v>
      </c>
    </row>
    <row r="292" spans="1:18">
      <c r="A292" s="18"/>
      <c r="B292" s="18"/>
      <c r="C292" s="18"/>
      <c r="D292" s="17">
        <f t="shared" si="16"/>
        <v>746</v>
      </c>
      <c r="E292" s="19" t="s">
        <v>29</v>
      </c>
      <c r="F292" s="20" t="s">
        <v>888</v>
      </c>
      <c r="G292" s="21" t="s">
        <v>23</v>
      </c>
      <c r="H292" s="21" t="s">
        <v>23</v>
      </c>
      <c r="I292" s="21" t="s">
        <v>30</v>
      </c>
      <c r="J292" s="17" t="s">
        <v>25</v>
      </c>
      <c r="K292" s="17" t="s">
        <v>26</v>
      </c>
      <c r="L292" s="17" t="s">
        <v>32</v>
      </c>
      <c r="M292" s="19" t="s">
        <v>28</v>
      </c>
      <c r="N292" s="20"/>
      <c r="O292" s="22" t="s">
        <v>889</v>
      </c>
      <c r="P292" s="22"/>
      <c r="Q292" s="31">
        <f t="shared" si="15"/>
        <v>1</v>
      </c>
      <c r="R292" s="32" t="str">
        <f t="shared" si="14"/>
        <v>P02.234</v>
      </c>
    </row>
    <row r="293" spans="1:18">
      <c r="A293" s="18"/>
      <c r="B293" s="18"/>
      <c r="C293" s="18"/>
      <c r="D293" s="17">
        <f t="shared" si="16"/>
        <v>747</v>
      </c>
      <c r="E293" s="19" t="s">
        <v>29</v>
      </c>
      <c r="F293" s="20"/>
      <c r="G293" s="21" t="s">
        <v>23</v>
      </c>
      <c r="H293" s="21" t="s">
        <v>23</v>
      </c>
      <c r="I293" s="21" t="s">
        <v>30</v>
      </c>
      <c r="J293" s="17" t="s">
        <v>25</v>
      </c>
      <c r="K293" s="17" t="s">
        <v>26</v>
      </c>
      <c r="L293" s="17" t="s">
        <v>32</v>
      </c>
      <c r="M293" s="19" t="s">
        <v>28</v>
      </c>
      <c r="N293" s="17"/>
      <c r="O293" s="22"/>
      <c r="P293" s="22"/>
      <c r="Q293" s="31">
        <f t="shared" si="15"/>
        <v>1</v>
      </c>
      <c r="R293" s="32" t="str">
        <f t="shared" si="14"/>
        <v>P02.235</v>
      </c>
    </row>
    <row r="294" spans="1:18">
      <c r="A294" s="18"/>
      <c r="B294" s="18"/>
      <c r="C294" s="18"/>
      <c r="D294" s="17">
        <f t="shared" si="16"/>
        <v>748</v>
      </c>
      <c r="E294" s="19" t="s">
        <v>273</v>
      </c>
      <c r="F294" s="20" t="s">
        <v>890</v>
      </c>
      <c r="G294" s="21" t="s">
        <v>23</v>
      </c>
      <c r="H294" s="21" t="s">
        <v>275</v>
      </c>
      <c r="I294" s="21" t="s">
        <v>276</v>
      </c>
      <c r="J294" s="17" t="s">
        <v>722</v>
      </c>
      <c r="K294" s="17" t="s">
        <v>26</v>
      </c>
      <c r="L294" s="17" t="s">
        <v>32</v>
      </c>
      <c r="M294" s="19" t="s">
        <v>28</v>
      </c>
      <c r="N294" s="22"/>
      <c r="O294" s="22" t="s">
        <v>891</v>
      </c>
      <c r="P294" s="22"/>
      <c r="Q294" s="31">
        <f t="shared" si="15"/>
        <v>1</v>
      </c>
      <c r="R294" s="32" t="str">
        <f t="shared" si="14"/>
        <v>P02.236</v>
      </c>
    </row>
    <row r="295" spans="1:18">
      <c r="A295" s="18"/>
      <c r="B295" s="18"/>
      <c r="C295" s="18"/>
      <c r="D295" s="17">
        <f t="shared" si="16"/>
        <v>750</v>
      </c>
      <c r="E295" s="19" t="s">
        <v>273</v>
      </c>
      <c r="F295" s="20" t="s">
        <v>892</v>
      </c>
      <c r="G295" s="21" t="s">
        <v>23</v>
      </c>
      <c r="H295" s="21" t="s">
        <v>275</v>
      </c>
      <c r="I295" s="21" t="s">
        <v>276</v>
      </c>
      <c r="J295" s="17" t="s">
        <v>722</v>
      </c>
      <c r="K295" s="17" t="s">
        <v>26</v>
      </c>
      <c r="L295" s="17" t="s">
        <v>32</v>
      </c>
      <c r="M295" s="19" t="s">
        <v>28</v>
      </c>
      <c r="N295" s="22"/>
      <c r="O295" s="22" t="s">
        <v>893</v>
      </c>
      <c r="P295" s="22"/>
      <c r="Q295" s="31">
        <f t="shared" si="15"/>
        <v>1</v>
      </c>
      <c r="R295" s="32" t="str">
        <f t="shared" si="14"/>
        <v>P02.238</v>
      </c>
    </row>
    <row r="296" spans="1:18">
      <c r="A296" s="18"/>
      <c r="B296" s="18"/>
      <c r="C296" s="18"/>
      <c r="D296" s="17">
        <f t="shared" si="16"/>
        <v>752</v>
      </c>
      <c r="E296" s="19" t="s">
        <v>284</v>
      </c>
      <c r="F296" s="20" t="s">
        <v>894</v>
      </c>
      <c r="G296" s="21" t="s">
        <v>23</v>
      </c>
      <c r="H296" s="21" t="s">
        <v>286</v>
      </c>
      <c r="I296" s="21" t="s">
        <v>287</v>
      </c>
      <c r="J296" s="17" t="s">
        <v>439</v>
      </c>
      <c r="K296" s="17" t="s">
        <v>26</v>
      </c>
      <c r="L296" s="17" t="s">
        <v>32</v>
      </c>
      <c r="M296" s="19" t="s">
        <v>28</v>
      </c>
      <c r="N296" s="22"/>
      <c r="O296" s="22" t="s">
        <v>895</v>
      </c>
      <c r="P296" s="22"/>
      <c r="Q296" s="31">
        <f t="shared" si="15"/>
        <v>1</v>
      </c>
      <c r="R296" s="32" t="str">
        <f t="shared" si="14"/>
        <v>P02.240</v>
      </c>
    </row>
    <row r="297" spans="1:18">
      <c r="A297" s="18"/>
      <c r="B297" s="18"/>
      <c r="C297" s="18"/>
      <c r="D297" s="17">
        <f t="shared" si="16"/>
        <v>756</v>
      </c>
      <c r="E297" s="19" t="s">
        <v>284</v>
      </c>
      <c r="F297" s="20" t="s">
        <v>896</v>
      </c>
      <c r="G297" s="21" t="s">
        <v>23</v>
      </c>
      <c r="H297" s="21" t="s">
        <v>286</v>
      </c>
      <c r="I297" s="21" t="s">
        <v>287</v>
      </c>
      <c r="J297" s="17" t="s">
        <v>439</v>
      </c>
      <c r="K297" s="17" t="s">
        <v>26</v>
      </c>
      <c r="L297" s="17" t="s">
        <v>32</v>
      </c>
      <c r="M297" s="19" t="s">
        <v>28</v>
      </c>
      <c r="N297" s="22"/>
      <c r="O297" s="22" t="s">
        <v>897</v>
      </c>
      <c r="P297" s="22"/>
      <c r="Q297" s="31">
        <f t="shared" si="15"/>
        <v>1</v>
      </c>
      <c r="R297" s="32" t="str">
        <f t="shared" si="14"/>
        <v>P02.244</v>
      </c>
    </row>
    <row r="298" spans="1:18">
      <c r="A298" s="18"/>
      <c r="B298" s="18"/>
      <c r="C298" s="18"/>
      <c r="D298" s="17">
        <f t="shared" si="16"/>
        <v>760</v>
      </c>
      <c r="E298" s="19" t="s">
        <v>92</v>
      </c>
      <c r="F298" s="20" t="s">
        <v>898</v>
      </c>
      <c r="G298" s="21" t="s">
        <v>23</v>
      </c>
      <c r="H298" s="21" t="s">
        <v>94</v>
      </c>
      <c r="I298" s="21" t="s">
        <v>95</v>
      </c>
      <c r="J298" s="17" t="s">
        <v>420</v>
      </c>
      <c r="K298" s="17" t="s">
        <v>26</v>
      </c>
      <c r="L298" s="17" t="s">
        <v>32</v>
      </c>
      <c r="M298" s="19" t="s">
        <v>28</v>
      </c>
      <c r="N298" s="20"/>
      <c r="O298" s="22" t="s">
        <v>899</v>
      </c>
      <c r="P298" s="22"/>
      <c r="Q298" s="31">
        <f t="shared" si="15"/>
        <v>1</v>
      </c>
      <c r="R298" s="32" t="str">
        <f t="shared" si="14"/>
        <v>P02.248</v>
      </c>
    </row>
    <row r="299" spans="1:18">
      <c r="A299" s="18"/>
      <c r="B299" s="18"/>
      <c r="C299" s="18"/>
      <c r="D299" s="17">
        <f t="shared" si="16"/>
        <v>761</v>
      </c>
      <c r="E299" s="19" t="s">
        <v>92</v>
      </c>
      <c r="F299" s="20" t="s">
        <v>900</v>
      </c>
      <c r="G299" s="21" t="s">
        <v>23</v>
      </c>
      <c r="H299" s="21" t="s">
        <v>94</v>
      </c>
      <c r="I299" s="21" t="s">
        <v>95</v>
      </c>
      <c r="J299" s="17" t="s">
        <v>420</v>
      </c>
      <c r="K299" s="17" t="s">
        <v>26</v>
      </c>
      <c r="L299" s="17" t="s">
        <v>32</v>
      </c>
      <c r="M299" s="19" t="s">
        <v>28</v>
      </c>
      <c r="N299" s="20"/>
      <c r="O299" s="22" t="s">
        <v>901</v>
      </c>
      <c r="P299" s="22"/>
      <c r="Q299" s="31">
        <f t="shared" si="15"/>
        <v>1</v>
      </c>
      <c r="R299" s="32" t="str">
        <f t="shared" si="14"/>
        <v>P02.249</v>
      </c>
    </row>
    <row r="300" spans="1:18">
      <c r="A300" s="18"/>
      <c r="B300" s="18"/>
      <c r="C300" s="18"/>
      <c r="D300" s="17">
        <f t="shared" si="16"/>
        <v>762</v>
      </c>
      <c r="E300" s="19" t="s">
        <v>29</v>
      </c>
      <c r="F300" s="20"/>
      <c r="G300" s="21" t="s">
        <v>23</v>
      </c>
      <c r="H300" s="21" t="s">
        <v>23</v>
      </c>
      <c r="I300" s="21" t="s">
        <v>30</v>
      </c>
      <c r="J300" s="17" t="s">
        <v>25</v>
      </c>
      <c r="K300" s="17" t="s">
        <v>26</v>
      </c>
      <c r="L300" s="17" t="s">
        <v>32</v>
      </c>
      <c r="M300" s="19" t="s">
        <v>28</v>
      </c>
      <c r="N300" s="17"/>
      <c r="O300" s="22"/>
      <c r="P300" s="22"/>
      <c r="Q300" s="31">
        <f t="shared" si="15"/>
        <v>1</v>
      </c>
      <c r="R300" s="32" t="str">
        <f t="shared" si="14"/>
        <v>P02.250</v>
      </c>
    </row>
    <row r="301" spans="1:18">
      <c r="A301" s="18"/>
      <c r="B301" s="18"/>
      <c r="C301" s="18"/>
      <c r="D301" s="17">
        <f t="shared" si="16"/>
        <v>763</v>
      </c>
      <c r="E301" s="19" t="s">
        <v>29</v>
      </c>
      <c r="F301" s="20"/>
      <c r="G301" s="21" t="s">
        <v>23</v>
      </c>
      <c r="H301" s="21" t="s">
        <v>23</v>
      </c>
      <c r="I301" s="21" t="s">
        <v>30</v>
      </c>
      <c r="J301" s="17" t="s">
        <v>25</v>
      </c>
      <c r="K301" s="17" t="s">
        <v>26</v>
      </c>
      <c r="L301" s="17" t="s">
        <v>32</v>
      </c>
      <c r="M301" s="19" t="s">
        <v>28</v>
      </c>
      <c r="N301" s="17"/>
      <c r="O301" s="22"/>
      <c r="P301" s="22"/>
      <c r="Q301" s="31">
        <f t="shared" si="15"/>
        <v>1</v>
      </c>
      <c r="R301" s="32" t="str">
        <f t="shared" si="14"/>
        <v>P02.251</v>
      </c>
    </row>
    <row r="302" spans="1:18">
      <c r="A302" s="18"/>
      <c r="B302" s="18"/>
      <c r="C302" s="18"/>
      <c r="D302" s="17">
        <f t="shared" si="16"/>
        <v>764</v>
      </c>
      <c r="E302" s="19" t="s">
        <v>29</v>
      </c>
      <c r="F302" s="20"/>
      <c r="G302" s="21" t="s">
        <v>23</v>
      </c>
      <c r="H302" s="21" t="s">
        <v>23</v>
      </c>
      <c r="I302" s="21" t="s">
        <v>30</v>
      </c>
      <c r="J302" s="17" t="s">
        <v>25</v>
      </c>
      <c r="K302" s="17" t="s">
        <v>26</v>
      </c>
      <c r="L302" s="17" t="s">
        <v>32</v>
      </c>
      <c r="M302" s="19" t="s">
        <v>28</v>
      </c>
      <c r="N302" s="17"/>
      <c r="O302" s="22"/>
      <c r="P302" s="22"/>
      <c r="Q302" s="31">
        <f t="shared" si="15"/>
        <v>1</v>
      </c>
      <c r="R302" s="32" t="str">
        <f t="shared" si="14"/>
        <v>P02.252</v>
      </c>
    </row>
    <row r="303" spans="1:18">
      <c r="A303" s="18"/>
      <c r="B303" s="18"/>
      <c r="C303" s="18"/>
      <c r="D303" s="17">
        <f t="shared" si="16"/>
        <v>765</v>
      </c>
      <c r="E303" s="19" t="s">
        <v>29</v>
      </c>
      <c r="F303" s="20"/>
      <c r="G303" s="21" t="s">
        <v>23</v>
      </c>
      <c r="H303" s="21" t="s">
        <v>23</v>
      </c>
      <c r="I303" s="21" t="s">
        <v>30</v>
      </c>
      <c r="J303" s="17" t="s">
        <v>25</v>
      </c>
      <c r="K303" s="17" t="s">
        <v>26</v>
      </c>
      <c r="L303" s="17" t="s">
        <v>32</v>
      </c>
      <c r="M303" s="19" t="s">
        <v>28</v>
      </c>
      <c r="N303" s="17"/>
      <c r="O303" s="22"/>
      <c r="P303" s="22"/>
      <c r="Q303" s="31">
        <f t="shared" si="15"/>
        <v>1</v>
      </c>
      <c r="R303" s="32" t="str">
        <f t="shared" si="14"/>
        <v>P02.253</v>
      </c>
    </row>
    <row r="304" spans="1:18">
      <c r="A304" s="18"/>
      <c r="B304" s="18"/>
      <c r="C304" s="18"/>
      <c r="D304" s="17">
        <f t="shared" si="16"/>
        <v>766</v>
      </c>
      <c r="E304" s="19" t="s">
        <v>29</v>
      </c>
      <c r="F304" s="20"/>
      <c r="G304" s="21" t="s">
        <v>23</v>
      </c>
      <c r="H304" s="21" t="s">
        <v>23</v>
      </c>
      <c r="I304" s="21" t="s">
        <v>30</v>
      </c>
      <c r="J304" s="17" t="s">
        <v>25</v>
      </c>
      <c r="K304" s="17" t="s">
        <v>26</v>
      </c>
      <c r="L304" s="17" t="s">
        <v>32</v>
      </c>
      <c r="M304" s="19" t="s">
        <v>28</v>
      </c>
      <c r="N304" s="20"/>
      <c r="O304" s="22"/>
      <c r="P304" s="22"/>
      <c r="Q304" s="31">
        <f t="shared" si="15"/>
        <v>1</v>
      </c>
      <c r="R304" s="32" t="str">
        <f t="shared" si="14"/>
        <v>P02.254</v>
      </c>
    </row>
    <row r="305" spans="1:18">
      <c r="A305" s="18"/>
      <c r="B305" s="18"/>
      <c r="C305" s="18"/>
      <c r="D305" s="17">
        <f t="shared" si="16"/>
        <v>767</v>
      </c>
      <c r="E305" s="19" t="s">
        <v>29</v>
      </c>
      <c r="F305" s="20"/>
      <c r="G305" s="21" t="s">
        <v>23</v>
      </c>
      <c r="H305" s="21" t="s">
        <v>23</v>
      </c>
      <c r="I305" s="21" t="s">
        <v>30</v>
      </c>
      <c r="J305" s="17" t="s">
        <v>25</v>
      </c>
      <c r="K305" s="17" t="s">
        <v>26</v>
      </c>
      <c r="L305" s="17" t="s">
        <v>32</v>
      </c>
      <c r="M305" s="19" t="s">
        <v>28</v>
      </c>
      <c r="N305" s="20"/>
      <c r="O305" s="22"/>
      <c r="P305" s="22"/>
      <c r="Q305" s="31">
        <f t="shared" si="15"/>
        <v>1</v>
      </c>
      <c r="R305" s="32" t="str">
        <f t="shared" si="14"/>
        <v>P02.255</v>
      </c>
    </row>
    <row r="306" spans="1:18">
      <c r="A306" s="18"/>
      <c r="B306" s="18"/>
      <c r="C306" s="18"/>
      <c r="D306" s="17">
        <f t="shared" si="16"/>
        <v>768</v>
      </c>
      <c r="E306" s="19" t="s">
        <v>29</v>
      </c>
      <c r="F306" s="20"/>
      <c r="G306" s="21" t="s">
        <v>23</v>
      </c>
      <c r="H306" s="21" t="s">
        <v>23</v>
      </c>
      <c r="I306" s="21" t="s">
        <v>30</v>
      </c>
      <c r="J306" s="17" t="s">
        <v>25</v>
      </c>
      <c r="K306" s="17" t="s">
        <v>26</v>
      </c>
      <c r="L306" s="17" t="s">
        <v>32</v>
      </c>
      <c r="M306" s="19" t="s">
        <v>28</v>
      </c>
      <c r="N306" s="20"/>
      <c r="O306" s="22"/>
      <c r="P306" s="22"/>
      <c r="Q306" s="31">
        <f t="shared" si="15"/>
        <v>1</v>
      </c>
      <c r="R306" s="32" t="str">
        <f t="shared" si="14"/>
        <v>P03.000</v>
      </c>
    </row>
    <row r="307" spans="1:18">
      <c r="A307" s="33">
        <v>4</v>
      </c>
      <c r="B307" s="33"/>
      <c r="C307" s="33"/>
      <c r="D307" s="17">
        <f t="shared" si="16"/>
        <v>769</v>
      </c>
      <c r="E307" s="19" t="s">
        <v>29</v>
      </c>
      <c r="F307" s="20"/>
      <c r="G307" s="21" t="s">
        <v>23</v>
      </c>
      <c r="H307" s="21" t="s">
        <v>23</v>
      </c>
      <c r="I307" s="21" t="s">
        <v>30</v>
      </c>
      <c r="J307" s="17" t="s">
        <v>25</v>
      </c>
      <c r="K307" s="17" t="s">
        <v>26</v>
      </c>
      <c r="L307" s="17" t="s">
        <v>32</v>
      </c>
      <c r="M307" s="19" t="s">
        <v>28</v>
      </c>
      <c r="N307" s="20"/>
      <c r="O307" s="22"/>
      <c r="P307" s="22"/>
      <c r="Q307" s="31">
        <f t="shared" si="15"/>
        <v>1</v>
      </c>
      <c r="R307" s="32" t="str">
        <f t="shared" si="14"/>
        <v>P03.001</v>
      </c>
    </row>
    <row r="308" spans="1:18">
      <c r="A308" s="18"/>
      <c r="B308" s="18"/>
      <c r="C308" s="18"/>
      <c r="D308" s="17">
        <f t="shared" si="16"/>
        <v>770</v>
      </c>
      <c r="E308" s="19" t="s">
        <v>29</v>
      </c>
      <c r="F308" s="20" t="s">
        <v>902</v>
      </c>
      <c r="G308" s="21" t="s">
        <v>23</v>
      </c>
      <c r="H308" s="21" t="s">
        <v>23</v>
      </c>
      <c r="I308" s="21" t="s">
        <v>30</v>
      </c>
      <c r="J308" s="17" t="s">
        <v>25</v>
      </c>
      <c r="K308" s="17" t="s">
        <v>63</v>
      </c>
      <c r="L308" s="17" t="s">
        <v>27</v>
      </c>
      <c r="M308" s="19" t="s">
        <v>28</v>
      </c>
      <c r="N308" s="20"/>
      <c r="O308" s="22" t="s">
        <v>903</v>
      </c>
      <c r="P308" s="22"/>
      <c r="Q308" s="31">
        <f t="shared" si="15"/>
        <v>0</v>
      </c>
      <c r="R308" s="32" t="str">
        <f t="shared" si="14"/>
        <v>P03.002</v>
      </c>
    </row>
    <row r="309" spans="1:18">
      <c r="A309" s="18"/>
      <c r="B309" s="18"/>
      <c r="C309" s="18"/>
      <c r="D309" s="17">
        <f t="shared" si="16"/>
        <v>771</v>
      </c>
      <c r="E309" s="19" t="s">
        <v>29</v>
      </c>
      <c r="F309" s="20" t="s">
        <v>904</v>
      </c>
      <c r="G309" s="21" t="s">
        <v>23</v>
      </c>
      <c r="H309" s="21" t="s">
        <v>23</v>
      </c>
      <c r="I309" s="21" t="s">
        <v>30</v>
      </c>
      <c r="J309" s="17" t="s">
        <v>25</v>
      </c>
      <c r="K309" s="17" t="s">
        <v>63</v>
      </c>
      <c r="L309" s="17" t="s">
        <v>27</v>
      </c>
      <c r="M309" s="19" t="s">
        <v>28</v>
      </c>
      <c r="N309" s="22"/>
      <c r="O309" s="22" t="s">
        <v>905</v>
      </c>
      <c r="P309" s="22"/>
      <c r="Q309" s="31">
        <f t="shared" si="15"/>
        <v>0</v>
      </c>
      <c r="R309" s="32" t="str">
        <f t="shared" si="14"/>
        <v>P03.003</v>
      </c>
    </row>
    <row r="310" spans="1:18">
      <c r="A310" s="18"/>
      <c r="B310" s="18"/>
      <c r="C310" s="18"/>
      <c r="D310" s="17">
        <f t="shared" si="16"/>
        <v>772</v>
      </c>
      <c r="E310" s="19" t="s">
        <v>273</v>
      </c>
      <c r="F310" s="20" t="s">
        <v>906</v>
      </c>
      <c r="G310" s="21" t="s">
        <v>23</v>
      </c>
      <c r="H310" s="21" t="s">
        <v>275</v>
      </c>
      <c r="I310" s="21" t="s">
        <v>276</v>
      </c>
      <c r="J310" s="17" t="s">
        <v>25</v>
      </c>
      <c r="K310" s="17" t="s">
        <v>26</v>
      </c>
      <c r="L310" s="17" t="s">
        <v>32</v>
      </c>
      <c r="M310" s="19" t="s">
        <v>28</v>
      </c>
      <c r="N310" s="17"/>
      <c r="O310" s="22"/>
      <c r="P310" s="22"/>
      <c r="Q310" s="31">
        <f t="shared" si="15"/>
        <v>1</v>
      </c>
      <c r="R310" s="32" t="str">
        <f t="shared" ref="R310:R373" si="17">"P"&amp;TEXT(INT(D310/256),"00")&amp;"."&amp;TEXT(MOD(D310,256),"000")</f>
        <v>P03.004</v>
      </c>
    </row>
    <row r="311" spans="1:18">
      <c r="A311" s="18"/>
      <c r="B311" s="18"/>
      <c r="C311" s="18"/>
      <c r="D311" s="17">
        <f t="shared" si="16"/>
        <v>774</v>
      </c>
      <c r="E311" s="19" t="s">
        <v>29</v>
      </c>
      <c r="F311" s="20"/>
      <c r="G311" s="21" t="s">
        <v>23</v>
      </c>
      <c r="H311" s="21" t="s">
        <v>23</v>
      </c>
      <c r="I311" s="21" t="s">
        <v>30</v>
      </c>
      <c r="J311" s="17" t="s">
        <v>25</v>
      </c>
      <c r="K311" s="17" t="s">
        <v>26</v>
      </c>
      <c r="L311" s="17" t="s">
        <v>32</v>
      </c>
      <c r="M311" s="19" t="s">
        <v>28</v>
      </c>
      <c r="N311" s="17"/>
      <c r="O311" s="22"/>
      <c r="P311" s="22"/>
      <c r="Q311" s="31">
        <f t="shared" si="15"/>
        <v>1</v>
      </c>
      <c r="R311" s="32" t="str">
        <f t="shared" si="17"/>
        <v>P03.006</v>
      </c>
    </row>
    <row r="312" spans="1:18">
      <c r="A312" s="18"/>
      <c r="B312" s="18"/>
      <c r="C312" s="18"/>
      <c r="D312" s="17">
        <f t="shared" si="16"/>
        <v>775</v>
      </c>
      <c r="E312" s="19" t="s">
        <v>29</v>
      </c>
      <c r="F312" s="20"/>
      <c r="G312" s="21" t="s">
        <v>23</v>
      </c>
      <c r="H312" s="21" t="s">
        <v>23</v>
      </c>
      <c r="I312" s="21" t="s">
        <v>30</v>
      </c>
      <c r="J312" s="17" t="s">
        <v>25</v>
      </c>
      <c r="K312" s="17" t="s">
        <v>26</v>
      </c>
      <c r="L312" s="17" t="s">
        <v>32</v>
      </c>
      <c r="M312" s="19" t="s">
        <v>28</v>
      </c>
      <c r="N312" s="17"/>
      <c r="O312" s="22"/>
      <c r="P312" s="22"/>
      <c r="Q312" s="31">
        <f t="shared" si="15"/>
        <v>1</v>
      </c>
      <c r="R312" s="32" t="str">
        <f t="shared" si="17"/>
        <v>P03.007</v>
      </c>
    </row>
    <row r="313" spans="1:18">
      <c r="A313" s="34"/>
      <c r="B313" s="34"/>
      <c r="C313" s="34"/>
      <c r="D313" s="17">
        <f t="shared" si="16"/>
        <v>776</v>
      </c>
      <c r="E313" s="19" t="s">
        <v>29</v>
      </c>
      <c r="F313" s="20"/>
      <c r="G313" s="21" t="s">
        <v>23</v>
      </c>
      <c r="H313" s="21" t="s">
        <v>23</v>
      </c>
      <c r="I313" s="21" t="s">
        <v>30</v>
      </c>
      <c r="J313" s="17" t="s">
        <v>25</v>
      </c>
      <c r="K313" s="17" t="s">
        <v>26</v>
      </c>
      <c r="L313" s="17" t="s">
        <v>32</v>
      </c>
      <c r="M313" s="19" t="s">
        <v>28</v>
      </c>
      <c r="N313" s="17"/>
      <c r="O313" s="22"/>
      <c r="P313" s="22"/>
      <c r="Q313" s="31">
        <f t="shared" si="15"/>
        <v>1</v>
      </c>
      <c r="R313" s="32" t="str">
        <f t="shared" si="17"/>
        <v>P03.008</v>
      </c>
    </row>
    <row r="314" ht="39.6" spans="1:18">
      <c r="A314" s="18">
        <v>5</v>
      </c>
      <c r="B314" s="18" t="s">
        <v>907</v>
      </c>
      <c r="C314" s="18" t="s">
        <v>908</v>
      </c>
      <c r="D314" s="17">
        <f t="shared" si="16"/>
        <v>777</v>
      </c>
      <c r="E314" s="19" t="s">
        <v>29</v>
      </c>
      <c r="F314" s="20" t="s">
        <v>909</v>
      </c>
      <c r="G314" s="21" t="s">
        <v>23</v>
      </c>
      <c r="H314" s="21" t="s">
        <v>23</v>
      </c>
      <c r="I314" s="21" t="s">
        <v>43</v>
      </c>
      <c r="J314" s="17" t="s">
        <v>25</v>
      </c>
      <c r="K314" s="17" t="s">
        <v>63</v>
      </c>
      <c r="L314" s="17" t="s">
        <v>27</v>
      </c>
      <c r="M314" s="19" t="s">
        <v>28</v>
      </c>
      <c r="N314" s="17"/>
      <c r="O314" s="22" t="s">
        <v>910</v>
      </c>
      <c r="P314" s="25" t="s">
        <v>911</v>
      </c>
      <c r="Q314" s="31">
        <f t="shared" si="15"/>
        <v>0</v>
      </c>
      <c r="R314" s="32" t="str">
        <f t="shared" si="17"/>
        <v>P03.009</v>
      </c>
    </row>
    <row r="315" spans="1:18">
      <c r="A315" s="18"/>
      <c r="B315" s="18"/>
      <c r="C315" s="18"/>
      <c r="D315" s="17">
        <f t="shared" si="16"/>
        <v>778</v>
      </c>
      <c r="E315" s="19" t="s">
        <v>284</v>
      </c>
      <c r="F315" s="20" t="s">
        <v>912</v>
      </c>
      <c r="G315" s="21" t="s">
        <v>23</v>
      </c>
      <c r="H315" s="21" t="s">
        <v>286</v>
      </c>
      <c r="I315" s="21" t="s">
        <v>287</v>
      </c>
      <c r="J315" s="17" t="s">
        <v>25</v>
      </c>
      <c r="K315" s="17" t="s">
        <v>63</v>
      </c>
      <c r="L315" s="17" t="s">
        <v>27</v>
      </c>
      <c r="M315" s="19" t="s">
        <v>28</v>
      </c>
      <c r="N315" s="17"/>
      <c r="O315" s="22" t="s">
        <v>913</v>
      </c>
      <c r="P315" s="22"/>
      <c r="Q315" s="31">
        <f t="shared" si="15"/>
        <v>1</v>
      </c>
      <c r="R315" s="32" t="str">
        <f t="shared" si="17"/>
        <v>P03.010</v>
      </c>
    </row>
    <row r="316" spans="1:18">
      <c r="A316" s="18"/>
      <c r="B316" s="18"/>
      <c r="C316" s="18"/>
      <c r="D316" s="17">
        <f t="shared" si="16"/>
        <v>782</v>
      </c>
      <c r="E316" s="19" t="s">
        <v>29</v>
      </c>
      <c r="F316" s="20" t="s">
        <v>914</v>
      </c>
      <c r="G316" s="21" t="s">
        <v>915</v>
      </c>
      <c r="H316" s="21" t="s">
        <v>23</v>
      </c>
      <c r="I316" s="21" t="s">
        <v>171</v>
      </c>
      <c r="J316" s="17" t="s">
        <v>517</v>
      </c>
      <c r="K316" s="17" t="s">
        <v>63</v>
      </c>
      <c r="L316" s="17" t="s">
        <v>27</v>
      </c>
      <c r="M316" s="19" t="s">
        <v>28</v>
      </c>
      <c r="N316" s="17"/>
      <c r="O316" s="22" t="s">
        <v>916</v>
      </c>
      <c r="P316" s="22"/>
      <c r="Q316" s="31">
        <f t="shared" si="15"/>
        <v>1</v>
      </c>
      <c r="R316" s="32" t="str">
        <f t="shared" si="17"/>
        <v>P03.014</v>
      </c>
    </row>
    <row r="317" spans="1:18">
      <c r="A317" s="18"/>
      <c r="B317" s="18"/>
      <c r="C317" s="18"/>
      <c r="D317" s="17">
        <f t="shared" si="16"/>
        <v>783</v>
      </c>
      <c r="E317" s="19" t="s">
        <v>29</v>
      </c>
      <c r="F317" s="20"/>
      <c r="G317" s="21" t="s">
        <v>23</v>
      </c>
      <c r="H317" s="21" t="s">
        <v>23</v>
      </c>
      <c r="I317" s="21" t="s">
        <v>30</v>
      </c>
      <c r="J317" s="17" t="s">
        <v>25</v>
      </c>
      <c r="K317" s="17" t="s">
        <v>26</v>
      </c>
      <c r="L317" s="17" t="s">
        <v>32</v>
      </c>
      <c r="M317" s="19" t="s">
        <v>28</v>
      </c>
      <c r="N317" s="17"/>
      <c r="O317" s="22"/>
      <c r="P317" s="22"/>
      <c r="Q317" s="31">
        <f t="shared" si="15"/>
        <v>1</v>
      </c>
      <c r="R317" s="32" t="str">
        <f t="shared" si="17"/>
        <v>P03.015</v>
      </c>
    </row>
    <row r="318" spans="1:18">
      <c r="A318" s="18"/>
      <c r="B318" s="18"/>
      <c r="C318" s="18"/>
      <c r="D318" s="17">
        <f t="shared" si="16"/>
        <v>784</v>
      </c>
      <c r="E318" s="19" t="s">
        <v>29</v>
      </c>
      <c r="F318" s="20" t="s">
        <v>917</v>
      </c>
      <c r="G318" s="21" t="s">
        <v>23</v>
      </c>
      <c r="H318" s="21" t="s">
        <v>23</v>
      </c>
      <c r="I318" s="21" t="s">
        <v>30</v>
      </c>
      <c r="J318" s="17" t="s">
        <v>25</v>
      </c>
      <c r="K318" s="17" t="s">
        <v>63</v>
      </c>
      <c r="L318" s="17" t="s">
        <v>27</v>
      </c>
      <c r="M318" s="19" t="s">
        <v>28</v>
      </c>
      <c r="N318" s="17"/>
      <c r="O318" s="22"/>
      <c r="P318" s="22"/>
      <c r="Q318" s="31">
        <f t="shared" si="15"/>
        <v>0</v>
      </c>
      <c r="R318" s="32" t="str">
        <f t="shared" si="17"/>
        <v>P03.016</v>
      </c>
    </row>
    <row r="319" spans="1:18">
      <c r="A319" s="18"/>
      <c r="B319" s="18"/>
      <c r="C319" s="18"/>
      <c r="D319" s="17">
        <f t="shared" si="16"/>
        <v>785</v>
      </c>
      <c r="E319" s="19" t="s">
        <v>29</v>
      </c>
      <c r="F319" s="20" t="s">
        <v>918</v>
      </c>
      <c r="G319" s="21" t="s">
        <v>23</v>
      </c>
      <c r="H319" s="21" t="s">
        <v>23</v>
      </c>
      <c r="I319" s="21" t="s">
        <v>43</v>
      </c>
      <c r="J319" s="17" t="s">
        <v>25</v>
      </c>
      <c r="K319" s="17" t="s">
        <v>63</v>
      </c>
      <c r="L319" s="17" t="s">
        <v>27</v>
      </c>
      <c r="M319" s="19" t="s">
        <v>28</v>
      </c>
      <c r="N319" s="17"/>
      <c r="O319" s="22"/>
      <c r="P319" s="22"/>
      <c r="Q319" s="31">
        <f t="shared" si="15"/>
        <v>0</v>
      </c>
      <c r="R319" s="32" t="str">
        <f t="shared" si="17"/>
        <v>P03.017</v>
      </c>
    </row>
    <row r="320" spans="1:18">
      <c r="A320" s="18"/>
      <c r="B320" s="18"/>
      <c r="C320" s="18"/>
      <c r="D320" s="17">
        <f t="shared" si="16"/>
        <v>786</v>
      </c>
      <c r="E320" s="19" t="s">
        <v>29</v>
      </c>
      <c r="F320" s="20" t="s">
        <v>919</v>
      </c>
      <c r="G320" s="21" t="s">
        <v>23</v>
      </c>
      <c r="H320" s="21" t="s">
        <v>23</v>
      </c>
      <c r="I320" s="21" t="s">
        <v>920</v>
      </c>
      <c r="J320" s="17" t="s">
        <v>25</v>
      </c>
      <c r="K320" s="17" t="s">
        <v>63</v>
      </c>
      <c r="L320" s="17" t="s">
        <v>27</v>
      </c>
      <c r="M320" s="19" t="s">
        <v>28</v>
      </c>
      <c r="N320" s="17"/>
      <c r="O320" s="22"/>
      <c r="P320" s="22"/>
      <c r="Q320" s="31">
        <f t="shared" si="15"/>
        <v>1</v>
      </c>
      <c r="R320" s="32" t="str">
        <f t="shared" si="17"/>
        <v>P03.018</v>
      </c>
    </row>
    <row r="321" spans="1:18">
      <c r="A321" s="18"/>
      <c r="B321" s="18"/>
      <c r="C321" s="18"/>
      <c r="D321" s="17">
        <f t="shared" si="16"/>
        <v>787</v>
      </c>
      <c r="E321" s="19" t="s">
        <v>29</v>
      </c>
      <c r="F321" s="20"/>
      <c r="G321" s="21" t="s">
        <v>23</v>
      </c>
      <c r="H321" s="21" t="s">
        <v>23</v>
      </c>
      <c r="I321" s="21" t="s">
        <v>30</v>
      </c>
      <c r="J321" s="17" t="s">
        <v>25</v>
      </c>
      <c r="K321" s="17" t="s">
        <v>26</v>
      </c>
      <c r="L321" s="17" t="s">
        <v>32</v>
      </c>
      <c r="M321" s="19" t="s">
        <v>28</v>
      </c>
      <c r="N321" s="17"/>
      <c r="O321" s="22"/>
      <c r="P321" s="22"/>
      <c r="Q321" s="31">
        <f t="shared" si="15"/>
        <v>1</v>
      </c>
      <c r="R321" s="32" t="str">
        <f t="shared" si="17"/>
        <v>P03.019</v>
      </c>
    </row>
    <row r="322" spans="1:18">
      <c r="A322" s="18"/>
      <c r="B322" s="18"/>
      <c r="C322" s="18"/>
      <c r="D322" s="17">
        <f t="shared" si="16"/>
        <v>788</v>
      </c>
      <c r="E322" s="19" t="s">
        <v>29</v>
      </c>
      <c r="F322" s="20"/>
      <c r="G322" s="21" t="s">
        <v>23</v>
      </c>
      <c r="H322" s="21" t="s">
        <v>23</v>
      </c>
      <c r="I322" s="21" t="s">
        <v>30</v>
      </c>
      <c r="J322" s="17" t="s">
        <v>25</v>
      </c>
      <c r="K322" s="17" t="s">
        <v>26</v>
      </c>
      <c r="L322" s="17" t="s">
        <v>32</v>
      </c>
      <c r="M322" s="19" t="s">
        <v>28</v>
      </c>
      <c r="N322" s="17"/>
      <c r="O322" s="22"/>
      <c r="P322" s="22"/>
      <c r="Q322" s="31">
        <f t="shared" si="15"/>
        <v>1</v>
      </c>
      <c r="R322" s="32" t="str">
        <f t="shared" si="17"/>
        <v>P03.020</v>
      </c>
    </row>
    <row r="323" spans="1:18">
      <c r="A323" s="18"/>
      <c r="B323" s="18"/>
      <c r="C323" s="18"/>
      <c r="D323" s="17">
        <f t="shared" si="16"/>
        <v>789</v>
      </c>
      <c r="E323" s="19" t="s">
        <v>29</v>
      </c>
      <c r="F323" s="20"/>
      <c r="G323" s="21" t="s">
        <v>23</v>
      </c>
      <c r="H323" s="21" t="s">
        <v>23</v>
      </c>
      <c r="I323" s="21" t="s">
        <v>30</v>
      </c>
      <c r="J323" s="17" t="s">
        <v>25</v>
      </c>
      <c r="K323" s="17" t="s">
        <v>26</v>
      </c>
      <c r="L323" s="17" t="s">
        <v>32</v>
      </c>
      <c r="M323" s="19" t="s">
        <v>28</v>
      </c>
      <c r="N323" s="17"/>
      <c r="O323" s="22"/>
      <c r="P323" s="22"/>
      <c r="Q323" s="31">
        <f t="shared" si="15"/>
        <v>1</v>
      </c>
      <c r="R323" s="32" t="str">
        <f t="shared" si="17"/>
        <v>P03.021</v>
      </c>
    </row>
    <row r="324" spans="1:18">
      <c r="A324" s="18"/>
      <c r="B324" s="18"/>
      <c r="C324" s="18"/>
      <c r="D324" s="17">
        <f t="shared" si="16"/>
        <v>790</v>
      </c>
      <c r="E324" s="19" t="s">
        <v>29</v>
      </c>
      <c r="F324" s="20"/>
      <c r="G324" s="21" t="s">
        <v>23</v>
      </c>
      <c r="H324" s="21" t="s">
        <v>23</v>
      </c>
      <c r="I324" s="21" t="s">
        <v>30</v>
      </c>
      <c r="J324" s="17" t="s">
        <v>25</v>
      </c>
      <c r="K324" s="17" t="s">
        <v>26</v>
      </c>
      <c r="L324" s="17" t="s">
        <v>32</v>
      </c>
      <c r="M324" s="19" t="s">
        <v>28</v>
      </c>
      <c r="N324" s="17"/>
      <c r="O324" s="22"/>
      <c r="P324" s="22"/>
      <c r="Q324" s="31">
        <f t="shared" si="15"/>
        <v>1</v>
      </c>
      <c r="R324" s="32" t="str">
        <f t="shared" si="17"/>
        <v>P03.022</v>
      </c>
    </row>
    <row r="325" spans="1:18">
      <c r="A325" s="18"/>
      <c r="B325" s="18"/>
      <c r="C325" s="18"/>
      <c r="D325" s="17">
        <f t="shared" si="16"/>
        <v>791</v>
      </c>
      <c r="E325" s="19" t="s">
        <v>29</v>
      </c>
      <c r="F325" s="22" t="s">
        <v>921</v>
      </c>
      <c r="G325" s="21" t="s">
        <v>23</v>
      </c>
      <c r="H325" s="21" t="s">
        <v>23</v>
      </c>
      <c r="I325" s="21" t="s">
        <v>30</v>
      </c>
      <c r="J325" s="17" t="s">
        <v>25</v>
      </c>
      <c r="K325" s="17" t="s">
        <v>69</v>
      </c>
      <c r="L325" s="17" t="s">
        <v>27</v>
      </c>
      <c r="M325" s="19" t="s">
        <v>28</v>
      </c>
      <c r="N325" s="20"/>
      <c r="O325" s="22" t="s">
        <v>922</v>
      </c>
      <c r="P325" s="22"/>
      <c r="Q325" s="31">
        <f t="shared" si="15"/>
        <v>0</v>
      </c>
      <c r="R325" s="32" t="str">
        <f t="shared" si="17"/>
        <v>P03.023</v>
      </c>
    </row>
    <row r="326" ht="39.6" spans="1:18">
      <c r="A326" s="18"/>
      <c r="B326" s="18"/>
      <c r="C326" s="18"/>
      <c r="D326" s="17">
        <f t="shared" si="16"/>
        <v>792</v>
      </c>
      <c r="E326" s="19" t="s">
        <v>29</v>
      </c>
      <c r="F326" s="22" t="s">
        <v>923</v>
      </c>
      <c r="G326" s="21" t="s">
        <v>23</v>
      </c>
      <c r="H326" s="21" t="s">
        <v>23</v>
      </c>
      <c r="I326" s="21" t="s">
        <v>30</v>
      </c>
      <c r="J326" s="17" t="s">
        <v>25</v>
      </c>
      <c r="K326" s="17" t="s">
        <v>69</v>
      </c>
      <c r="L326" s="17" t="s">
        <v>27</v>
      </c>
      <c r="M326" s="19" t="s">
        <v>28</v>
      </c>
      <c r="N326" s="17"/>
      <c r="O326" s="22" t="s">
        <v>910</v>
      </c>
      <c r="P326" s="25" t="s">
        <v>924</v>
      </c>
      <c r="Q326" s="31">
        <f t="shared" ref="Q326:Q389" si="18">IF(OR(F326="",LEFT(TRIM(F326),3)=E326),1,0)</f>
        <v>0</v>
      </c>
      <c r="R326" s="32" t="str">
        <f t="shared" si="17"/>
        <v>P03.024</v>
      </c>
    </row>
    <row r="327" spans="1:18">
      <c r="A327" s="18"/>
      <c r="B327" s="18"/>
      <c r="C327" s="18"/>
      <c r="D327" s="17">
        <f t="shared" si="16"/>
        <v>793</v>
      </c>
      <c r="E327" s="19" t="s">
        <v>284</v>
      </c>
      <c r="F327" s="22" t="s">
        <v>925</v>
      </c>
      <c r="G327" s="21" t="s">
        <v>23</v>
      </c>
      <c r="H327" s="21" t="s">
        <v>286</v>
      </c>
      <c r="I327" s="21" t="s">
        <v>287</v>
      </c>
      <c r="J327" s="17" t="s">
        <v>439</v>
      </c>
      <c r="K327" s="17" t="s">
        <v>63</v>
      </c>
      <c r="L327" s="17" t="s">
        <v>27</v>
      </c>
      <c r="M327" s="19" t="s">
        <v>28</v>
      </c>
      <c r="N327" s="17"/>
      <c r="O327" s="22" t="s">
        <v>913</v>
      </c>
      <c r="P327" s="22"/>
      <c r="Q327" s="31">
        <f t="shared" si="18"/>
        <v>1</v>
      </c>
      <c r="R327" s="32" t="str">
        <f t="shared" si="17"/>
        <v>P03.025</v>
      </c>
    </row>
    <row r="328" spans="1:18">
      <c r="A328" s="18"/>
      <c r="B328" s="18"/>
      <c r="C328" s="18"/>
      <c r="D328" s="17">
        <f t="shared" si="16"/>
        <v>797</v>
      </c>
      <c r="E328" s="19" t="s">
        <v>284</v>
      </c>
      <c r="F328" s="22" t="s">
        <v>926</v>
      </c>
      <c r="G328" s="21" t="s">
        <v>23</v>
      </c>
      <c r="H328" s="21" t="s">
        <v>286</v>
      </c>
      <c r="I328" s="21" t="s">
        <v>287</v>
      </c>
      <c r="J328" s="17" t="s">
        <v>439</v>
      </c>
      <c r="K328" s="17" t="s">
        <v>63</v>
      </c>
      <c r="L328" s="17" t="s">
        <v>27</v>
      </c>
      <c r="M328" s="19" t="s">
        <v>28</v>
      </c>
      <c r="N328" s="17"/>
      <c r="O328" s="22" t="s">
        <v>922</v>
      </c>
      <c r="P328" s="22"/>
      <c r="Q328" s="31">
        <f t="shared" si="18"/>
        <v>1</v>
      </c>
      <c r="R328" s="32" t="str">
        <f t="shared" si="17"/>
        <v>P03.029</v>
      </c>
    </row>
    <row r="329" spans="1:18">
      <c r="A329" s="18"/>
      <c r="B329" s="18"/>
      <c r="C329" s="18"/>
      <c r="D329" s="17">
        <f t="shared" si="16"/>
        <v>801</v>
      </c>
      <c r="E329" s="19" t="s">
        <v>29</v>
      </c>
      <c r="F329" s="22" t="s">
        <v>927</v>
      </c>
      <c r="G329" s="21" t="s">
        <v>23</v>
      </c>
      <c r="H329" s="21" t="s">
        <v>23</v>
      </c>
      <c r="I329" s="21" t="s">
        <v>30</v>
      </c>
      <c r="J329" s="17" t="s">
        <v>25</v>
      </c>
      <c r="K329" s="17" t="s">
        <v>26</v>
      </c>
      <c r="L329" s="17" t="s">
        <v>32</v>
      </c>
      <c r="M329" s="19" t="s">
        <v>28</v>
      </c>
      <c r="N329" s="17"/>
      <c r="O329" s="22" t="s">
        <v>928</v>
      </c>
      <c r="P329" s="22"/>
      <c r="Q329" s="31">
        <f t="shared" si="18"/>
        <v>0</v>
      </c>
      <c r="R329" s="32" t="str">
        <f t="shared" si="17"/>
        <v>P03.033</v>
      </c>
    </row>
    <row r="330" spans="1:18">
      <c r="A330" s="18"/>
      <c r="B330" s="18"/>
      <c r="C330" s="18"/>
      <c r="D330" s="17">
        <f t="shared" si="16"/>
        <v>802</v>
      </c>
      <c r="E330" s="19" t="s">
        <v>29</v>
      </c>
      <c r="F330" s="20"/>
      <c r="G330" s="21" t="s">
        <v>23</v>
      </c>
      <c r="H330" s="21" t="s">
        <v>23</v>
      </c>
      <c r="I330" s="21" t="s">
        <v>30</v>
      </c>
      <c r="J330" s="17" t="s">
        <v>25</v>
      </c>
      <c r="K330" s="17" t="s">
        <v>26</v>
      </c>
      <c r="L330" s="17" t="s">
        <v>32</v>
      </c>
      <c r="M330" s="19" t="s">
        <v>28</v>
      </c>
      <c r="N330" s="17"/>
      <c r="O330" s="22"/>
      <c r="P330" s="22"/>
      <c r="Q330" s="31">
        <f t="shared" si="18"/>
        <v>1</v>
      </c>
      <c r="R330" s="32" t="str">
        <f t="shared" si="17"/>
        <v>P03.034</v>
      </c>
    </row>
    <row r="331" spans="1:18">
      <c r="A331" s="18"/>
      <c r="B331" s="18"/>
      <c r="C331" s="18"/>
      <c r="D331" s="17">
        <f t="shared" si="16"/>
        <v>803</v>
      </c>
      <c r="E331" s="19" t="s">
        <v>20</v>
      </c>
      <c r="F331" s="22" t="s">
        <v>929</v>
      </c>
      <c r="G331" s="21" t="s">
        <v>40</v>
      </c>
      <c r="H331" s="21" t="s">
        <v>23</v>
      </c>
      <c r="I331" s="21" t="s">
        <v>24</v>
      </c>
      <c r="J331" s="17" t="s">
        <v>25</v>
      </c>
      <c r="K331" s="17" t="s">
        <v>63</v>
      </c>
      <c r="L331" s="17" t="s">
        <v>27</v>
      </c>
      <c r="M331" s="19" t="s">
        <v>28</v>
      </c>
      <c r="N331" s="17"/>
      <c r="O331" s="22" t="s">
        <v>930</v>
      </c>
      <c r="P331" s="22"/>
      <c r="Q331" s="31">
        <f t="shared" si="18"/>
        <v>1</v>
      </c>
      <c r="R331" s="32" t="str">
        <f t="shared" si="17"/>
        <v>P03.035</v>
      </c>
    </row>
    <row r="332" spans="1:18">
      <c r="A332" s="18"/>
      <c r="B332" s="18"/>
      <c r="C332" s="18"/>
      <c r="D332" s="17">
        <f t="shared" si="16"/>
        <v>805</v>
      </c>
      <c r="E332" s="19" t="s">
        <v>20</v>
      </c>
      <c r="F332" s="22" t="s">
        <v>931</v>
      </c>
      <c r="G332" s="21" t="s">
        <v>40</v>
      </c>
      <c r="H332" s="21" t="s">
        <v>23</v>
      </c>
      <c r="I332" s="21" t="s">
        <v>24</v>
      </c>
      <c r="J332" s="17" t="s">
        <v>25</v>
      </c>
      <c r="K332" s="17" t="s">
        <v>63</v>
      </c>
      <c r="L332" s="17" t="s">
        <v>27</v>
      </c>
      <c r="M332" s="19" t="s">
        <v>28</v>
      </c>
      <c r="N332" s="17"/>
      <c r="O332" s="22" t="s">
        <v>932</v>
      </c>
      <c r="P332" s="22"/>
      <c r="Q332" s="31">
        <f t="shared" si="18"/>
        <v>1</v>
      </c>
      <c r="R332" s="32" t="str">
        <f t="shared" si="17"/>
        <v>P03.037</v>
      </c>
    </row>
    <row r="333" spans="1:18">
      <c r="A333" s="18"/>
      <c r="B333" s="18"/>
      <c r="C333" s="18"/>
      <c r="D333" s="17">
        <f t="shared" si="16"/>
        <v>807</v>
      </c>
      <c r="E333" s="19" t="s">
        <v>29</v>
      </c>
      <c r="F333" s="20"/>
      <c r="G333" s="21" t="s">
        <v>23</v>
      </c>
      <c r="H333" s="21" t="s">
        <v>23</v>
      </c>
      <c r="I333" s="21" t="s">
        <v>30</v>
      </c>
      <c r="J333" s="17" t="s">
        <v>25</v>
      </c>
      <c r="K333" s="17" t="s">
        <v>26</v>
      </c>
      <c r="L333" s="17" t="s">
        <v>32</v>
      </c>
      <c r="M333" s="19" t="s">
        <v>28</v>
      </c>
      <c r="N333" s="17"/>
      <c r="O333" s="22"/>
      <c r="P333" s="22"/>
      <c r="Q333" s="31">
        <f t="shared" si="18"/>
        <v>1</v>
      </c>
      <c r="R333" s="32" t="str">
        <f t="shared" si="17"/>
        <v>P03.039</v>
      </c>
    </row>
    <row r="334" spans="1:18">
      <c r="A334" s="18"/>
      <c r="B334" s="18"/>
      <c r="C334" s="18"/>
      <c r="D334" s="17">
        <f t="shared" si="16"/>
        <v>808</v>
      </c>
      <c r="E334" s="19" t="s">
        <v>29</v>
      </c>
      <c r="F334" s="22" t="s">
        <v>933</v>
      </c>
      <c r="G334" s="21" t="s">
        <v>23</v>
      </c>
      <c r="H334" s="21" t="s">
        <v>23</v>
      </c>
      <c r="I334" s="21" t="s">
        <v>30</v>
      </c>
      <c r="J334" s="17" t="s">
        <v>25</v>
      </c>
      <c r="K334" s="17" t="s">
        <v>63</v>
      </c>
      <c r="L334" s="17" t="s">
        <v>27</v>
      </c>
      <c r="M334" s="19" t="s">
        <v>28</v>
      </c>
      <c r="N334" s="17"/>
      <c r="O334" s="22" t="s">
        <v>934</v>
      </c>
      <c r="P334" s="22"/>
      <c r="Q334" s="31">
        <f t="shared" si="18"/>
        <v>1</v>
      </c>
      <c r="R334" s="32" t="str">
        <f t="shared" si="17"/>
        <v>P03.040</v>
      </c>
    </row>
    <row r="335" spans="1:18">
      <c r="A335" s="18"/>
      <c r="B335" s="18"/>
      <c r="C335" s="18"/>
      <c r="D335" s="17">
        <f t="shared" si="16"/>
        <v>809</v>
      </c>
      <c r="E335" s="19" t="s">
        <v>29</v>
      </c>
      <c r="F335" s="22" t="s">
        <v>935</v>
      </c>
      <c r="G335" s="21" t="s">
        <v>23</v>
      </c>
      <c r="H335" s="21" t="s">
        <v>23</v>
      </c>
      <c r="I335" s="21" t="s">
        <v>30</v>
      </c>
      <c r="J335" s="17" t="s">
        <v>25</v>
      </c>
      <c r="K335" s="17" t="s">
        <v>63</v>
      </c>
      <c r="L335" s="17" t="s">
        <v>27</v>
      </c>
      <c r="M335" s="19" t="s">
        <v>28</v>
      </c>
      <c r="N335" s="17"/>
      <c r="O335" s="22" t="s">
        <v>936</v>
      </c>
      <c r="P335" s="22"/>
      <c r="Q335" s="31">
        <f t="shared" si="18"/>
        <v>1</v>
      </c>
      <c r="R335" s="32" t="str">
        <f t="shared" si="17"/>
        <v>P03.041</v>
      </c>
    </row>
    <row r="336" spans="1:18">
      <c r="A336" s="18"/>
      <c r="B336" s="18"/>
      <c r="C336" s="18"/>
      <c r="D336" s="17">
        <f t="shared" si="16"/>
        <v>810</v>
      </c>
      <c r="E336" s="19" t="s">
        <v>29</v>
      </c>
      <c r="F336" s="22" t="s">
        <v>937</v>
      </c>
      <c r="G336" s="21" t="s">
        <v>23</v>
      </c>
      <c r="H336" s="21" t="s">
        <v>23</v>
      </c>
      <c r="I336" s="21" t="s">
        <v>30</v>
      </c>
      <c r="J336" s="17" t="s">
        <v>25</v>
      </c>
      <c r="K336" s="17" t="s">
        <v>63</v>
      </c>
      <c r="L336" s="17" t="s">
        <v>27</v>
      </c>
      <c r="M336" s="19" t="s">
        <v>28</v>
      </c>
      <c r="N336" s="17"/>
      <c r="O336" s="22" t="s">
        <v>938</v>
      </c>
      <c r="P336" s="22"/>
      <c r="Q336" s="31">
        <f t="shared" si="18"/>
        <v>1</v>
      </c>
      <c r="R336" s="32" t="str">
        <f t="shared" si="17"/>
        <v>P03.042</v>
      </c>
    </row>
    <row r="337" spans="1:18">
      <c r="A337" s="18"/>
      <c r="B337" s="18"/>
      <c r="C337" s="18"/>
      <c r="D337" s="17">
        <f t="shared" si="16"/>
        <v>811</v>
      </c>
      <c r="E337" s="19" t="s">
        <v>29</v>
      </c>
      <c r="F337" s="20"/>
      <c r="G337" s="21" t="s">
        <v>23</v>
      </c>
      <c r="H337" s="21" t="s">
        <v>23</v>
      </c>
      <c r="I337" s="21" t="s">
        <v>30</v>
      </c>
      <c r="J337" s="17" t="s">
        <v>25</v>
      </c>
      <c r="K337" s="17" t="s">
        <v>26</v>
      </c>
      <c r="L337" s="17" t="s">
        <v>32</v>
      </c>
      <c r="M337" s="19" t="s">
        <v>28</v>
      </c>
      <c r="N337" s="17"/>
      <c r="O337" s="22"/>
      <c r="P337" s="22"/>
      <c r="Q337" s="31">
        <f t="shared" si="18"/>
        <v>1</v>
      </c>
      <c r="R337" s="32" t="str">
        <f t="shared" si="17"/>
        <v>P03.043</v>
      </c>
    </row>
    <row r="338" spans="1:18">
      <c r="A338" s="18"/>
      <c r="B338" s="18"/>
      <c r="C338" s="18"/>
      <c r="D338" s="17">
        <f t="shared" si="16"/>
        <v>812</v>
      </c>
      <c r="E338" s="19" t="s">
        <v>284</v>
      </c>
      <c r="F338" s="22" t="s">
        <v>939</v>
      </c>
      <c r="G338" s="21" t="s">
        <v>23</v>
      </c>
      <c r="H338" s="21" t="s">
        <v>286</v>
      </c>
      <c r="I338" s="21" t="s">
        <v>287</v>
      </c>
      <c r="J338" s="17" t="s">
        <v>439</v>
      </c>
      <c r="K338" s="17" t="s">
        <v>63</v>
      </c>
      <c r="L338" s="17" t="s">
        <v>27</v>
      </c>
      <c r="M338" s="19" t="s">
        <v>28</v>
      </c>
      <c r="N338" s="17"/>
      <c r="O338" s="22" t="s">
        <v>940</v>
      </c>
      <c r="P338" s="22"/>
      <c r="Q338" s="31">
        <f t="shared" si="18"/>
        <v>1</v>
      </c>
      <c r="R338" s="32" t="str">
        <f t="shared" si="17"/>
        <v>P03.044</v>
      </c>
    </row>
    <row r="339" spans="1:18">
      <c r="A339" s="18"/>
      <c r="B339" s="18"/>
      <c r="C339" s="18"/>
      <c r="D339" s="17">
        <f t="shared" si="16"/>
        <v>816</v>
      </c>
      <c r="E339" s="19" t="s">
        <v>284</v>
      </c>
      <c r="F339" s="22" t="s">
        <v>941</v>
      </c>
      <c r="G339" s="21" t="s">
        <v>23</v>
      </c>
      <c r="H339" s="21" t="s">
        <v>286</v>
      </c>
      <c r="I339" s="21" t="s">
        <v>287</v>
      </c>
      <c r="J339" s="17" t="s">
        <v>439</v>
      </c>
      <c r="K339" s="17" t="s">
        <v>63</v>
      </c>
      <c r="L339" s="17" t="s">
        <v>27</v>
      </c>
      <c r="M339" s="19" t="s">
        <v>28</v>
      </c>
      <c r="N339" s="17"/>
      <c r="O339" s="22" t="s">
        <v>942</v>
      </c>
      <c r="P339" s="22"/>
      <c r="Q339" s="31">
        <f t="shared" si="18"/>
        <v>1</v>
      </c>
      <c r="R339" s="32" t="str">
        <f t="shared" si="17"/>
        <v>P03.048</v>
      </c>
    </row>
    <row r="340" spans="1:18">
      <c r="A340" s="18"/>
      <c r="B340" s="18"/>
      <c r="C340" s="18"/>
      <c r="D340" s="17">
        <f t="shared" si="16"/>
        <v>820</v>
      </c>
      <c r="E340" s="19" t="s">
        <v>284</v>
      </c>
      <c r="F340" s="22" t="s">
        <v>943</v>
      </c>
      <c r="G340" s="21" t="s">
        <v>23</v>
      </c>
      <c r="H340" s="21" t="s">
        <v>286</v>
      </c>
      <c r="I340" s="21" t="s">
        <v>287</v>
      </c>
      <c r="J340" s="17" t="s">
        <v>439</v>
      </c>
      <c r="K340" s="17" t="s">
        <v>63</v>
      </c>
      <c r="L340" s="17" t="s">
        <v>27</v>
      </c>
      <c r="M340" s="19" t="s">
        <v>28</v>
      </c>
      <c r="N340" s="17"/>
      <c r="O340" s="22" t="s">
        <v>944</v>
      </c>
      <c r="P340" s="22"/>
      <c r="Q340" s="31">
        <f t="shared" si="18"/>
        <v>1</v>
      </c>
      <c r="R340" s="32" t="str">
        <f t="shared" si="17"/>
        <v>P03.052</v>
      </c>
    </row>
    <row r="341" spans="1:18">
      <c r="A341" s="18"/>
      <c r="B341" s="18"/>
      <c r="C341" s="18"/>
      <c r="D341" s="17">
        <f t="shared" si="16"/>
        <v>824</v>
      </c>
      <c r="E341" s="19" t="s">
        <v>284</v>
      </c>
      <c r="F341" s="22" t="s">
        <v>945</v>
      </c>
      <c r="G341" s="21" t="s">
        <v>23</v>
      </c>
      <c r="H341" s="21" t="s">
        <v>286</v>
      </c>
      <c r="I341" s="21" t="s">
        <v>287</v>
      </c>
      <c r="J341" s="17" t="s">
        <v>439</v>
      </c>
      <c r="K341" s="17" t="s">
        <v>63</v>
      </c>
      <c r="L341" s="17" t="s">
        <v>27</v>
      </c>
      <c r="M341" s="19" t="s">
        <v>28</v>
      </c>
      <c r="N341" s="17"/>
      <c r="O341" s="22" t="s">
        <v>946</v>
      </c>
      <c r="P341" s="22"/>
      <c r="Q341" s="31">
        <f t="shared" si="18"/>
        <v>1</v>
      </c>
      <c r="R341" s="32" t="str">
        <f t="shared" si="17"/>
        <v>P03.056</v>
      </c>
    </row>
    <row r="342" spans="1:18">
      <c r="A342" s="18"/>
      <c r="B342" s="18"/>
      <c r="C342" s="18"/>
      <c r="D342" s="17">
        <f t="shared" si="16"/>
        <v>828</v>
      </c>
      <c r="E342" s="19" t="s">
        <v>284</v>
      </c>
      <c r="F342" s="22" t="s">
        <v>947</v>
      </c>
      <c r="G342" s="21" t="s">
        <v>23</v>
      </c>
      <c r="H342" s="21" t="s">
        <v>286</v>
      </c>
      <c r="I342" s="21" t="s">
        <v>287</v>
      </c>
      <c r="J342" s="17" t="s">
        <v>439</v>
      </c>
      <c r="K342" s="17" t="s">
        <v>63</v>
      </c>
      <c r="L342" s="17" t="s">
        <v>27</v>
      </c>
      <c r="M342" s="19" t="s">
        <v>28</v>
      </c>
      <c r="N342" s="17"/>
      <c r="O342" s="22" t="s">
        <v>948</v>
      </c>
      <c r="P342" s="22"/>
      <c r="Q342" s="31">
        <f t="shared" si="18"/>
        <v>1</v>
      </c>
      <c r="R342" s="32" t="str">
        <f t="shared" si="17"/>
        <v>P03.060</v>
      </c>
    </row>
    <row r="343" spans="1:18">
      <c r="A343" s="18"/>
      <c r="B343" s="18"/>
      <c r="C343" s="18"/>
      <c r="D343" s="17">
        <f t="shared" si="16"/>
        <v>832</v>
      </c>
      <c r="E343" s="19" t="s">
        <v>284</v>
      </c>
      <c r="F343" s="22" t="s">
        <v>949</v>
      </c>
      <c r="G343" s="21" t="s">
        <v>23</v>
      </c>
      <c r="H343" s="21" t="s">
        <v>286</v>
      </c>
      <c r="I343" s="21" t="s">
        <v>287</v>
      </c>
      <c r="J343" s="17" t="s">
        <v>439</v>
      </c>
      <c r="K343" s="17" t="s">
        <v>63</v>
      </c>
      <c r="L343" s="17" t="s">
        <v>27</v>
      </c>
      <c r="M343" s="19" t="s">
        <v>28</v>
      </c>
      <c r="N343" s="17"/>
      <c r="O343" s="22" t="s">
        <v>950</v>
      </c>
      <c r="P343" s="22"/>
      <c r="Q343" s="31">
        <f t="shared" si="18"/>
        <v>1</v>
      </c>
      <c r="R343" s="32" t="str">
        <f t="shared" si="17"/>
        <v>P03.064</v>
      </c>
    </row>
    <row r="344" spans="1:18">
      <c r="A344" s="18"/>
      <c r="B344" s="18"/>
      <c r="C344" s="18"/>
      <c r="D344" s="17">
        <f t="shared" si="16"/>
        <v>836</v>
      </c>
      <c r="E344" s="19" t="s">
        <v>284</v>
      </c>
      <c r="F344" s="22" t="s">
        <v>951</v>
      </c>
      <c r="G344" s="21" t="s">
        <v>23</v>
      </c>
      <c r="H344" s="21" t="s">
        <v>286</v>
      </c>
      <c r="I344" s="21" t="s">
        <v>287</v>
      </c>
      <c r="J344" s="17" t="s">
        <v>439</v>
      </c>
      <c r="K344" s="17" t="s">
        <v>63</v>
      </c>
      <c r="L344" s="17" t="s">
        <v>27</v>
      </c>
      <c r="M344" s="19" t="s">
        <v>28</v>
      </c>
      <c r="N344" s="17"/>
      <c r="O344" s="22" t="s">
        <v>952</v>
      </c>
      <c r="P344" s="22"/>
      <c r="Q344" s="31">
        <f t="shared" si="18"/>
        <v>1</v>
      </c>
      <c r="R344" s="32" t="str">
        <f t="shared" si="17"/>
        <v>P03.068</v>
      </c>
    </row>
    <row r="345" spans="1:18">
      <c r="A345" s="18"/>
      <c r="B345" s="18"/>
      <c r="C345" s="18"/>
      <c r="D345" s="17">
        <f t="shared" si="16"/>
        <v>840</v>
      </c>
      <c r="E345" s="19" t="s">
        <v>284</v>
      </c>
      <c r="F345" s="22" t="s">
        <v>953</v>
      </c>
      <c r="G345" s="21" t="s">
        <v>23</v>
      </c>
      <c r="H345" s="21" t="s">
        <v>286</v>
      </c>
      <c r="I345" s="21" t="s">
        <v>287</v>
      </c>
      <c r="J345" s="17" t="s">
        <v>439</v>
      </c>
      <c r="K345" s="17" t="s">
        <v>63</v>
      </c>
      <c r="L345" s="17" t="s">
        <v>27</v>
      </c>
      <c r="M345" s="19" t="s">
        <v>28</v>
      </c>
      <c r="N345" s="17"/>
      <c r="O345" s="22" t="s">
        <v>954</v>
      </c>
      <c r="P345" s="22"/>
      <c r="Q345" s="31">
        <f t="shared" si="18"/>
        <v>1</v>
      </c>
      <c r="R345" s="32" t="str">
        <f t="shared" si="17"/>
        <v>P03.072</v>
      </c>
    </row>
    <row r="346" spans="1:18">
      <c r="A346" s="18"/>
      <c r="B346" s="18"/>
      <c r="C346" s="18"/>
      <c r="D346" s="17">
        <f t="shared" ref="D346:D409" si="19">INDEX(D:D,ROW()-1)+_xlfn.IFS(INDEX(E:E,ROW()-1)="u16",1,INDEX(E:E,ROW()-1)="s16",1,INDEX(E:E,ROW()-1)="s32",2,INDEX(E:E,ROW()-1)="s64",4,INDEX(E:E,ROW()-1)="u16",1,INDEX(E:E,ROW()-1)="u32",2,INDEX(E:E,ROW()-1)="u64",4,INDEX(E:E,ROW()-1)="f32",2,INDEX(E:E,ROW()-1)="f64",4)</f>
        <v>844</v>
      </c>
      <c r="E346" s="19" t="s">
        <v>284</v>
      </c>
      <c r="F346" s="22" t="s">
        <v>955</v>
      </c>
      <c r="G346" s="21" t="s">
        <v>23</v>
      </c>
      <c r="H346" s="21" t="s">
        <v>286</v>
      </c>
      <c r="I346" s="21" t="s">
        <v>287</v>
      </c>
      <c r="J346" s="17" t="s">
        <v>439</v>
      </c>
      <c r="K346" s="17" t="s">
        <v>63</v>
      </c>
      <c r="L346" s="17" t="s">
        <v>27</v>
      </c>
      <c r="M346" s="19" t="s">
        <v>28</v>
      </c>
      <c r="N346" s="17"/>
      <c r="O346" s="22" t="s">
        <v>956</v>
      </c>
      <c r="P346" s="22"/>
      <c r="Q346" s="31">
        <f t="shared" si="18"/>
        <v>1</v>
      </c>
      <c r="R346" s="32" t="str">
        <f t="shared" si="17"/>
        <v>P03.076</v>
      </c>
    </row>
    <row r="347" spans="1:18">
      <c r="A347" s="18"/>
      <c r="B347" s="18"/>
      <c r="C347" s="18"/>
      <c r="D347" s="17">
        <f t="shared" si="19"/>
        <v>848</v>
      </c>
      <c r="E347" s="19" t="s">
        <v>284</v>
      </c>
      <c r="F347" s="22" t="s">
        <v>957</v>
      </c>
      <c r="G347" s="21" t="s">
        <v>23</v>
      </c>
      <c r="H347" s="21" t="s">
        <v>286</v>
      </c>
      <c r="I347" s="21" t="s">
        <v>287</v>
      </c>
      <c r="J347" s="17" t="s">
        <v>439</v>
      </c>
      <c r="K347" s="17" t="s">
        <v>63</v>
      </c>
      <c r="L347" s="17" t="s">
        <v>27</v>
      </c>
      <c r="M347" s="19" t="s">
        <v>28</v>
      </c>
      <c r="N347" s="17"/>
      <c r="O347" s="22" t="s">
        <v>958</v>
      </c>
      <c r="P347" s="22"/>
      <c r="Q347" s="31">
        <f t="shared" si="18"/>
        <v>1</v>
      </c>
      <c r="R347" s="32" t="str">
        <f t="shared" si="17"/>
        <v>P03.080</v>
      </c>
    </row>
    <row r="348" spans="1:18">
      <c r="A348" s="18"/>
      <c r="B348" s="18"/>
      <c r="C348" s="18"/>
      <c r="D348" s="17">
        <f t="shared" si="19"/>
        <v>852</v>
      </c>
      <c r="E348" s="19" t="s">
        <v>284</v>
      </c>
      <c r="F348" s="22" t="s">
        <v>959</v>
      </c>
      <c r="G348" s="21" t="s">
        <v>23</v>
      </c>
      <c r="H348" s="21" t="s">
        <v>286</v>
      </c>
      <c r="I348" s="21" t="s">
        <v>287</v>
      </c>
      <c r="J348" s="17" t="s">
        <v>439</v>
      </c>
      <c r="K348" s="17" t="s">
        <v>63</v>
      </c>
      <c r="L348" s="17" t="s">
        <v>27</v>
      </c>
      <c r="M348" s="19" t="s">
        <v>28</v>
      </c>
      <c r="N348" s="17"/>
      <c r="O348" s="22" t="s">
        <v>960</v>
      </c>
      <c r="P348" s="22"/>
      <c r="Q348" s="31">
        <f t="shared" si="18"/>
        <v>1</v>
      </c>
      <c r="R348" s="32" t="str">
        <f t="shared" si="17"/>
        <v>P03.084</v>
      </c>
    </row>
    <row r="349" spans="1:18">
      <c r="A349" s="18"/>
      <c r="B349" s="18"/>
      <c r="C349" s="18"/>
      <c r="D349" s="17">
        <f t="shared" si="19"/>
        <v>856</v>
      </c>
      <c r="E349" s="19" t="s">
        <v>284</v>
      </c>
      <c r="F349" s="22" t="s">
        <v>961</v>
      </c>
      <c r="G349" s="21" t="s">
        <v>23</v>
      </c>
      <c r="H349" s="21" t="s">
        <v>286</v>
      </c>
      <c r="I349" s="21" t="s">
        <v>287</v>
      </c>
      <c r="J349" s="17" t="s">
        <v>439</v>
      </c>
      <c r="K349" s="17" t="s">
        <v>63</v>
      </c>
      <c r="L349" s="17" t="s">
        <v>27</v>
      </c>
      <c r="M349" s="19" t="s">
        <v>28</v>
      </c>
      <c r="N349" s="17"/>
      <c r="O349" s="22" t="s">
        <v>962</v>
      </c>
      <c r="P349" s="22"/>
      <c r="Q349" s="31">
        <f t="shared" si="18"/>
        <v>1</v>
      </c>
      <c r="R349" s="32" t="str">
        <f t="shared" si="17"/>
        <v>P03.088</v>
      </c>
    </row>
    <row r="350" spans="1:18">
      <c r="A350" s="18"/>
      <c r="B350" s="18"/>
      <c r="C350" s="18"/>
      <c r="D350" s="17">
        <f t="shared" si="19"/>
        <v>860</v>
      </c>
      <c r="E350" s="19" t="s">
        <v>284</v>
      </c>
      <c r="F350" s="22" t="s">
        <v>963</v>
      </c>
      <c r="G350" s="21" t="s">
        <v>23</v>
      </c>
      <c r="H350" s="21" t="s">
        <v>286</v>
      </c>
      <c r="I350" s="21" t="s">
        <v>287</v>
      </c>
      <c r="J350" s="17" t="s">
        <v>439</v>
      </c>
      <c r="K350" s="17" t="s">
        <v>63</v>
      </c>
      <c r="L350" s="17" t="s">
        <v>27</v>
      </c>
      <c r="M350" s="19" t="s">
        <v>28</v>
      </c>
      <c r="N350" s="17"/>
      <c r="O350" s="22" t="s">
        <v>964</v>
      </c>
      <c r="P350" s="22"/>
      <c r="Q350" s="31">
        <f t="shared" si="18"/>
        <v>1</v>
      </c>
      <c r="R350" s="32" t="str">
        <f t="shared" si="17"/>
        <v>P03.092</v>
      </c>
    </row>
    <row r="351" spans="1:18">
      <c r="A351" s="18"/>
      <c r="B351" s="18"/>
      <c r="C351" s="18"/>
      <c r="D351" s="17">
        <f t="shared" si="19"/>
        <v>864</v>
      </c>
      <c r="E351" s="19" t="s">
        <v>284</v>
      </c>
      <c r="F351" s="22" t="s">
        <v>965</v>
      </c>
      <c r="G351" s="21" t="s">
        <v>23</v>
      </c>
      <c r="H351" s="21" t="s">
        <v>286</v>
      </c>
      <c r="I351" s="21" t="s">
        <v>287</v>
      </c>
      <c r="J351" s="17" t="s">
        <v>439</v>
      </c>
      <c r="K351" s="17" t="s">
        <v>63</v>
      </c>
      <c r="L351" s="17" t="s">
        <v>27</v>
      </c>
      <c r="M351" s="19" t="s">
        <v>28</v>
      </c>
      <c r="N351" s="17"/>
      <c r="O351" s="22" t="s">
        <v>966</v>
      </c>
      <c r="P351" s="22"/>
      <c r="Q351" s="31">
        <f t="shared" si="18"/>
        <v>1</v>
      </c>
      <c r="R351" s="32" t="str">
        <f t="shared" si="17"/>
        <v>P03.096</v>
      </c>
    </row>
    <row r="352" spans="1:18">
      <c r="A352" s="18"/>
      <c r="B352" s="18"/>
      <c r="C352" s="18"/>
      <c r="D352" s="17">
        <f t="shared" si="19"/>
        <v>868</v>
      </c>
      <c r="E352" s="19" t="s">
        <v>284</v>
      </c>
      <c r="F352" s="22" t="s">
        <v>967</v>
      </c>
      <c r="G352" s="21" t="s">
        <v>23</v>
      </c>
      <c r="H352" s="21" t="s">
        <v>286</v>
      </c>
      <c r="I352" s="21" t="s">
        <v>287</v>
      </c>
      <c r="J352" s="17" t="s">
        <v>439</v>
      </c>
      <c r="K352" s="17" t="s">
        <v>63</v>
      </c>
      <c r="L352" s="17" t="s">
        <v>27</v>
      </c>
      <c r="M352" s="19" t="s">
        <v>28</v>
      </c>
      <c r="N352" s="17"/>
      <c r="O352" s="22" t="s">
        <v>968</v>
      </c>
      <c r="P352" s="22"/>
      <c r="Q352" s="31">
        <f t="shared" si="18"/>
        <v>1</v>
      </c>
      <c r="R352" s="32" t="str">
        <f t="shared" si="17"/>
        <v>P03.100</v>
      </c>
    </row>
    <row r="353" spans="1:18">
      <c r="A353" s="18"/>
      <c r="B353" s="18"/>
      <c r="C353" s="18"/>
      <c r="D353" s="17">
        <f t="shared" si="19"/>
        <v>872</v>
      </c>
      <c r="E353" s="19" t="s">
        <v>284</v>
      </c>
      <c r="F353" s="22" t="s">
        <v>969</v>
      </c>
      <c r="G353" s="21" t="s">
        <v>23</v>
      </c>
      <c r="H353" s="21" t="s">
        <v>286</v>
      </c>
      <c r="I353" s="21" t="s">
        <v>287</v>
      </c>
      <c r="J353" s="17" t="s">
        <v>439</v>
      </c>
      <c r="K353" s="17" t="s">
        <v>63</v>
      </c>
      <c r="L353" s="17" t="s">
        <v>27</v>
      </c>
      <c r="M353" s="19" t="s">
        <v>28</v>
      </c>
      <c r="N353" s="17"/>
      <c r="O353" s="22" t="s">
        <v>970</v>
      </c>
      <c r="P353" s="22"/>
      <c r="Q353" s="31">
        <f t="shared" si="18"/>
        <v>1</v>
      </c>
      <c r="R353" s="32" t="str">
        <f t="shared" si="17"/>
        <v>P03.104</v>
      </c>
    </row>
    <row r="354" spans="1:18">
      <c r="A354" s="18"/>
      <c r="B354" s="18"/>
      <c r="C354" s="18"/>
      <c r="D354" s="17">
        <f t="shared" si="19"/>
        <v>876</v>
      </c>
      <c r="E354" s="19" t="s">
        <v>29</v>
      </c>
      <c r="F354" s="20"/>
      <c r="G354" s="21" t="s">
        <v>23</v>
      </c>
      <c r="H354" s="21" t="s">
        <v>23</v>
      </c>
      <c r="I354" s="21" t="s">
        <v>30</v>
      </c>
      <c r="J354" s="17" t="s">
        <v>25</v>
      </c>
      <c r="K354" s="17" t="s">
        <v>26</v>
      </c>
      <c r="L354" s="17" t="s">
        <v>32</v>
      </c>
      <c r="M354" s="19" t="s">
        <v>28</v>
      </c>
      <c r="N354" s="17"/>
      <c r="O354" s="22"/>
      <c r="P354" s="22"/>
      <c r="Q354" s="31">
        <f t="shared" si="18"/>
        <v>1</v>
      </c>
      <c r="R354" s="32" t="str">
        <f t="shared" si="17"/>
        <v>P03.108</v>
      </c>
    </row>
    <row r="355" spans="1:18">
      <c r="A355" s="18"/>
      <c r="B355" s="18"/>
      <c r="C355" s="18"/>
      <c r="D355" s="17">
        <f t="shared" si="19"/>
        <v>877</v>
      </c>
      <c r="E355" s="19" t="s">
        <v>29</v>
      </c>
      <c r="F355" s="20"/>
      <c r="G355" s="21" t="s">
        <v>23</v>
      </c>
      <c r="H355" s="21" t="s">
        <v>23</v>
      </c>
      <c r="I355" s="21" t="s">
        <v>30</v>
      </c>
      <c r="J355" s="17" t="s">
        <v>25</v>
      </c>
      <c r="K355" s="17" t="s">
        <v>26</v>
      </c>
      <c r="L355" s="17" t="s">
        <v>32</v>
      </c>
      <c r="M355" s="19" t="s">
        <v>28</v>
      </c>
      <c r="N355" s="17"/>
      <c r="O355" s="22"/>
      <c r="P355" s="22"/>
      <c r="Q355" s="31">
        <f t="shared" si="18"/>
        <v>1</v>
      </c>
      <c r="R355" s="32" t="str">
        <f t="shared" si="17"/>
        <v>P03.109</v>
      </c>
    </row>
    <row r="356" spans="1:18">
      <c r="A356" s="18"/>
      <c r="B356" s="18"/>
      <c r="C356" s="18"/>
      <c r="D356" s="17">
        <f t="shared" si="19"/>
        <v>878</v>
      </c>
      <c r="E356" s="19" t="s">
        <v>29</v>
      </c>
      <c r="F356" s="20"/>
      <c r="G356" s="21" t="s">
        <v>23</v>
      </c>
      <c r="H356" s="21" t="s">
        <v>23</v>
      </c>
      <c r="I356" s="21" t="s">
        <v>30</v>
      </c>
      <c r="J356" s="17" t="s">
        <v>25</v>
      </c>
      <c r="K356" s="17" t="s">
        <v>26</v>
      </c>
      <c r="L356" s="17" t="s">
        <v>32</v>
      </c>
      <c r="M356" s="19" t="s">
        <v>28</v>
      </c>
      <c r="N356" s="17"/>
      <c r="O356" s="22"/>
      <c r="P356" s="22"/>
      <c r="Q356" s="31">
        <f t="shared" si="18"/>
        <v>1</v>
      </c>
      <c r="R356" s="32" t="str">
        <f t="shared" si="17"/>
        <v>P03.110</v>
      </c>
    </row>
    <row r="357" spans="1:18">
      <c r="A357" s="18"/>
      <c r="B357" s="18"/>
      <c r="C357" s="18"/>
      <c r="D357" s="17">
        <f t="shared" si="19"/>
        <v>879</v>
      </c>
      <c r="E357" s="19" t="s">
        <v>29</v>
      </c>
      <c r="F357" s="20"/>
      <c r="G357" s="21" t="s">
        <v>23</v>
      </c>
      <c r="H357" s="21" t="s">
        <v>23</v>
      </c>
      <c r="I357" s="21" t="s">
        <v>30</v>
      </c>
      <c r="J357" s="17" t="s">
        <v>25</v>
      </c>
      <c r="K357" s="17" t="s">
        <v>26</v>
      </c>
      <c r="L357" s="17" t="s">
        <v>32</v>
      </c>
      <c r="M357" s="19" t="s">
        <v>28</v>
      </c>
      <c r="N357" s="17"/>
      <c r="O357" s="22"/>
      <c r="P357" s="22"/>
      <c r="Q357" s="31">
        <f t="shared" si="18"/>
        <v>1</v>
      </c>
      <c r="R357" s="32" t="str">
        <f t="shared" si="17"/>
        <v>P03.111</v>
      </c>
    </row>
    <row r="358" spans="1:18">
      <c r="A358" s="18"/>
      <c r="B358" s="18"/>
      <c r="C358" s="18"/>
      <c r="D358" s="17">
        <f t="shared" si="19"/>
        <v>880</v>
      </c>
      <c r="E358" s="19" t="s">
        <v>29</v>
      </c>
      <c r="F358" s="20"/>
      <c r="G358" s="21" t="s">
        <v>23</v>
      </c>
      <c r="H358" s="21" t="s">
        <v>23</v>
      </c>
      <c r="I358" s="21" t="s">
        <v>30</v>
      </c>
      <c r="J358" s="17" t="s">
        <v>25</v>
      </c>
      <c r="K358" s="17" t="s">
        <v>26</v>
      </c>
      <c r="L358" s="17" t="s">
        <v>32</v>
      </c>
      <c r="M358" s="19" t="s">
        <v>28</v>
      </c>
      <c r="N358" s="17"/>
      <c r="O358" s="22"/>
      <c r="P358" s="22"/>
      <c r="Q358" s="31">
        <f t="shared" si="18"/>
        <v>1</v>
      </c>
      <c r="R358" s="32" t="str">
        <f t="shared" si="17"/>
        <v>P03.112</v>
      </c>
    </row>
    <row r="359" spans="1:18">
      <c r="A359" s="18"/>
      <c r="B359" s="18"/>
      <c r="C359" s="18"/>
      <c r="D359" s="17">
        <f t="shared" si="19"/>
        <v>881</v>
      </c>
      <c r="E359" s="19" t="s">
        <v>29</v>
      </c>
      <c r="F359" s="20"/>
      <c r="G359" s="21" t="s">
        <v>23</v>
      </c>
      <c r="H359" s="21" t="s">
        <v>23</v>
      </c>
      <c r="I359" s="21" t="s">
        <v>30</v>
      </c>
      <c r="J359" s="17" t="s">
        <v>25</v>
      </c>
      <c r="K359" s="17" t="s">
        <v>26</v>
      </c>
      <c r="L359" s="17" t="s">
        <v>32</v>
      </c>
      <c r="M359" s="19" t="s">
        <v>28</v>
      </c>
      <c r="N359" s="17"/>
      <c r="O359" s="22"/>
      <c r="P359" s="22"/>
      <c r="Q359" s="31">
        <f t="shared" si="18"/>
        <v>1</v>
      </c>
      <c r="R359" s="32" t="str">
        <f t="shared" si="17"/>
        <v>P03.113</v>
      </c>
    </row>
    <row r="360" spans="1:18">
      <c r="A360" s="18"/>
      <c r="B360" s="18"/>
      <c r="C360" s="18"/>
      <c r="D360" s="17">
        <f t="shared" si="19"/>
        <v>882</v>
      </c>
      <c r="E360" s="19" t="s">
        <v>29</v>
      </c>
      <c r="F360" s="20"/>
      <c r="G360" s="21" t="s">
        <v>23</v>
      </c>
      <c r="H360" s="21" t="s">
        <v>23</v>
      </c>
      <c r="I360" s="21" t="s">
        <v>30</v>
      </c>
      <c r="J360" s="17" t="s">
        <v>25</v>
      </c>
      <c r="K360" s="17" t="s">
        <v>26</v>
      </c>
      <c r="L360" s="17" t="s">
        <v>32</v>
      </c>
      <c r="M360" s="19" t="s">
        <v>28</v>
      </c>
      <c r="N360" s="17"/>
      <c r="O360" s="22"/>
      <c r="P360" s="22"/>
      <c r="Q360" s="31">
        <f t="shared" si="18"/>
        <v>1</v>
      </c>
      <c r="R360" s="32" t="str">
        <f t="shared" si="17"/>
        <v>P03.114</v>
      </c>
    </row>
    <row r="361" spans="1:18">
      <c r="A361" s="18"/>
      <c r="B361" s="18"/>
      <c r="C361" s="18"/>
      <c r="D361" s="17">
        <f t="shared" si="19"/>
        <v>883</v>
      </c>
      <c r="E361" s="19" t="s">
        <v>29</v>
      </c>
      <c r="F361" s="20"/>
      <c r="G361" s="21" t="s">
        <v>23</v>
      </c>
      <c r="H361" s="21" t="s">
        <v>23</v>
      </c>
      <c r="I361" s="21" t="s">
        <v>30</v>
      </c>
      <c r="J361" s="17" t="s">
        <v>25</v>
      </c>
      <c r="K361" s="17" t="s">
        <v>26</v>
      </c>
      <c r="L361" s="17" t="s">
        <v>32</v>
      </c>
      <c r="M361" s="19" t="s">
        <v>28</v>
      </c>
      <c r="N361" s="17"/>
      <c r="O361" s="22"/>
      <c r="P361" s="22"/>
      <c r="Q361" s="31">
        <f t="shared" si="18"/>
        <v>1</v>
      </c>
      <c r="R361" s="32" t="str">
        <f t="shared" si="17"/>
        <v>P03.115</v>
      </c>
    </row>
    <row r="362" spans="1:18">
      <c r="A362" s="18"/>
      <c r="B362" s="18"/>
      <c r="C362" s="18"/>
      <c r="D362" s="17">
        <f t="shared" si="19"/>
        <v>884</v>
      </c>
      <c r="E362" s="19" t="s">
        <v>29</v>
      </c>
      <c r="F362" s="20"/>
      <c r="G362" s="21" t="s">
        <v>23</v>
      </c>
      <c r="H362" s="21" t="s">
        <v>23</v>
      </c>
      <c r="I362" s="21" t="s">
        <v>30</v>
      </c>
      <c r="J362" s="17" t="s">
        <v>25</v>
      </c>
      <c r="K362" s="17" t="s">
        <v>26</v>
      </c>
      <c r="L362" s="17" t="s">
        <v>32</v>
      </c>
      <c r="M362" s="19" t="s">
        <v>28</v>
      </c>
      <c r="N362" s="17"/>
      <c r="O362" s="22"/>
      <c r="P362" s="22"/>
      <c r="Q362" s="31">
        <f t="shared" si="18"/>
        <v>1</v>
      </c>
      <c r="R362" s="32" t="str">
        <f t="shared" si="17"/>
        <v>P03.116</v>
      </c>
    </row>
    <row r="363" spans="1:18">
      <c r="A363" s="18"/>
      <c r="B363" s="18"/>
      <c r="C363" s="18"/>
      <c r="D363" s="17">
        <f t="shared" si="19"/>
        <v>885</v>
      </c>
      <c r="E363" s="19" t="s">
        <v>29</v>
      </c>
      <c r="F363" s="20"/>
      <c r="G363" s="21" t="s">
        <v>23</v>
      </c>
      <c r="H363" s="21" t="s">
        <v>23</v>
      </c>
      <c r="I363" s="21" t="s">
        <v>30</v>
      </c>
      <c r="J363" s="17" t="s">
        <v>25</v>
      </c>
      <c r="K363" s="17" t="s">
        <v>26</v>
      </c>
      <c r="L363" s="17" t="s">
        <v>32</v>
      </c>
      <c r="M363" s="19" t="s">
        <v>28</v>
      </c>
      <c r="N363" s="17"/>
      <c r="O363" s="22"/>
      <c r="P363" s="22"/>
      <c r="Q363" s="31">
        <f t="shared" si="18"/>
        <v>1</v>
      </c>
      <c r="R363" s="32" t="str">
        <f t="shared" si="17"/>
        <v>P03.117</v>
      </c>
    </row>
    <row r="364" spans="1:18">
      <c r="A364" s="18"/>
      <c r="B364" s="18"/>
      <c r="C364" s="18"/>
      <c r="D364" s="17">
        <f t="shared" si="19"/>
        <v>886</v>
      </c>
      <c r="E364" s="19" t="s">
        <v>29</v>
      </c>
      <c r="F364" s="20"/>
      <c r="G364" s="21" t="s">
        <v>23</v>
      </c>
      <c r="H364" s="21" t="s">
        <v>23</v>
      </c>
      <c r="I364" s="21" t="s">
        <v>30</v>
      </c>
      <c r="J364" s="17" t="s">
        <v>25</v>
      </c>
      <c r="K364" s="17" t="s">
        <v>26</v>
      </c>
      <c r="L364" s="17" t="s">
        <v>32</v>
      </c>
      <c r="M364" s="19" t="s">
        <v>28</v>
      </c>
      <c r="N364" s="17"/>
      <c r="O364" s="22"/>
      <c r="P364" s="22"/>
      <c r="Q364" s="31">
        <f t="shared" si="18"/>
        <v>1</v>
      </c>
      <c r="R364" s="32" t="str">
        <f t="shared" si="17"/>
        <v>P03.118</v>
      </c>
    </row>
    <row r="365" spans="1:18">
      <c r="A365" s="18"/>
      <c r="B365" s="18"/>
      <c r="C365" s="18"/>
      <c r="D365" s="17">
        <f t="shared" si="19"/>
        <v>887</v>
      </c>
      <c r="E365" s="19" t="s">
        <v>29</v>
      </c>
      <c r="F365" s="20"/>
      <c r="G365" s="21" t="s">
        <v>23</v>
      </c>
      <c r="H365" s="21" t="s">
        <v>23</v>
      </c>
      <c r="I365" s="21" t="s">
        <v>30</v>
      </c>
      <c r="J365" s="17" t="s">
        <v>25</v>
      </c>
      <c r="K365" s="17" t="s">
        <v>26</v>
      </c>
      <c r="L365" s="17" t="s">
        <v>32</v>
      </c>
      <c r="M365" s="19" t="s">
        <v>28</v>
      </c>
      <c r="N365" s="17"/>
      <c r="O365" s="22"/>
      <c r="P365" s="22"/>
      <c r="Q365" s="31">
        <f t="shared" si="18"/>
        <v>1</v>
      </c>
      <c r="R365" s="32" t="str">
        <f t="shared" si="17"/>
        <v>P03.119</v>
      </c>
    </row>
    <row r="366" spans="1:18">
      <c r="A366" s="18"/>
      <c r="B366" s="18"/>
      <c r="C366" s="18"/>
      <c r="D366" s="17">
        <f t="shared" si="19"/>
        <v>888</v>
      </c>
      <c r="E366" s="19" t="s">
        <v>29</v>
      </c>
      <c r="F366" s="20"/>
      <c r="G366" s="21" t="s">
        <v>23</v>
      </c>
      <c r="H366" s="21" t="s">
        <v>23</v>
      </c>
      <c r="I366" s="21" t="s">
        <v>30</v>
      </c>
      <c r="J366" s="17" t="s">
        <v>25</v>
      </c>
      <c r="K366" s="17" t="s">
        <v>26</v>
      </c>
      <c r="L366" s="17" t="s">
        <v>32</v>
      </c>
      <c r="M366" s="19" t="s">
        <v>28</v>
      </c>
      <c r="N366" s="17"/>
      <c r="O366" s="22"/>
      <c r="P366" s="22"/>
      <c r="Q366" s="31">
        <f t="shared" si="18"/>
        <v>1</v>
      </c>
      <c r="R366" s="32" t="str">
        <f t="shared" si="17"/>
        <v>P03.120</v>
      </c>
    </row>
    <row r="367" spans="1:18">
      <c r="A367" s="18"/>
      <c r="B367" s="18"/>
      <c r="C367" s="18"/>
      <c r="D367" s="17">
        <f t="shared" si="19"/>
        <v>889</v>
      </c>
      <c r="E367" s="19" t="s">
        <v>29</v>
      </c>
      <c r="F367" s="20"/>
      <c r="G367" s="21" t="s">
        <v>23</v>
      </c>
      <c r="H367" s="21" t="s">
        <v>23</v>
      </c>
      <c r="I367" s="21" t="s">
        <v>30</v>
      </c>
      <c r="J367" s="17" t="s">
        <v>25</v>
      </c>
      <c r="K367" s="17" t="s">
        <v>26</v>
      </c>
      <c r="L367" s="17" t="s">
        <v>32</v>
      </c>
      <c r="M367" s="19" t="s">
        <v>28</v>
      </c>
      <c r="N367" s="17"/>
      <c r="O367" s="22"/>
      <c r="P367" s="22"/>
      <c r="Q367" s="31">
        <f t="shared" si="18"/>
        <v>1</v>
      </c>
      <c r="R367" s="32" t="str">
        <f t="shared" si="17"/>
        <v>P03.121</v>
      </c>
    </row>
    <row r="368" spans="1:18">
      <c r="A368" s="18"/>
      <c r="B368" s="18"/>
      <c r="C368" s="18"/>
      <c r="D368" s="17">
        <f t="shared" si="19"/>
        <v>890</v>
      </c>
      <c r="E368" s="19" t="s">
        <v>29</v>
      </c>
      <c r="F368" s="20"/>
      <c r="G368" s="21" t="s">
        <v>23</v>
      </c>
      <c r="H368" s="21" t="s">
        <v>23</v>
      </c>
      <c r="I368" s="21" t="s">
        <v>30</v>
      </c>
      <c r="J368" s="17" t="s">
        <v>25</v>
      </c>
      <c r="K368" s="17" t="s">
        <v>26</v>
      </c>
      <c r="L368" s="17" t="s">
        <v>32</v>
      </c>
      <c r="M368" s="19" t="s">
        <v>28</v>
      </c>
      <c r="N368" s="17"/>
      <c r="O368" s="22"/>
      <c r="P368" s="22"/>
      <c r="Q368" s="31">
        <f t="shared" si="18"/>
        <v>1</v>
      </c>
      <c r="R368" s="32" t="str">
        <f t="shared" si="17"/>
        <v>P03.122</v>
      </c>
    </row>
    <row r="369" spans="1:18">
      <c r="A369" s="18"/>
      <c r="B369" s="18"/>
      <c r="C369" s="18"/>
      <c r="D369" s="17">
        <f t="shared" si="19"/>
        <v>891</v>
      </c>
      <c r="E369" s="19" t="s">
        <v>29</v>
      </c>
      <c r="F369" s="20"/>
      <c r="G369" s="21" t="s">
        <v>23</v>
      </c>
      <c r="H369" s="21" t="s">
        <v>23</v>
      </c>
      <c r="I369" s="21" t="s">
        <v>30</v>
      </c>
      <c r="J369" s="17" t="s">
        <v>25</v>
      </c>
      <c r="K369" s="17" t="s">
        <v>26</v>
      </c>
      <c r="L369" s="17" t="s">
        <v>32</v>
      </c>
      <c r="M369" s="19" t="s">
        <v>28</v>
      </c>
      <c r="N369" s="17"/>
      <c r="O369" s="22"/>
      <c r="P369" s="22"/>
      <c r="Q369" s="31">
        <f t="shared" si="18"/>
        <v>1</v>
      </c>
      <c r="R369" s="32" t="str">
        <f t="shared" si="17"/>
        <v>P03.123</v>
      </c>
    </row>
    <row r="370" spans="1:18">
      <c r="A370" s="18"/>
      <c r="B370" s="18"/>
      <c r="C370" s="18"/>
      <c r="D370" s="17">
        <f t="shared" si="19"/>
        <v>892</v>
      </c>
      <c r="E370" s="19" t="s">
        <v>29</v>
      </c>
      <c r="F370" s="20"/>
      <c r="G370" s="21" t="s">
        <v>23</v>
      </c>
      <c r="H370" s="21" t="s">
        <v>23</v>
      </c>
      <c r="I370" s="21" t="s">
        <v>30</v>
      </c>
      <c r="J370" s="17" t="s">
        <v>25</v>
      </c>
      <c r="K370" s="17" t="s">
        <v>26</v>
      </c>
      <c r="L370" s="17" t="s">
        <v>32</v>
      </c>
      <c r="M370" s="19" t="s">
        <v>28</v>
      </c>
      <c r="N370" s="17"/>
      <c r="O370" s="22"/>
      <c r="P370" s="22"/>
      <c r="Q370" s="31">
        <f t="shared" si="18"/>
        <v>1</v>
      </c>
      <c r="R370" s="32" t="str">
        <f t="shared" si="17"/>
        <v>P03.124</v>
      </c>
    </row>
    <row r="371" spans="1:18">
      <c r="A371" s="18"/>
      <c r="B371" s="18"/>
      <c r="C371" s="18"/>
      <c r="D371" s="17">
        <f t="shared" si="19"/>
        <v>893</v>
      </c>
      <c r="E371" s="19" t="s">
        <v>29</v>
      </c>
      <c r="F371" s="20"/>
      <c r="G371" s="21" t="s">
        <v>23</v>
      </c>
      <c r="H371" s="21" t="s">
        <v>23</v>
      </c>
      <c r="I371" s="21" t="s">
        <v>30</v>
      </c>
      <c r="J371" s="17" t="s">
        <v>25</v>
      </c>
      <c r="K371" s="17" t="s">
        <v>26</v>
      </c>
      <c r="L371" s="17" t="s">
        <v>32</v>
      </c>
      <c r="M371" s="19" t="s">
        <v>28</v>
      </c>
      <c r="N371" s="17"/>
      <c r="O371" s="22"/>
      <c r="P371" s="22"/>
      <c r="Q371" s="31">
        <f t="shared" si="18"/>
        <v>1</v>
      </c>
      <c r="R371" s="32" t="str">
        <f t="shared" si="17"/>
        <v>P03.125</v>
      </c>
    </row>
    <row r="372" spans="1:18">
      <c r="A372" s="18"/>
      <c r="B372" s="18"/>
      <c r="C372" s="18"/>
      <c r="D372" s="17">
        <f t="shared" si="19"/>
        <v>894</v>
      </c>
      <c r="E372" s="19" t="s">
        <v>29</v>
      </c>
      <c r="F372" s="20"/>
      <c r="G372" s="21" t="s">
        <v>23</v>
      </c>
      <c r="H372" s="21" t="s">
        <v>23</v>
      </c>
      <c r="I372" s="21" t="s">
        <v>30</v>
      </c>
      <c r="J372" s="17" t="s">
        <v>25</v>
      </c>
      <c r="K372" s="17" t="s">
        <v>26</v>
      </c>
      <c r="L372" s="17" t="s">
        <v>32</v>
      </c>
      <c r="M372" s="19" t="s">
        <v>28</v>
      </c>
      <c r="N372" s="17"/>
      <c r="O372" s="22"/>
      <c r="P372" s="22"/>
      <c r="Q372" s="31">
        <f t="shared" si="18"/>
        <v>1</v>
      </c>
      <c r="R372" s="32" t="str">
        <f t="shared" si="17"/>
        <v>P03.126</v>
      </c>
    </row>
    <row r="373" spans="1:18">
      <c r="A373" s="18"/>
      <c r="B373" s="18"/>
      <c r="C373" s="18"/>
      <c r="D373" s="17">
        <f t="shared" si="19"/>
        <v>895</v>
      </c>
      <c r="E373" s="19" t="s">
        <v>29</v>
      </c>
      <c r="F373" s="20"/>
      <c r="G373" s="21" t="s">
        <v>23</v>
      </c>
      <c r="H373" s="21" t="s">
        <v>23</v>
      </c>
      <c r="I373" s="21" t="s">
        <v>30</v>
      </c>
      <c r="J373" s="17" t="s">
        <v>25</v>
      </c>
      <c r="K373" s="17" t="s">
        <v>26</v>
      </c>
      <c r="L373" s="17" t="s">
        <v>32</v>
      </c>
      <c r="M373" s="19" t="s">
        <v>28</v>
      </c>
      <c r="N373" s="17"/>
      <c r="O373" s="22"/>
      <c r="P373" s="22"/>
      <c r="Q373" s="31">
        <f t="shared" si="18"/>
        <v>1</v>
      </c>
      <c r="R373" s="32" t="str">
        <f t="shared" si="17"/>
        <v>P03.127</v>
      </c>
    </row>
    <row r="374" spans="1:18">
      <c r="A374" s="18"/>
      <c r="B374" s="18"/>
      <c r="C374" s="18"/>
      <c r="D374" s="17">
        <f t="shared" si="19"/>
        <v>896</v>
      </c>
      <c r="E374" s="19" t="s">
        <v>29</v>
      </c>
      <c r="F374" s="20"/>
      <c r="G374" s="21" t="s">
        <v>23</v>
      </c>
      <c r="H374" s="21" t="s">
        <v>23</v>
      </c>
      <c r="I374" s="21" t="s">
        <v>30</v>
      </c>
      <c r="J374" s="17" t="s">
        <v>25</v>
      </c>
      <c r="K374" s="17" t="s">
        <v>26</v>
      </c>
      <c r="L374" s="17" t="s">
        <v>32</v>
      </c>
      <c r="M374" s="19" t="s">
        <v>28</v>
      </c>
      <c r="N374" s="17"/>
      <c r="O374" s="22"/>
      <c r="P374" s="22"/>
      <c r="Q374" s="31">
        <f t="shared" si="18"/>
        <v>1</v>
      </c>
      <c r="R374" s="32" t="str">
        <f t="shared" ref="R374:R437" si="20">"P"&amp;TEXT(INT(D374/256),"00")&amp;"."&amp;TEXT(MOD(D374,256),"000")</f>
        <v>P03.128</v>
      </c>
    </row>
    <row r="375" spans="1:18">
      <c r="A375" s="18"/>
      <c r="B375" s="18"/>
      <c r="C375" s="18"/>
      <c r="D375" s="17">
        <f t="shared" si="19"/>
        <v>897</v>
      </c>
      <c r="E375" s="19" t="s">
        <v>29</v>
      </c>
      <c r="F375" s="20"/>
      <c r="G375" s="21" t="s">
        <v>23</v>
      </c>
      <c r="H375" s="21" t="s">
        <v>23</v>
      </c>
      <c r="I375" s="21" t="s">
        <v>30</v>
      </c>
      <c r="J375" s="17" t="s">
        <v>25</v>
      </c>
      <c r="K375" s="17" t="s">
        <v>26</v>
      </c>
      <c r="L375" s="17" t="s">
        <v>32</v>
      </c>
      <c r="M375" s="19" t="s">
        <v>28</v>
      </c>
      <c r="N375" s="17"/>
      <c r="O375" s="22"/>
      <c r="P375" s="22"/>
      <c r="Q375" s="31">
        <f t="shared" si="18"/>
        <v>1</v>
      </c>
      <c r="R375" s="32" t="str">
        <f t="shared" si="20"/>
        <v>P03.129</v>
      </c>
    </row>
    <row r="376" spans="1:18">
      <c r="A376" s="18"/>
      <c r="B376" s="18"/>
      <c r="C376" s="18"/>
      <c r="D376" s="17">
        <f t="shared" si="19"/>
        <v>898</v>
      </c>
      <c r="E376" s="19" t="s">
        <v>29</v>
      </c>
      <c r="F376" s="20"/>
      <c r="G376" s="21" t="s">
        <v>23</v>
      </c>
      <c r="H376" s="21" t="s">
        <v>23</v>
      </c>
      <c r="I376" s="21" t="s">
        <v>30</v>
      </c>
      <c r="J376" s="17" t="s">
        <v>25</v>
      </c>
      <c r="K376" s="17" t="s">
        <v>26</v>
      </c>
      <c r="L376" s="17" t="s">
        <v>32</v>
      </c>
      <c r="M376" s="19" t="s">
        <v>28</v>
      </c>
      <c r="N376" s="17"/>
      <c r="O376" s="22"/>
      <c r="P376" s="22"/>
      <c r="Q376" s="31">
        <f t="shared" si="18"/>
        <v>1</v>
      </c>
      <c r="R376" s="32" t="str">
        <f t="shared" si="20"/>
        <v>P03.130</v>
      </c>
    </row>
    <row r="377" spans="1:18">
      <c r="A377" s="18"/>
      <c r="B377" s="18"/>
      <c r="C377" s="18"/>
      <c r="D377" s="17">
        <f t="shared" si="19"/>
        <v>899</v>
      </c>
      <c r="E377" s="19" t="s">
        <v>29</v>
      </c>
      <c r="F377" s="20"/>
      <c r="G377" s="21" t="s">
        <v>23</v>
      </c>
      <c r="H377" s="21" t="s">
        <v>23</v>
      </c>
      <c r="I377" s="21" t="s">
        <v>30</v>
      </c>
      <c r="J377" s="17" t="s">
        <v>25</v>
      </c>
      <c r="K377" s="17" t="s">
        <v>26</v>
      </c>
      <c r="L377" s="17" t="s">
        <v>32</v>
      </c>
      <c r="M377" s="19" t="s">
        <v>28</v>
      </c>
      <c r="N377" s="17"/>
      <c r="O377" s="22"/>
      <c r="P377" s="22"/>
      <c r="Q377" s="31">
        <f t="shared" si="18"/>
        <v>1</v>
      </c>
      <c r="R377" s="32" t="str">
        <f t="shared" si="20"/>
        <v>P03.131</v>
      </c>
    </row>
    <row r="378" spans="1:18">
      <c r="A378" s="18"/>
      <c r="B378" s="18"/>
      <c r="C378" s="18"/>
      <c r="D378" s="17">
        <f t="shared" si="19"/>
        <v>900</v>
      </c>
      <c r="E378" s="19" t="s">
        <v>29</v>
      </c>
      <c r="F378" s="20"/>
      <c r="G378" s="21" t="s">
        <v>23</v>
      </c>
      <c r="H378" s="21" t="s">
        <v>23</v>
      </c>
      <c r="I378" s="21" t="s">
        <v>30</v>
      </c>
      <c r="J378" s="17" t="s">
        <v>25</v>
      </c>
      <c r="K378" s="17" t="s">
        <v>26</v>
      </c>
      <c r="L378" s="17" t="s">
        <v>32</v>
      </c>
      <c r="M378" s="19" t="s">
        <v>28</v>
      </c>
      <c r="N378" s="17"/>
      <c r="O378" s="22"/>
      <c r="P378" s="22"/>
      <c r="Q378" s="31">
        <f t="shared" si="18"/>
        <v>1</v>
      </c>
      <c r="R378" s="32" t="str">
        <f t="shared" si="20"/>
        <v>P03.132</v>
      </c>
    </row>
    <row r="379" spans="1:18">
      <c r="A379" s="18"/>
      <c r="B379" s="18"/>
      <c r="C379" s="18"/>
      <c r="D379" s="17">
        <f t="shared" si="19"/>
        <v>901</v>
      </c>
      <c r="E379" s="19" t="s">
        <v>29</v>
      </c>
      <c r="F379" s="20"/>
      <c r="G379" s="21" t="s">
        <v>23</v>
      </c>
      <c r="H379" s="21" t="s">
        <v>23</v>
      </c>
      <c r="I379" s="21" t="s">
        <v>30</v>
      </c>
      <c r="J379" s="17" t="s">
        <v>25</v>
      </c>
      <c r="K379" s="17" t="s">
        <v>26</v>
      </c>
      <c r="L379" s="17" t="s">
        <v>32</v>
      </c>
      <c r="M379" s="19" t="s">
        <v>28</v>
      </c>
      <c r="N379" s="17"/>
      <c r="O379" s="22"/>
      <c r="P379" s="22"/>
      <c r="Q379" s="31">
        <f t="shared" si="18"/>
        <v>1</v>
      </c>
      <c r="R379" s="32" t="str">
        <f t="shared" si="20"/>
        <v>P03.133</v>
      </c>
    </row>
    <row r="380" spans="1:18">
      <c r="A380" s="18"/>
      <c r="B380" s="18"/>
      <c r="C380" s="18"/>
      <c r="D380" s="17">
        <f t="shared" si="19"/>
        <v>902</v>
      </c>
      <c r="E380" s="19" t="s">
        <v>29</v>
      </c>
      <c r="F380" s="20"/>
      <c r="G380" s="21" t="s">
        <v>23</v>
      </c>
      <c r="H380" s="21" t="s">
        <v>23</v>
      </c>
      <c r="I380" s="21" t="s">
        <v>30</v>
      </c>
      <c r="J380" s="17" t="s">
        <v>25</v>
      </c>
      <c r="K380" s="17" t="s">
        <v>26</v>
      </c>
      <c r="L380" s="17" t="s">
        <v>32</v>
      </c>
      <c r="M380" s="19" t="s">
        <v>28</v>
      </c>
      <c r="N380" s="17"/>
      <c r="O380" s="22"/>
      <c r="P380" s="22"/>
      <c r="Q380" s="31">
        <f t="shared" si="18"/>
        <v>1</v>
      </c>
      <c r="R380" s="32" t="str">
        <f t="shared" si="20"/>
        <v>P03.134</v>
      </c>
    </row>
    <row r="381" spans="1:18">
      <c r="A381" s="34"/>
      <c r="B381" s="34"/>
      <c r="C381" s="34"/>
      <c r="D381" s="17">
        <f t="shared" si="19"/>
        <v>903</v>
      </c>
      <c r="E381" s="19" t="s">
        <v>29</v>
      </c>
      <c r="F381" s="20"/>
      <c r="G381" s="21" t="s">
        <v>23</v>
      </c>
      <c r="H381" s="21" t="s">
        <v>23</v>
      </c>
      <c r="I381" s="21" t="s">
        <v>30</v>
      </c>
      <c r="J381" s="17" t="s">
        <v>25</v>
      </c>
      <c r="K381" s="17" t="s">
        <v>26</v>
      </c>
      <c r="L381" s="17" t="s">
        <v>32</v>
      </c>
      <c r="M381" s="19" t="s">
        <v>28</v>
      </c>
      <c r="N381" s="17"/>
      <c r="O381" s="22"/>
      <c r="P381" s="22"/>
      <c r="Q381" s="31">
        <f t="shared" si="18"/>
        <v>1</v>
      </c>
      <c r="R381" s="32" t="str">
        <f t="shared" si="20"/>
        <v>P03.135</v>
      </c>
    </row>
    <row r="382" spans="1:18">
      <c r="A382" s="33">
        <v>6</v>
      </c>
      <c r="B382" s="33" t="s">
        <v>971</v>
      </c>
      <c r="C382" s="33" t="s">
        <v>972</v>
      </c>
      <c r="D382" s="17">
        <f t="shared" si="19"/>
        <v>904</v>
      </c>
      <c r="E382" s="19" t="s">
        <v>29</v>
      </c>
      <c r="F382" s="22" t="s">
        <v>973</v>
      </c>
      <c r="G382" s="21" t="s">
        <v>23</v>
      </c>
      <c r="H382" s="21" t="s">
        <v>23</v>
      </c>
      <c r="I382" s="21" t="s">
        <v>40</v>
      </c>
      <c r="J382" s="17" t="s">
        <v>25</v>
      </c>
      <c r="K382" s="17" t="s">
        <v>69</v>
      </c>
      <c r="L382" s="17" t="s">
        <v>27</v>
      </c>
      <c r="M382" s="19" t="s">
        <v>28</v>
      </c>
      <c r="N382" s="22"/>
      <c r="O382" s="22" t="s">
        <v>974</v>
      </c>
      <c r="P382" s="22"/>
      <c r="Q382" s="31">
        <f t="shared" si="18"/>
        <v>0</v>
      </c>
      <c r="R382" s="32" t="str">
        <f t="shared" si="20"/>
        <v>P03.136</v>
      </c>
    </row>
    <row r="383" spans="1:18">
      <c r="A383" s="18"/>
      <c r="B383" s="18"/>
      <c r="C383" s="18"/>
      <c r="D383" s="17">
        <f t="shared" si="19"/>
        <v>905</v>
      </c>
      <c r="E383" s="19" t="s">
        <v>92</v>
      </c>
      <c r="F383" s="22" t="s">
        <v>975</v>
      </c>
      <c r="G383" s="21" t="s">
        <v>205</v>
      </c>
      <c r="H383" s="21" t="s">
        <v>976</v>
      </c>
      <c r="I383" s="21" t="s">
        <v>977</v>
      </c>
      <c r="J383" s="17" t="s">
        <v>517</v>
      </c>
      <c r="K383" s="17" t="s">
        <v>63</v>
      </c>
      <c r="L383" s="17" t="s">
        <v>27</v>
      </c>
      <c r="M383" s="19" t="s">
        <v>28</v>
      </c>
      <c r="N383" s="22"/>
      <c r="O383" s="22" t="s">
        <v>978</v>
      </c>
      <c r="P383" s="22"/>
      <c r="Q383" s="31">
        <f t="shared" si="18"/>
        <v>1</v>
      </c>
      <c r="R383" s="32" t="str">
        <f t="shared" si="20"/>
        <v>P03.137</v>
      </c>
    </row>
    <row r="384" spans="1:18">
      <c r="A384" s="18"/>
      <c r="B384" s="18"/>
      <c r="C384" s="18"/>
      <c r="D384" s="17">
        <f t="shared" si="19"/>
        <v>906</v>
      </c>
      <c r="E384" s="19" t="s">
        <v>29</v>
      </c>
      <c r="F384" s="20"/>
      <c r="G384" s="21" t="s">
        <v>23</v>
      </c>
      <c r="H384" s="21" t="s">
        <v>23</v>
      </c>
      <c r="I384" s="21" t="s">
        <v>30</v>
      </c>
      <c r="J384" s="17" t="s">
        <v>25</v>
      </c>
      <c r="K384" s="17" t="s">
        <v>26</v>
      </c>
      <c r="L384" s="17" t="s">
        <v>32</v>
      </c>
      <c r="M384" s="19" t="s">
        <v>28</v>
      </c>
      <c r="N384" s="22"/>
      <c r="O384" s="22"/>
      <c r="P384" s="22"/>
      <c r="Q384" s="31">
        <f t="shared" si="18"/>
        <v>1</v>
      </c>
      <c r="R384" s="32" t="str">
        <f t="shared" si="20"/>
        <v>P03.138</v>
      </c>
    </row>
    <row r="385" spans="1:18">
      <c r="A385" s="18"/>
      <c r="B385" s="18"/>
      <c r="C385" s="18"/>
      <c r="D385" s="17">
        <f t="shared" si="19"/>
        <v>907</v>
      </c>
      <c r="E385" s="19" t="s">
        <v>29</v>
      </c>
      <c r="F385" s="22" t="s">
        <v>979</v>
      </c>
      <c r="G385" s="21" t="s">
        <v>23</v>
      </c>
      <c r="H385" s="21" t="s">
        <v>23</v>
      </c>
      <c r="I385" s="21" t="s">
        <v>30</v>
      </c>
      <c r="J385" s="17" t="s">
        <v>25</v>
      </c>
      <c r="K385" s="17" t="s">
        <v>69</v>
      </c>
      <c r="L385" s="17" t="s">
        <v>27</v>
      </c>
      <c r="M385" s="19" t="s">
        <v>28</v>
      </c>
      <c r="N385" s="20"/>
      <c r="O385" s="22" t="s">
        <v>980</v>
      </c>
      <c r="P385" s="22"/>
      <c r="Q385" s="31">
        <f t="shared" si="18"/>
        <v>0</v>
      </c>
      <c r="R385" s="32" t="str">
        <f t="shared" si="20"/>
        <v>P03.139</v>
      </c>
    </row>
    <row r="386" spans="1:18">
      <c r="A386" s="18"/>
      <c r="B386" s="18"/>
      <c r="C386" s="18"/>
      <c r="D386" s="17">
        <f t="shared" si="19"/>
        <v>908</v>
      </c>
      <c r="E386" s="19" t="s">
        <v>29</v>
      </c>
      <c r="F386" s="22" t="s">
        <v>981</v>
      </c>
      <c r="G386" s="21" t="s">
        <v>89</v>
      </c>
      <c r="H386" s="21" t="s">
        <v>976</v>
      </c>
      <c r="I386" s="21" t="s">
        <v>977</v>
      </c>
      <c r="J386" s="17" t="s">
        <v>517</v>
      </c>
      <c r="K386" s="17" t="s">
        <v>63</v>
      </c>
      <c r="L386" s="17" t="s">
        <v>27</v>
      </c>
      <c r="M386" s="19" t="s">
        <v>28</v>
      </c>
      <c r="N386" s="22"/>
      <c r="O386" s="22" t="s">
        <v>982</v>
      </c>
      <c r="P386" s="22"/>
      <c r="Q386" s="31">
        <f t="shared" si="18"/>
        <v>1</v>
      </c>
      <c r="R386" s="32" t="str">
        <f t="shared" si="20"/>
        <v>P03.140</v>
      </c>
    </row>
    <row r="387" spans="1:18">
      <c r="A387" s="18"/>
      <c r="B387" s="18"/>
      <c r="C387" s="18"/>
      <c r="D387" s="17">
        <f t="shared" si="19"/>
        <v>909</v>
      </c>
      <c r="E387" s="19" t="s">
        <v>29</v>
      </c>
      <c r="F387" s="22" t="s">
        <v>983</v>
      </c>
      <c r="G387" s="21" t="s">
        <v>23</v>
      </c>
      <c r="H387" s="21" t="s">
        <v>172</v>
      </c>
      <c r="I387" s="21" t="s">
        <v>30</v>
      </c>
      <c r="J387" s="17" t="s">
        <v>173</v>
      </c>
      <c r="K387" s="17" t="s">
        <v>63</v>
      </c>
      <c r="L387" s="17" t="s">
        <v>27</v>
      </c>
      <c r="M387" s="19" t="s">
        <v>28</v>
      </c>
      <c r="N387" s="22"/>
      <c r="O387" s="22" t="s">
        <v>984</v>
      </c>
      <c r="P387" s="22"/>
      <c r="Q387" s="31">
        <f t="shared" si="18"/>
        <v>1</v>
      </c>
      <c r="R387" s="32" t="str">
        <f t="shared" si="20"/>
        <v>P03.141</v>
      </c>
    </row>
    <row r="388" s="7" customFormat="1" ht="13.8" spans="1:18">
      <c r="A388" s="18"/>
      <c r="B388" s="18"/>
      <c r="C388" s="18"/>
      <c r="D388" s="17">
        <f t="shared" si="19"/>
        <v>910</v>
      </c>
      <c r="E388" s="19" t="s">
        <v>29</v>
      </c>
      <c r="F388" s="20"/>
      <c r="G388" s="21" t="s">
        <v>23</v>
      </c>
      <c r="H388" s="21" t="s">
        <v>23</v>
      </c>
      <c r="I388" s="21" t="s">
        <v>30</v>
      </c>
      <c r="J388" s="17" t="s">
        <v>25</v>
      </c>
      <c r="K388" s="17" t="s">
        <v>26</v>
      </c>
      <c r="L388" s="17" t="s">
        <v>32</v>
      </c>
      <c r="M388" s="19" t="s">
        <v>28</v>
      </c>
      <c r="N388" s="22"/>
      <c r="O388" s="22"/>
      <c r="P388" s="22"/>
      <c r="Q388" s="31">
        <f t="shared" si="18"/>
        <v>1</v>
      </c>
      <c r="R388" s="32" t="str">
        <f t="shared" si="20"/>
        <v>P03.142</v>
      </c>
    </row>
    <row r="389" ht="39.6" spans="1:18">
      <c r="A389" s="18"/>
      <c r="B389" s="18"/>
      <c r="C389" s="18"/>
      <c r="D389" s="17">
        <f t="shared" si="19"/>
        <v>911</v>
      </c>
      <c r="E389" s="19" t="s">
        <v>29</v>
      </c>
      <c r="F389" s="22" t="s">
        <v>985</v>
      </c>
      <c r="G389" s="21" t="s">
        <v>23</v>
      </c>
      <c r="H389" s="21" t="s">
        <v>23</v>
      </c>
      <c r="I389" s="21" t="s">
        <v>43</v>
      </c>
      <c r="J389" s="17" t="s">
        <v>25</v>
      </c>
      <c r="K389" s="17" t="s">
        <v>69</v>
      </c>
      <c r="L389" s="17" t="s">
        <v>27</v>
      </c>
      <c r="M389" s="19" t="s">
        <v>28</v>
      </c>
      <c r="N389" s="22"/>
      <c r="O389" s="22" t="s">
        <v>986</v>
      </c>
      <c r="P389" s="25" t="s">
        <v>987</v>
      </c>
      <c r="Q389" s="31">
        <f t="shared" si="18"/>
        <v>0</v>
      </c>
      <c r="R389" s="32" t="str">
        <f t="shared" si="20"/>
        <v>P03.143</v>
      </c>
    </row>
    <row r="390" spans="1:18">
      <c r="A390" s="18"/>
      <c r="B390" s="18"/>
      <c r="C390" s="18"/>
      <c r="D390" s="17">
        <f t="shared" si="19"/>
        <v>912</v>
      </c>
      <c r="E390" s="19" t="s">
        <v>29</v>
      </c>
      <c r="F390" s="22" t="s">
        <v>988</v>
      </c>
      <c r="G390" s="21" t="s">
        <v>989</v>
      </c>
      <c r="H390" s="21" t="s">
        <v>23</v>
      </c>
      <c r="I390" s="21" t="s">
        <v>30</v>
      </c>
      <c r="J390" s="17" t="s">
        <v>722</v>
      </c>
      <c r="K390" s="17" t="s">
        <v>63</v>
      </c>
      <c r="L390" s="17" t="s">
        <v>27</v>
      </c>
      <c r="M390" s="19" t="s">
        <v>28</v>
      </c>
      <c r="N390" s="22"/>
      <c r="O390" s="22" t="s">
        <v>990</v>
      </c>
      <c r="P390" s="22"/>
      <c r="Q390" s="31">
        <f t="shared" ref="Q390:Q453" si="21">IF(OR(F390="",LEFT(TRIM(F390),3)=E390),1,0)</f>
        <v>1</v>
      </c>
      <c r="R390" s="32" t="str">
        <f t="shared" si="20"/>
        <v>P03.144</v>
      </c>
    </row>
    <row r="391" spans="1:18">
      <c r="A391" s="18"/>
      <c r="B391" s="18"/>
      <c r="C391" s="18"/>
      <c r="D391" s="17">
        <f t="shared" si="19"/>
        <v>913</v>
      </c>
      <c r="E391" s="19" t="s">
        <v>29</v>
      </c>
      <c r="F391" s="22" t="s">
        <v>991</v>
      </c>
      <c r="G391" s="21" t="s">
        <v>989</v>
      </c>
      <c r="H391" s="21" t="s">
        <v>23</v>
      </c>
      <c r="I391" s="21" t="s">
        <v>30</v>
      </c>
      <c r="J391" s="17" t="s">
        <v>722</v>
      </c>
      <c r="K391" s="17" t="s">
        <v>63</v>
      </c>
      <c r="L391" s="17" t="s">
        <v>27</v>
      </c>
      <c r="M391" s="19" t="s">
        <v>28</v>
      </c>
      <c r="N391" s="22"/>
      <c r="O391" s="22" t="s">
        <v>992</v>
      </c>
      <c r="P391" s="22"/>
      <c r="Q391" s="31">
        <f t="shared" si="21"/>
        <v>1</v>
      </c>
      <c r="R391" s="32" t="str">
        <f t="shared" si="20"/>
        <v>P03.145</v>
      </c>
    </row>
    <row r="392" ht="39.6" spans="1:18">
      <c r="A392" s="18"/>
      <c r="B392" s="18"/>
      <c r="C392" s="18"/>
      <c r="D392" s="17">
        <f t="shared" si="19"/>
        <v>914</v>
      </c>
      <c r="E392" s="19" t="s">
        <v>29</v>
      </c>
      <c r="F392" s="22" t="s">
        <v>993</v>
      </c>
      <c r="G392" s="21" t="s">
        <v>23</v>
      </c>
      <c r="H392" s="21" t="s">
        <v>23</v>
      </c>
      <c r="I392" s="21" t="s">
        <v>43</v>
      </c>
      <c r="J392" s="17" t="s">
        <v>25</v>
      </c>
      <c r="K392" s="17" t="s">
        <v>26</v>
      </c>
      <c r="L392" s="17" t="s">
        <v>32</v>
      </c>
      <c r="M392" s="19" t="s">
        <v>28</v>
      </c>
      <c r="N392" s="22"/>
      <c r="O392" s="22" t="s">
        <v>994</v>
      </c>
      <c r="P392" s="25" t="s">
        <v>995</v>
      </c>
      <c r="Q392" s="31">
        <f t="shared" si="21"/>
        <v>0</v>
      </c>
      <c r="R392" s="32" t="str">
        <f t="shared" si="20"/>
        <v>P03.146</v>
      </c>
    </row>
    <row r="393" spans="1:18">
      <c r="A393" s="18"/>
      <c r="B393" s="18"/>
      <c r="C393" s="18"/>
      <c r="D393" s="17">
        <f t="shared" si="19"/>
        <v>915</v>
      </c>
      <c r="E393" s="19" t="s">
        <v>29</v>
      </c>
      <c r="F393" s="20"/>
      <c r="G393" s="21" t="s">
        <v>23</v>
      </c>
      <c r="H393" s="21" t="s">
        <v>23</v>
      </c>
      <c r="I393" s="21" t="s">
        <v>30</v>
      </c>
      <c r="J393" s="17" t="s">
        <v>25</v>
      </c>
      <c r="K393" s="17" t="s">
        <v>26</v>
      </c>
      <c r="L393" s="17" t="s">
        <v>32</v>
      </c>
      <c r="M393" s="19" t="s">
        <v>28</v>
      </c>
      <c r="N393" s="22"/>
      <c r="O393" s="22"/>
      <c r="P393" s="22"/>
      <c r="Q393" s="31">
        <f t="shared" si="21"/>
        <v>1</v>
      </c>
      <c r="R393" s="32" t="str">
        <f t="shared" si="20"/>
        <v>P03.147</v>
      </c>
    </row>
    <row r="394" spans="1:18">
      <c r="A394" s="18"/>
      <c r="B394" s="18"/>
      <c r="C394" s="18"/>
      <c r="D394" s="17">
        <f t="shared" si="19"/>
        <v>916</v>
      </c>
      <c r="E394" s="19" t="s">
        <v>29</v>
      </c>
      <c r="F394" s="22" t="s">
        <v>996</v>
      </c>
      <c r="G394" s="21" t="s">
        <v>23</v>
      </c>
      <c r="H394" s="21" t="s">
        <v>23</v>
      </c>
      <c r="I394" s="21" t="s">
        <v>30</v>
      </c>
      <c r="J394" s="17" t="s">
        <v>689</v>
      </c>
      <c r="K394" s="17" t="s">
        <v>63</v>
      </c>
      <c r="L394" s="17" t="s">
        <v>27</v>
      </c>
      <c r="M394" s="19" t="s">
        <v>28</v>
      </c>
      <c r="N394" s="22"/>
      <c r="O394" s="22"/>
      <c r="P394" s="22"/>
      <c r="Q394" s="31">
        <f t="shared" si="21"/>
        <v>1</v>
      </c>
      <c r="R394" s="32" t="str">
        <f t="shared" si="20"/>
        <v>P03.148</v>
      </c>
    </row>
    <row r="395" spans="1:18">
      <c r="A395" s="18"/>
      <c r="B395" s="18"/>
      <c r="C395" s="18"/>
      <c r="D395" s="17">
        <f t="shared" si="19"/>
        <v>917</v>
      </c>
      <c r="E395" s="19" t="s">
        <v>29</v>
      </c>
      <c r="F395" s="22" t="s">
        <v>997</v>
      </c>
      <c r="G395" s="21" t="s">
        <v>23</v>
      </c>
      <c r="H395" s="21" t="s">
        <v>23</v>
      </c>
      <c r="I395" s="21" t="s">
        <v>30</v>
      </c>
      <c r="J395" s="17" t="s">
        <v>689</v>
      </c>
      <c r="K395" s="17" t="s">
        <v>63</v>
      </c>
      <c r="L395" s="17" t="s">
        <v>27</v>
      </c>
      <c r="M395" s="19" t="s">
        <v>28</v>
      </c>
      <c r="N395" s="22"/>
      <c r="O395" s="22"/>
      <c r="P395" s="22"/>
      <c r="Q395" s="31">
        <f t="shared" si="21"/>
        <v>1</v>
      </c>
      <c r="R395" s="32" t="str">
        <f t="shared" si="20"/>
        <v>P03.149</v>
      </c>
    </row>
    <row r="396" spans="1:18">
      <c r="A396" s="18"/>
      <c r="B396" s="18"/>
      <c r="C396" s="18"/>
      <c r="D396" s="17">
        <f t="shared" si="19"/>
        <v>918</v>
      </c>
      <c r="E396" s="19" t="s">
        <v>29</v>
      </c>
      <c r="F396" s="22" t="s">
        <v>998</v>
      </c>
      <c r="G396" s="21" t="s">
        <v>23</v>
      </c>
      <c r="H396" s="21" t="s">
        <v>23</v>
      </c>
      <c r="I396" s="21" t="s">
        <v>30</v>
      </c>
      <c r="J396" s="17" t="s">
        <v>689</v>
      </c>
      <c r="K396" s="17" t="s">
        <v>63</v>
      </c>
      <c r="L396" s="17" t="s">
        <v>27</v>
      </c>
      <c r="M396" s="19" t="s">
        <v>28</v>
      </c>
      <c r="N396" s="22"/>
      <c r="O396" s="22"/>
      <c r="P396" s="22"/>
      <c r="Q396" s="31">
        <f t="shared" si="21"/>
        <v>1</v>
      </c>
      <c r="R396" s="32" t="str">
        <f t="shared" si="20"/>
        <v>P03.150</v>
      </c>
    </row>
    <row r="397" spans="1:18">
      <c r="A397" s="18"/>
      <c r="B397" s="18"/>
      <c r="C397" s="18"/>
      <c r="D397" s="17">
        <f t="shared" si="19"/>
        <v>919</v>
      </c>
      <c r="E397" s="19" t="s">
        <v>29</v>
      </c>
      <c r="F397" s="20"/>
      <c r="G397" s="21" t="s">
        <v>23</v>
      </c>
      <c r="H397" s="21" t="s">
        <v>23</v>
      </c>
      <c r="I397" s="21" t="s">
        <v>30</v>
      </c>
      <c r="J397" s="17" t="s">
        <v>25</v>
      </c>
      <c r="K397" s="17" t="s">
        <v>26</v>
      </c>
      <c r="L397" s="17" t="s">
        <v>32</v>
      </c>
      <c r="M397" s="19" t="s">
        <v>28</v>
      </c>
      <c r="N397" s="22"/>
      <c r="O397" s="22"/>
      <c r="P397" s="22"/>
      <c r="Q397" s="31">
        <f t="shared" si="21"/>
        <v>1</v>
      </c>
      <c r="R397" s="32" t="str">
        <f t="shared" si="20"/>
        <v>P03.151</v>
      </c>
    </row>
    <row r="398" spans="1:18">
      <c r="A398" s="18"/>
      <c r="B398" s="18"/>
      <c r="C398" s="18"/>
      <c r="D398" s="17">
        <f t="shared" si="19"/>
        <v>920</v>
      </c>
      <c r="E398" s="19" t="s">
        <v>29</v>
      </c>
      <c r="F398" s="22" t="s">
        <v>999</v>
      </c>
      <c r="G398" s="21" t="s">
        <v>183</v>
      </c>
      <c r="H398" s="21" t="s">
        <v>40</v>
      </c>
      <c r="I398" s="21" t="s">
        <v>30</v>
      </c>
      <c r="J398" s="17" t="s">
        <v>173</v>
      </c>
      <c r="K398" s="17" t="s">
        <v>63</v>
      </c>
      <c r="L398" s="17" t="s">
        <v>27</v>
      </c>
      <c r="M398" s="19" t="s">
        <v>28</v>
      </c>
      <c r="N398" s="22"/>
      <c r="O398" s="22" t="s">
        <v>1000</v>
      </c>
      <c r="P398" s="22" t="s">
        <v>1001</v>
      </c>
      <c r="Q398" s="31">
        <f t="shared" si="21"/>
        <v>1</v>
      </c>
      <c r="R398" s="32" t="str">
        <f t="shared" si="20"/>
        <v>P03.152</v>
      </c>
    </row>
    <row r="399" spans="1:18">
      <c r="A399" s="18"/>
      <c r="B399" s="18"/>
      <c r="C399" s="18"/>
      <c r="D399" s="17">
        <f t="shared" si="19"/>
        <v>921</v>
      </c>
      <c r="E399" s="19" t="s">
        <v>29</v>
      </c>
      <c r="F399" s="22" t="s">
        <v>1002</v>
      </c>
      <c r="G399" s="21" t="s">
        <v>183</v>
      </c>
      <c r="H399" s="21" t="s">
        <v>40</v>
      </c>
      <c r="I399" s="21" t="s">
        <v>30</v>
      </c>
      <c r="J399" s="17" t="s">
        <v>173</v>
      </c>
      <c r="K399" s="17" t="s">
        <v>63</v>
      </c>
      <c r="L399" s="17" t="s">
        <v>27</v>
      </c>
      <c r="M399" s="19" t="s">
        <v>28</v>
      </c>
      <c r="N399" s="22"/>
      <c r="O399" s="22" t="s">
        <v>1003</v>
      </c>
      <c r="P399" s="22" t="s">
        <v>1004</v>
      </c>
      <c r="Q399" s="31">
        <f t="shared" si="21"/>
        <v>1</v>
      </c>
      <c r="R399" s="32" t="str">
        <f t="shared" si="20"/>
        <v>P03.153</v>
      </c>
    </row>
    <row r="400" spans="1:18">
      <c r="A400" s="18"/>
      <c r="B400" s="18"/>
      <c r="C400" s="18"/>
      <c r="D400" s="17">
        <f t="shared" si="19"/>
        <v>922</v>
      </c>
      <c r="E400" s="19" t="s">
        <v>29</v>
      </c>
      <c r="F400" s="22" t="s">
        <v>1005</v>
      </c>
      <c r="G400" s="21" t="s">
        <v>183</v>
      </c>
      <c r="H400" s="21" t="s">
        <v>40</v>
      </c>
      <c r="I400" s="21" t="s">
        <v>30</v>
      </c>
      <c r="J400" s="17" t="s">
        <v>173</v>
      </c>
      <c r="K400" s="17" t="s">
        <v>63</v>
      </c>
      <c r="L400" s="17" t="s">
        <v>27</v>
      </c>
      <c r="M400" s="19" t="s">
        <v>28</v>
      </c>
      <c r="N400" s="22"/>
      <c r="O400" s="22" t="s">
        <v>1006</v>
      </c>
      <c r="P400" s="22" t="s">
        <v>1001</v>
      </c>
      <c r="Q400" s="31">
        <f t="shared" si="21"/>
        <v>1</v>
      </c>
      <c r="R400" s="32" t="str">
        <f t="shared" si="20"/>
        <v>P03.154</v>
      </c>
    </row>
    <row r="401" spans="1:18">
      <c r="A401" s="18"/>
      <c r="B401" s="18"/>
      <c r="C401" s="18"/>
      <c r="D401" s="17">
        <f t="shared" si="19"/>
        <v>923</v>
      </c>
      <c r="E401" s="19" t="s">
        <v>29</v>
      </c>
      <c r="F401" s="22" t="s">
        <v>1007</v>
      </c>
      <c r="G401" s="21" t="s">
        <v>183</v>
      </c>
      <c r="H401" s="21" t="s">
        <v>40</v>
      </c>
      <c r="I401" s="21" t="s">
        <v>30</v>
      </c>
      <c r="J401" s="17" t="s">
        <v>173</v>
      </c>
      <c r="K401" s="17" t="s">
        <v>63</v>
      </c>
      <c r="L401" s="17" t="s">
        <v>27</v>
      </c>
      <c r="M401" s="19" t="s">
        <v>28</v>
      </c>
      <c r="N401" s="22"/>
      <c r="O401" s="22" t="s">
        <v>1008</v>
      </c>
      <c r="P401" s="22" t="s">
        <v>1004</v>
      </c>
      <c r="Q401" s="31">
        <f t="shared" si="21"/>
        <v>1</v>
      </c>
      <c r="R401" s="32" t="str">
        <f t="shared" si="20"/>
        <v>P03.155</v>
      </c>
    </row>
    <row r="402" spans="1:18">
      <c r="A402" s="18"/>
      <c r="B402" s="18"/>
      <c r="C402" s="18"/>
      <c r="D402" s="17">
        <f t="shared" si="19"/>
        <v>924</v>
      </c>
      <c r="E402" s="19" t="s">
        <v>29</v>
      </c>
      <c r="F402" s="20"/>
      <c r="G402" s="21" t="s">
        <v>23</v>
      </c>
      <c r="H402" s="21" t="s">
        <v>23</v>
      </c>
      <c r="I402" s="21" t="s">
        <v>30</v>
      </c>
      <c r="J402" s="17" t="s">
        <v>25</v>
      </c>
      <c r="K402" s="17" t="s">
        <v>26</v>
      </c>
      <c r="L402" s="17" t="s">
        <v>32</v>
      </c>
      <c r="M402" s="19" t="s">
        <v>28</v>
      </c>
      <c r="N402" s="22"/>
      <c r="O402" s="22"/>
      <c r="P402" s="22"/>
      <c r="Q402" s="31">
        <f t="shared" si="21"/>
        <v>1</v>
      </c>
      <c r="R402" s="32" t="str">
        <f t="shared" si="20"/>
        <v>P03.156</v>
      </c>
    </row>
    <row r="403" spans="1:18">
      <c r="A403" s="18"/>
      <c r="B403" s="18"/>
      <c r="C403" s="18"/>
      <c r="D403" s="17">
        <f t="shared" si="19"/>
        <v>925</v>
      </c>
      <c r="E403" s="19" t="s">
        <v>29</v>
      </c>
      <c r="F403" s="20"/>
      <c r="G403" s="21" t="s">
        <v>23</v>
      </c>
      <c r="H403" s="21" t="s">
        <v>23</v>
      </c>
      <c r="I403" s="21" t="s">
        <v>30</v>
      </c>
      <c r="J403" s="17" t="s">
        <v>25</v>
      </c>
      <c r="K403" s="17" t="s">
        <v>26</v>
      </c>
      <c r="L403" s="17" t="s">
        <v>32</v>
      </c>
      <c r="M403" s="19" t="s">
        <v>28</v>
      </c>
      <c r="N403" s="22"/>
      <c r="O403" s="22"/>
      <c r="P403" s="22"/>
      <c r="Q403" s="31">
        <f t="shared" si="21"/>
        <v>1</v>
      </c>
      <c r="R403" s="32" t="str">
        <f t="shared" si="20"/>
        <v>P03.157</v>
      </c>
    </row>
    <row r="404" spans="1:18">
      <c r="A404" s="18"/>
      <c r="B404" s="18"/>
      <c r="C404" s="18"/>
      <c r="D404" s="17">
        <f t="shared" si="19"/>
        <v>926</v>
      </c>
      <c r="E404" s="19" t="s">
        <v>29</v>
      </c>
      <c r="F404" s="20" t="s">
        <v>1009</v>
      </c>
      <c r="G404" s="21" t="s">
        <v>23</v>
      </c>
      <c r="H404" s="21" t="s">
        <v>23</v>
      </c>
      <c r="I404" s="21" t="s">
        <v>920</v>
      </c>
      <c r="J404" s="17" t="s">
        <v>25</v>
      </c>
      <c r="K404" s="17" t="s">
        <v>63</v>
      </c>
      <c r="L404" s="17" t="s">
        <v>27</v>
      </c>
      <c r="M404" s="19" t="s">
        <v>28</v>
      </c>
      <c r="N404" s="17"/>
      <c r="O404" s="22" t="s">
        <v>1010</v>
      </c>
      <c r="P404" s="22"/>
      <c r="Q404" s="31">
        <f t="shared" si="21"/>
        <v>1</v>
      </c>
      <c r="R404" s="32" t="str">
        <f t="shared" si="20"/>
        <v>P03.158</v>
      </c>
    </row>
    <row r="405" spans="1:18">
      <c r="A405" s="18"/>
      <c r="B405" s="18"/>
      <c r="C405" s="18"/>
      <c r="D405" s="17">
        <f t="shared" si="19"/>
        <v>927</v>
      </c>
      <c r="E405" s="19" t="s">
        <v>92</v>
      </c>
      <c r="F405" s="22" t="s">
        <v>1011</v>
      </c>
      <c r="G405" s="21" t="s">
        <v>23</v>
      </c>
      <c r="H405" s="21" t="s">
        <v>976</v>
      </c>
      <c r="I405" s="21" t="s">
        <v>977</v>
      </c>
      <c r="J405" s="17" t="s">
        <v>517</v>
      </c>
      <c r="K405" s="17" t="s">
        <v>63</v>
      </c>
      <c r="L405" s="17" t="s">
        <v>27</v>
      </c>
      <c r="M405" s="19" t="s">
        <v>28</v>
      </c>
      <c r="N405" s="22"/>
      <c r="O405" s="22" t="s">
        <v>1012</v>
      </c>
      <c r="P405" s="22"/>
      <c r="Q405" s="31">
        <f t="shared" si="21"/>
        <v>1</v>
      </c>
      <c r="R405" s="32" t="str">
        <f t="shared" si="20"/>
        <v>P03.159</v>
      </c>
    </row>
    <row r="406" spans="1:18">
      <c r="A406" s="18"/>
      <c r="B406" s="18"/>
      <c r="C406" s="18"/>
      <c r="D406" s="17">
        <f t="shared" si="19"/>
        <v>928</v>
      </c>
      <c r="E406" s="19" t="s">
        <v>92</v>
      </c>
      <c r="F406" s="22" t="s">
        <v>1013</v>
      </c>
      <c r="G406" s="21" t="s">
        <v>23</v>
      </c>
      <c r="H406" s="21" t="s">
        <v>976</v>
      </c>
      <c r="I406" s="21" t="s">
        <v>977</v>
      </c>
      <c r="J406" s="17" t="s">
        <v>517</v>
      </c>
      <c r="K406" s="17" t="s">
        <v>63</v>
      </c>
      <c r="L406" s="17" t="s">
        <v>27</v>
      </c>
      <c r="M406" s="19" t="s">
        <v>28</v>
      </c>
      <c r="N406" s="22"/>
      <c r="O406" s="22" t="s">
        <v>1014</v>
      </c>
      <c r="P406" s="22"/>
      <c r="Q406" s="31">
        <f t="shared" si="21"/>
        <v>1</v>
      </c>
      <c r="R406" s="32" t="str">
        <f t="shared" si="20"/>
        <v>P03.160</v>
      </c>
    </row>
    <row r="407" spans="1:18">
      <c r="A407" s="18"/>
      <c r="B407" s="18"/>
      <c r="C407" s="18"/>
      <c r="D407" s="17">
        <f t="shared" si="19"/>
        <v>929</v>
      </c>
      <c r="E407" s="19" t="s">
        <v>92</v>
      </c>
      <c r="F407" s="22" t="s">
        <v>1015</v>
      </c>
      <c r="G407" s="21" t="s">
        <v>23</v>
      </c>
      <c r="H407" s="21" t="s">
        <v>976</v>
      </c>
      <c r="I407" s="21" t="s">
        <v>977</v>
      </c>
      <c r="J407" s="17" t="s">
        <v>517</v>
      </c>
      <c r="K407" s="17" t="s">
        <v>63</v>
      </c>
      <c r="L407" s="17" t="s">
        <v>27</v>
      </c>
      <c r="M407" s="19" t="s">
        <v>28</v>
      </c>
      <c r="N407" s="22"/>
      <c r="O407" s="22" t="s">
        <v>1016</v>
      </c>
      <c r="P407" s="22"/>
      <c r="Q407" s="31">
        <f t="shared" si="21"/>
        <v>1</v>
      </c>
      <c r="R407" s="32" t="str">
        <f t="shared" si="20"/>
        <v>P03.161</v>
      </c>
    </row>
    <row r="408" spans="1:18">
      <c r="A408" s="18"/>
      <c r="B408" s="18"/>
      <c r="C408" s="18"/>
      <c r="D408" s="17">
        <f t="shared" si="19"/>
        <v>930</v>
      </c>
      <c r="E408" s="19" t="s">
        <v>92</v>
      </c>
      <c r="F408" s="22" t="s">
        <v>1017</v>
      </c>
      <c r="G408" s="21" t="s">
        <v>23</v>
      </c>
      <c r="H408" s="21" t="s">
        <v>976</v>
      </c>
      <c r="I408" s="21" t="s">
        <v>977</v>
      </c>
      <c r="J408" s="17" t="s">
        <v>517</v>
      </c>
      <c r="K408" s="17" t="s">
        <v>63</v>
      </c>
      <c r="L408" s="17" t="s">
        <v>27</v>
      </c>
      <c r="M408" s="19" t="s">
        <v>28</v>
      </c>
      <c r="N408" s="22"/>
      <c r="O408" s="22" t="s">
        <v>1018</v>
      </c>
      <c r="P408" s="22"/>
      <c r="Q408" s="31">
        <f t="shared" si="21"/>
        <v>1</v>
      </c>
      <c r="R408" s="32" t="str">
        <f t="shared" si="20"/>
        <v>P03.162</v>
      </c>
    </row>
    <row r="409" spans="1:18">
      <c r="A409" s="18"/>
      <c r="B409" s="18"/>
      <c r="C409" s="18"/>
      <c r="D409" s="17">
        <f t="shared" si="19"/>
        <v>931</v>
      </c>
      <c r="E409" s="19" t="s">
        <v>92</v>
      </c>
      <c r="F409" s="22" t="s">
        <v>1019</v>
      </c>
      <c r="G409" s="21" t="s">
        <v>23</v>
      </c>
      <c r="H409" s="21" t="s">
        <v>976</v>
      </c>
      <c r="I409" s="21" t="s">
        <v>977</v>
      </c>
      <c r="J409" s="17" t="s">
        <v>517</v>
      </c>
      <c r="K409" s="17" t="s">
        <v>63</v>
      </c>
      <c r="L409" s="17" t="s">
        <v>27</v>
      </c>
      <c r="M409" s="19" t="s">
        <v>28</v>
      </c>
      <c r="N409" s="22"/>
      <c r="O409" s="22" t="s">
        <v>1020</v>
      </c>
      <c r="P409" s="22"/>
      <c r="Q409" s="31">
        <f t="shared" si="21"/>
        <v>1</v>
      </c>
      <c r="R409" s="32" t="str">
        <f t="shared" si="20"/>
        <v>P03.163</v>
      </c>
    </row>
    <row r="410" spans="1:18">
      <c r="A410" s="18"/>
      <c r="B410" s="18"/>
      <c r="C410" s="18"/>
      <c r="D410" s="17">
        <f t="shared" ref="D410:D473" si="22">INDEX(D:D,ROW()-1)+_xlfn.IFS(INDEX(E:E,ROW()-1)="u16",1,INDEX(E:E,ROW()-1)="s16",1,INDEX(E:E,ROW()-1)="s32",2,INDEX(E:E,ROW()-1)="s64",4,INDEX(E:E,ROW()-1)="u16",1,INDEX(E:E,ROW()-1)="u32",2,INDEX(E:E,ROW()-1)="u64",4,INDEX(E:E,ROW()-1)="f32",2,INDEX(E:E,ROW()-1)="f64",4)</f>
        <v>932</v>
      </c>
      <c r="E410" s="19" t="s">
        <v>92</v>
      </c>
      <c r="F410" s="22" t="s">
        <v>1021</v>
      </c>
      <c r="G410" s="21" t="s">
        <v>23</v>
      </c>
      <c r="H410" s="21" t="s">
        <v>976</v>
      </c>
      <c r="I410" s="21" t="s">
        <v>977</v>
      </c>
      <c r="J410" s="17" t="s">
        <v>517</v>
      </c>
      <c r="K410" s="17" t="s">
        <v>63</v>
      </c>
      <c r="L410" s="17" t="s">
        <v>27</v>
      </c>
      <c r="M410" s="19" t="s">
        <v>28</v>
      </c>
      <c r="N410" s="22"/>
      <c r="O410" s="22" t="s">
        <v>1022</v>
      </c>
      <c r="P410" s="22"/>
      <c r="Q410" s="31">
        <f t="shared" si="21"/>
        <v>1</v>
      </c>
      <c r="R410" s="32" t="str">
        <f t="shared" si="20"/>
        <v>P03.164</v>
      </c>
    </row>
    <row r="411" spans="1:18">
      <c r="A411" s="18"/>
      <c r="B411" s="18"/>
      <c r="C411" s="18"/>
      <c r="D411" s="17">
        <f t="shared" si="22"/>
        <v>933</v>
      </c>
      <c r="E411" s="19" t="s">
        <v>92</v>
      </c>
      <c r="F411" s="22" t="s">
        <v>1023</v>
      </c>
      <c r="G411" s="21" t="s">
        <v>23</v>
      </c>
      <c r="H411" s="21" t="s">
        <v>976</v>
      </c>
      <c r="I411" s="21" t="s">
        <v>977</v>
      </c>
      <c r="J411" s="17" t="s">
        <v>517</v>
      </c>
      <c r="K411" s="17" t="s">
        <v>63</v>
      </c>
      <c r="L411" s="17" t="s">
        <v>27</v>
      </c>
      <c r="M411" s="19" t="s">
        <v>28</v>
      </c>
      <c r="N411" s="22"/>
      <c r="O411" s="22" t="s">
        <v>1024</v>
      </c>
      <c r="P411" s="22"/>
      <c r="Q411" s="31">
        <f t="shared" si="21"/>
        <v>1</v>
      </c>
      <c r="R411" s="32" t="str">
        <f t="shared" si="20"/>
        <v>P03.165</v>
      </c>
    </row>
    <row r="412" spans="1:18">
      <c r="A412" s="18"/>
      <c r="B412" s="18"/>
      <c r="C412" s="18"/>
      <c r="D412" s="17">
        <f t="shared" si="22"/>
        <v>934</v>
      </c>
      <c r="E412" s="19" t="s">
        <v>92</v>
      </c>
      <c r="F412" s="22" t="s">
        <v>1025</v>
      </c>
      <c r="G412" s="21" t="s">
        <v>23</v>
      </c>
      <c r="H412" s="21" t="s">
        <v>976</v>
      </c>
      <c r="I412" s="21" t="s">
        <v>977</v>
      </c>
      <c r="J412" s="17" t="s">
        <v>517</v>
      </c>
      <c r="K412" s="17" t="s">
        <v>63</v>
      </c>
      <c r="L412" s="17" t="s">
        <v>27</v>
      </c>
      <c r="M412" s="19" t="s">
        <v>28</v>
      </c>
      <c r="N412" s="22"/>
      <c r="O412" s="22" t="s">
        <v>1026</v>
      </c>
      <c r="P412" s="22"/>
      <c r="Q412" s="31">
        <f t="shared" si="21"/>
        <v>1</v>
      </c>
      <c r="R412" s="32" t="str">
        <f t="shared" si="20"/>
        <v>P03.166</v>
      </c>
    </row>
    <row r="413" spans="1:18">
      <c r="A413" s="18"/>
      <c r="B413" s="18"/>
      <c r="C413" s="18"/>
      <c r="D413" s="17">
        <f t="shared" si="22"/>
        <v>935</v>
      </c>
      <c r="E413" s="19" t="s">
        <v>92</v>
      </c>
      <c r="F413" s="22" t="s">
        <v>1027</v>
      </c>
      <c r="G413" s="21" t="s">
        <v>23</v>
      </c>
      <c r="H413" s="21" t="s">
        <v>976</v>
      </c>
      <c r="I413" s="21" t="s">
        <v>977</v>
      </c>
      <c r="J413" s="17" t="s">
        <v>517</v>
      </c>
      <c r="K413" s="17" t="s">
        <v>63</v>
      </c>
      <c r="L413" s="17" t="s">
        <v>27</v>
      </c>
      <c r="M413" s="19" t="s">
        <v>28</v>
      </c>
      <c r="N413" s="22"/>
      <c r="O413" s="22" t="s">
        <v>1028</v>
      </c>
      <c r="P413" s="22"/>
      <c r="Q413" s="31">
        <f t="shared" si="21"/>
        <v>1</v>
      </c>
      <c r="R413" s="32" t="str">
        <f t="shared" si="20"/>
        <v>P03.167</v>
      </c>
    </row>
    <row r="414" spans="1:18">
      <c r="A414" s="18"/>
      <c r="B414" s="18"/>
      <c r="C414" s="18"/>
      <c r="D414" s="17">
        <f t="shared" si="22"/>
        <v>936</v>
      </c>
      <c r="E414" s="19" t="s">
        <v>92</v>
      </c>
      <c r="F414" s="22" t="s">
        <v>1029</v>
      </c>
      <c r="G414" s="21" t="s">
        <v>23</v>
      </c>
      <c r="H414" s="21" t="s">
        <v>976</v>
      </c>
      <c r="I414" s="21" t="s">
        <v>977</v>
      </c>
      <c r="J414" s="17" t="s">
        <v>517</v>
      </c>
      <c r="K414" s="17" t="s">
        <v>63</v>
      </c>
      <c r="L414" s="17" t="s">
        <v>27</v>
      </c>
      <c r="M414" s="19" t="s">
        <v>28</v>
      </c>
      <c r="N414" s="22"/>
      <c r="O414" s="22" t="s">
        <v>1030</v>
      </c>
      <c r="P414" s="22"/>
      <c r="Q414" s="31">
        <f t="shared" si="21"/>
        <v>1</v>
      </c>
      <c r="R414" s="32" t="str">
        <f t="shared" si="20"/>
        <v>P03.168</v>
      </c>
    </row>
    <row r="415" spans="1:18">
      <c r="A415" s="18"/>
      <c r="B415" s="18"/>
      <c r="C415" s="18"/>
      <c r="D415" s="17">
        <f t="shared" si="22"/>
        <v>937</v>
      </c>
      <c r="E415" s="19" t="s">
        <v>92</v>
      </c>
      <c r="F415" s="22" t="s">
        <v>1031</v>
      </c>
      <c r="G415" s="21" t="s">
        <v>23</v>
      </c>
      <c r="H415" s="21" t="s">
        <v>976</v>
      </c>
      <c r="I415" s="21" t="s">
        <v>977</v>
      </c>
      <c r="J415" s="17" t="s">
        <v>517</v>
      </c>
      <c r="K415" s="17" t="s">
        <v>63</v>
      </c>
      <c r="L415" s="17" t="s">
        <v>27</v>
      </c>
      <c r="M415" s="19" t="s">
        <v>28</v>
      </c>
      <c r="N415" s="22"/>
      <c r="O415" s="22" t="s">
        <v>1032</v>
      </c>
      <c r="P415" s="22"/>
      <c r="Q415" s="31">
        <f t="shared" si="21"/>
        <v>1</v>
      </c>
      <c r="R415" s="32" t="str">
        <f t="shared" si="20"/>
        <v>P03.169</v>
      </c>
    </row>
    <row r="416" spans="1:18">
      <c r="A416" s="18"/>
      <c r="B416" s="18"/>
      <c r="C416" s="18"/>
      <c r="D416" s="17">
        <f t="shared" si="22"/>
        <v>938</v>
      </c>
      <c r="E416" s="19" t="s">
        <v>92</v>
      </c>
      <c r="F416" s="22" t="s">
        <v>1033</v>
      </c>
      <c r="G416" s="21" t="s">
        <v>23</v>
      </c>
      <c r="H416" s="21" t="s">
        <v>976</v>
      </c>
      <c r="I416" s="21" t="s">
        <v>977</v>
      </c>
      <c r="J416" s="17" t="s">
        <v>517</v>
      </c>
      <c r="K416" s="17" t="s">
        <v>63</v>
      </c>
      <c r="L416" s="17" t="s">
        <v>27</v>
      </c>
      <c r="M416" s="19" t="s">
        <v>28</v>
      </c>
      <c r="N416" s="22"/>
      <c r="O416" s="22" t="s">
        <v>1034</v>
      </c>
      <c r="P416" s="22"/>
      <c r="Q416" s="31">
        <f t="shared" si="21"/>
        <v>1</v>
      </c>
      <c r="R416" s="32" t="str">
        <f t="shared" si="20"/>
        <v>P03.170</v>
      </c>
    </row>
    <row r="417" spans="1:18">
      <c r="A417" s="18"/>
      <c r="B417" s="18"/>
      <c r="C417" s="18"/>
      <c r="D417" s="17">
        <f t="shared" si="22"/>
        <v>939</v>
      </c>
      <c r="E417" s="19" t="s">
        <v>92</v>
      </c>
      <c r="F417" s="22" t="s">
        <v>1035</v>
      </c>
      <c r="G417" s="21" t="s">
        <v>23</v>
      </c>
      <c r="H417" s="21" t="s">
        <v>976</v>
      </c>
      <c r="I417" s="21" t="s">
        <v>977</v>
      </c>
      <c r="J417" s="17" t="s">
        <v>517</v>
      </c>
      <c r="K417" s="17" t="s">
        <v>63</v>
      </c>
      <c r="L417" s="17" t="s">
        <v>27</v>
      </c>
      <c r="M417" s="19" t="s">
        <v>28</v>
      </c>
      <c r="N417" s="22"/>
      <c r="O417" s="22" t="s">
        <v>1036</v>
      </c>
      <c r="P417" s="22"/>
      <c r="Q417" s="31">
        <f t="shared" si="21"/>
        <v>1</v>
      </c>
      <c r="R417" s="32" t="str">
        <f t="shared" si="20"/>
        <v>P03.171</v>
      </c>
    </row>
    <row r="418" spans="1:18">
      <c r="A418" s="18"/>
      <c r="B418" s="18"/>
      <c r="C418" s="18"/>
      <c r="D418" s="17">
        <f t="shared" si="22"/>
        <v>940</v>
      </c>
      <c r="E418" s="19" t="s">
        <v>92</v>
      </c>
      <c r="F418" s="22" t="s">
        <v>1037</v>
      </c>
      <c r="G418" s="21" t="s">
        <v>23</v>
      </c>
      <c r="H418" s="21" t="s">
        <v>976</v>
      </c>
      <c r="I418" s="21" t="s">
        <v>977</v>
      </c>
      <c r="J418" s="17" t="s">
        <v>517</v>
      </c>
      <c r="K418" s="17" t="s">
        <v>63</v>
      </c>
      <c r="L418" s="17" t="s">
        <v>27</v>
      </c>
      <c r="M418" s="19" t="s">
        <v>28</v>
      </c>
      <c r="N418" s="22"/>
      <c r="O418" s="22" t="s">
        <v>1038</v>
      </c>
      <c r="P418" s="22"/>
      <c r="Q418" s="31">
        <f t="shared" si="21"/>
        <v>1</v>
      </c>
      <c r="R418" s="32" t="str">
        <f t="shared" si="20"/>
        <v>P03.172</v>
      </c>
    </row>
    <row r="419" spans="1:18">
      <c r="A419" s="18"/>
      <c r="B419" s="18"/>
      <c r="C419" s="18"/>
      <c r="D419" s="17">
        <f t="shared" si="22"/>
        <v>941</v>
      </c>
      <c r="E419" s="19" t="s">
        <v>92</v>
      </c>
      <c r="F419" s="22" t="s">
        <v>1039</v>
      </c>
      <c r="G419" s="21" t="s">
        <v>23</v>
      </c>
      <c r="H419" s="21" t="s">
        <v>976</v>
      </c>
      <c r="I419" s="21" t="s">
        <v>977</v>
      </c>
      <c r="J419" s="17" t="s">
        <v>517</v>
      </c>
      <c r="K419" s="17" t="s">
        <v>63</v>
      </c>
      <c r="L419" s="17" t="s">
        <v>27</v>
      </c>
      <c r="M419" s="19" t="s">
        <v>28</v>
      </c>
      <c r="N419" s="22"/>
      <c r="O419" s="22" t="s">
        <v>1040</v>
      </c>
      <c r="P419" s="22"/>
      <c r="Q419" s="31">
        <f t="shared" si="21"/>
        <v>1</v>
      </c>
      <c r="R419" s="32" t="str">
        <f t="shared" si="20"/>
        <v>P03.173</v>
      </c>
    </row>
    <row r="420" spans="1:18">
      <c r="A420" s="18"/>
      <c r="B420" s="18"/>
      <c r="C420" s="18"/>
      <c r="D420" s="17">
        <f t="shared" si="22"/>
        <v>942</v>
      </c>
      <c r="E420" s="19" t="s">
        <v>92</v>
      </c>
      <c r="F420" s="22" t="s">
        <v>1041</v>
      </c>
      <c r="G420" s="21" t="s">
        <v>23</v>
      </c>
      <c r="H420" s="21" t="s">
        <v>976</v>
      </c>
      <c r="I420" s="21" t="s">
        <v>977</v>
      </c>
      <c r="J420" s="17" t="s">
        <v>517</v>
      </c>
      <c r="K420" s="17" t="s">
        <v>63</v>
      </c>
      <c r="L420" s="17" t="s">
        <v>27</v>
      </c>
      <c r="M420" s="19" t="s">
        <v>28</v>
      </c>
      <c r="N420" s="22"/>
      <c r="O420" s="22" t="s">
        <v>1042</v>
      </c>
      <c r="P420" s="22"/>
      <c r="Q420" s="31">
        <f t="shared" si="21"/>
        <v>1</v>
      </c>
      <c r="R420" s="32" t="str">
        <f t="shared" si="20"/>
        <v>P03.174</v>
      </c>
    </row>
    <row r="421" spans="1:18">
      <c r="A421" s="18"/>
      <c r="B421" s="18"/>
      <c r="C421" s="18"/>
      <c r="D421" s="17">
        <f t="shared" si="22"/>
        <v>943</v>
      </c>
      <c r="E421" s="19" t="s">
        <v>29</v>
      </c>
      <c r="F421" s="20"/>
      <c r="G421" s="21" t="s">
        <v>23</v>
      </c>
      <c r="H421" s="21" t="s">
        <v>23</v>
      </c>
      <c r="I421" s="21" t="s">
        <v>30</v>
      </c>
      <c r="J421" s="17" t="s">
        <v>25</v>
      </c>
      <c r="K421" s="17" t="s">
        <v>26</v>
      </c>
      <c r="L421" s="17" t="s">
        <v>32</v>
      </c>
      <c r="M421" s="19" t="s">
        <v>28</v>
      </c>
      <c r="N421" s="22"/>
      <c r="O421" s="22"/>
      <c r="P421" s="22"/>
      <c r="Q421" s="31">
        <f t="shared" si="21"/>
        <v>1</v>
      </c>
      <c r="R421" s="32" t="str">
        <f t="shared" si="20"/>
        <v>P03.175</v>
      </c>
    </row>
    <row r="422" spans="1:18">
      <c r="A422" s="18"/>
      <c r="B422" s="18"/>
      <c r="C422" s="18"/>
      <c r="D422" s="17">
        <f t="shared" si="22"/>
        <v>944</v>
      </c>
      <c r="E422" s="19" t="s">
        <v>29</v>
      </c>
      <c r="F422" s="20"/>
      <c r="G422" s="21" t="s">
        <v>23</v>
      </c>
      <c r="H422" s="21" t="s">
        <v>23</v>
      </c>
      <c r="I422" s="21" t="s">
        <v>30</v>
      </c>
      <c r="J422" s="17" t="s">
        <v>25</v>
      </c>
      <c r="K422" s="17" t="s">
        <v>26</v>
      </c>
      <c r="L422" s="17" t="s">
        <v>32</v>
      </c>
      <c r="M422" s="19" t="s">
        <v>28</v>
      </c>
      <c r="N422" s="22"/>
      <c r="O422" s="22"/>
      <c r="P422" s="22"/>
      <c r="Q422" s="31">
        <f t="shared" si="21"/>
        <v>1</v>
      </c>
      <c r="R422" s="32" t="str">
        <f t="shared" si="20"/>
        <v>P03.176</v>
      </c>
    </row>
    <row r="423" spans="1:18">
      <c r="A423" s="18"/>
      <c r="B423" s="18"/>
      <c r="C423" s="18"/>
      <c r="D423" s="17">
        <f t="shared" si="22"/>
        <v>945</v>
      </c>
      <c r="E423" s="19" t="s">
        <v>29</v>
      </c>
      <c r="F423" s="20"/>
      <c r="G423" s="21" t="s">
        <v>23</v>
      </c>
      <c r="H423" s="21" t="s">
        <v>23</v>
      </c>
      <c r="I423" s="21" t="s">
        <v>30</v>
      </c>
      <c r="J423" s="17" t="s">
        <v>25</v>
      </c>
      <c r="K423" s="17" t="s">
        <v>26</v>
      </c>
      <c r="L423" s="17" t="s">
        <v>32</v>
      </c>
      <c r="M423" s="19" t="s">
        <v>28</v>
      </c>
      <c r="N423" s="22"/>
      <c r="O423" s="22"/>
      <c r="P423" s="22"/>
      <c r="Q423" s="31">
        <f t="shared" si="21"/>
        <v>1</v>
      </c>
      <c r="R423" s="32" t="str">
        <f t="shared" si="20"/>
        <v>P03.177</v>
      </c>
    </row>
    <row r="424" spans="1:18">
      <c r="A424" s="18"/>
      <c r="B424" s="18"/>
      <c r="C424" s="18"/>
      <c r="D424" s="17">
        <f t="shared" si="22"/>
        <v>946</v>
      </c>
      <c r="E424" s="19" t="s">
        <v>29</v>
      </c>
      <c r="F424" s="20" t="s">
        <v>1043</v>
      </c>
      <c r="G424" s="21" t="s">
        <v>252</v>
      </c>
      <c r="H424" s="21" t="s">
        <v>23</v>
      </c>
      <c r="I424" s="21" t="s">
        <v>89</v>
      </c>
      <c r="J424" s="17" t="s">
        <v>517</v>
      </c>
      <c r="K424" s="17" t="s">
        <v>63</v>
      </c>
      <c r="L424" s="17" t="s">
        <v>27</v>
      </c>
      <c r="M424" s="19" t="s">
        <v>28</v>
      </c>
      <c r="N424" s="17"/>
      <c r="O424" s="22" t="s">
        <v>1044</v>
      </c>
      <c r="P424" s="22"/>
      <c r="Q424" s="31">
        <f t="shared" si="21"/>
        <v>1</v>
      </c>
      <c r="R424" s="32" t="str">
        <f t="shared" si="20"/>
        <v>P03.178</v>
      </c>
    </row>
    <row r="425" spans="1:18">
      <c r="A425" s="18"/>
      <c r="B425" s="18"/>
      <c r="C425" s="18"/>
      <c r="D425" s="17">
        <f t="shared" si="22"/>
        <v>947</v>
      </c>
      <c r="E425" s="19" t="s">
        <v>29</v>
      </c>
      <c r="F425" s="20"/>
      <c r="G425" s="21" t="s">
        <v>23</v>
      </c>
      <c r="H425" s="21" t="s">
        <v>23</v>
      </c>
      <c r="I425" s="21" t="s">
        <v>30</v>
      </c>
      <c r="J425" s="17" t="s">
        <v>25</v>
      </c>
      <c r="K425" s="17" t="s">
        <v>26</v>
      </c>
      <c r="L425" s="17" t="s">
        <v>32</v>
      </c>
      <c r="M425" s="19" t="s">
        <v>28</v>
      </c>
      <c r="N425" s="22"/>
      <c r="O425" s="22"/>
      <c r="P425" s="22"/>
      <c r="Q425" s="31">
        <f t="shared" si="21"/>
        <v>1</v>
      </c>
      <c r="R425" s="32" t="str">
        <f t="shared" si="20"/>
        <v>P03.179</v>
      </c>
    </row>
    <row r="426" spans="1:18">
      <c r="A426" s="18"/>
      <c r="B426" s="18"/>
      <c r="C426" s="18"/>
      <c r="D426" s="17">
        <f t="shared" si="22"/>
        <v>948</v>
      </c>
      <c r="E426" s="19" t="s">
        <v>29</v>
      </c>
      <c r="F426" s="20"/>
      <c r="G426" s="21" t="s">
        <v>23</v>
      </c>
      <c r="H426" s="21" t="s">
        <v>23</v>
      </c>
      <c r="I426" s="21" t="s">
        <v>30</v>
      </c>
      <c r="J426" s="17" t="s">
        <v>25</v>
      </c>
      <c r="K426" s="17" t="s">
        <v>26</v>
      </c>
      <c r="L426" s="17" t="s">
        <v>32</v>
      </c>
      <c r="M426" s="19" t="s">
        <v>28</v>
      </c>
      <c r="N426" s="22"/>
      <c r="O426" s="22"/>
      <c r="P426" s="22"/>
      <c r="Q426" s="31">
        <f t="shared" si="21"/>
        <v>1</v>
      </c>
      <c r="R426" s="32" t="str">
        <f t="shared" si="20"/>
        <v>P03.180</v>
      </c>
    </row>
    <row r="427" spans="1:18">
      <c r="A427" s="18"/>
      <c r="B427" s="18"/>
      <c r="C427" s="18"/>
      <c r="D427" s="17">
        <f t="shared" si="22"/>
        <v>949</v>
      </c>
      <c r="E427" s="19" t="s">
        <v>29</v>
      </c>
      <c r="F427" s="20"/>
      <c r="G427" s="21" t="s">
        <v>23</v>
      </c>
      <c r="H427" s="21" t="s">
        <v>23</v>
      </c>
      <c r="I427" s="21" t="s">
        <v>30</v>
      </c>
      <c r="J427" s="17" t="s">
        <v>25</v>
      </c>
      <c r="K427" s="17" t="s">
        <v>26</v>
      </c>
      <c r="L427" s="17" t="s">
        <v>32</v>
      </c>
      <c r="M427" s="19" t="s">
        <v>28</v>
      </c>
      <c r="N427" s="22"/>
      <c r="O427" s="22"/>
      <c r="P427" s="22"/>
      <c r="Q427" s="31">
        <f t="shared" si="21"/>
        <v>1</v>
      </c>
      <c r="R427" s="32" t="str">
        <f t="shared" si="20"/>
        <v>P03.181</v>
      </c>
    </row>
    <row r="428" spans="1:18">
      <c r="A428" s="18"/>
      <c r="B428" s="18"/>
      <c r="C428" s="18"/>
      <c r="D428" s="17">
        <f t="shared" si="22"/>
        <v>950</v>
      </c>
      <c r="E428" s="19" t="s">
        <v>29</v>
      </c>
      <c r="F428" s="20"/>
      <c r="G428" s="21" t="s">
        <v>23</v>
      </c>
      <c r="H428" s="21" t="s">
        <v>23</v>
      </c>
      <c r="I428" s="21" t="s">
        <v>30</v>
      </c>
      <c r="J428" s="17" t="s">
        <v>25</v>
      </c>
      <c r="K428" s="17" t="s">
        <v>26</v>
      </c>
      <c r="L428" s="17" t="s">
        <v>32</v>
      </c>
      <c r="M428" s="19" t="s">
        <v>28</v>
      </c>
      <c r="N428" s="22"/>
      <c r="O428" s="22"/>
      <c r="P428" s="22"/>
      <c r="Q428" s="31">
        <f t="shared" si="21"/>
        <v>1</v>
      </c>
      <c r="R428" s="32" t="str">
        <f t="shared" si="20"/>
        <v>P03.182</v>
      </c>
    </row>
    <row r="429" spans="1:18">
      <c r="A429" s="18"/>
      <c r="B429" s="18"/>
      <c r="C429" s="18"/>
      <c r="D429" s="17">
        <f t="shared" si="22"/>
        <v>951</v>
      </c>
      <c r="E429" s="19" t="s">
        <v>29</v>
      </c>
      <c r="F429" s="20"/>
      <c r="G429" s="21" t="s">
        <v>23</v>
      </c>
      <c r="H429" s="21" t="s">
        <v>23</v>
      </c>
      <c r="I429" s="21" t="s">
        <v>30</v>
      </c>
      <c r="J429" s="17" t="s">
        <v>25</v>
      </c>
      <c r="K429" s="17" t="s">
        <v>26</v>
      </c>
      <c r="L429" s="17" t="s">
        <v>32</v>
      </c>
      <c r="M429" s="19" t="s">
        <v>28</v>
      </c>
      <c r="N429" s="22"/>
      <c r="O429" s="22"/>
      <c r="P429" s="22"/>
      <c r="Q429" s="31">
        <f t="shared" si="21"/>
        <v>1</v>
      </c>
      <c r="R429" s="32" t="str">
        <f t="shared" si="20"/>
        <v>P03.183</v>
      </c>
    </row>
    <row r="430" spans="1:18">
      <c r="A430" s="18"/>
      <c r="B430" s="18"/>
      <c r="C430" s="18"/>
      <c r="D430" s="17">
        <f t="shared" si="22"/>
        <v>952</v>
      </c>
      <c r="E430" s="19" t="s">
        <v>29</v>
      </c>
      <c r="F430" s="20"/>
      <c r="G430" s="21" t="s">
        <v>23</v>
      </c>
      <c r="H430" s="21" t="s">
        <v>23</v>
      </c>
      <c r="I430" s="21" t="s">
        <v>30</v>
      </c>
      <c r="J430" s="17" t="s">
        <v>25</v>
      </c>
      <c r="K430" s="17" t="s">
        <v>26</v>
      </c>
      <c r="L430" s="17" t="s">
        <v>32</v>
      </c>
      <c r="M430" s="19" t="s">
        <v>28</v>
      </c>
      <c r="N430" s="22"/>
      <c r="O430" s="22"/>
      <c r="P430" s="22"/>
      <c r="Q430" s="31">
        <f t="shared" si="21"/>
        <v>1</v>
      </c>
      <c r="R430" s="32" t="str">
        <f t="shared" si="20"/>
        <v>P03.184</v>
      </c>
    </row>
    <row r="431" spans="1:18">
      <c r="A431" s="18"/>
      <c r="B431" s="18"/>
      <c r="C431" s="18"/>
      <c r="D431" s="17">
        <f t="shared" si="22"/>
        <v>953</v>
      </c>
      <c r="E431" s="19" t="s">
        <v>29</v>
      </c>
      <c r="F431" s="20"/>
      <c r="G431" s="21" t="s">
        <v>23</v>
      </c>
      <c r="H431" s="21" t="s">
        <v>23</v>
      </c>
      <c r="I431" s="21" t="s">
        <v>30</v>
      </c>
      <c r="J431" s="17" t="s">
        <v>25</v>
      </c>
      <c r="K431" s="17" t="s">
        <v>26</v>
      </c>
      <c r="L431" s="17" t="s">
        <v>32</v>
      </c>
      <c r="M431" s="19" t="s">
        <v>28</v>
      </c>
      <c r="N431" s="22"/>
      <c r="O431" s="22"/>
      <c r="P431" s="22"/>
      <c r="Q431" s="31">
        <f t="shared" si="21"/>
        <v>1</v>
      </c>
      <c r="R431" s="32" t="str">
        <f t="shared" si="20"/>
        <v>P03.185</v>
      </c>
    </row>
    <row r="432" spans="1:18">
      <c r="A432" s="18"/>
      <c r="B432" s="18"/>
      <c r="C432" s="18"/>
      <c r="D432" s="17">
        <f t="shared" si="22"/>
        <v>954</v>
      </c>
      <c r="E432" s="19" t="s">
        <v>29</v>
      </c>
      <c r="F432" s="20"/>
      <c r="G432" s="21" t="s">
        <v>23</v>
      </c>
      <c r="H432" s="21" t="s">
        <v>23</v>
      </c>
      <c r="I432" s="21" t="s">
        <v>30</v>
      </c>
      <c r="J432" s="17" t="s">
        <v>25</v>
      </c>
      <c r="K432" s="17" t="s">
        <v>26</v>
      </c>
      <c r="L432" s="17" t="s">
        <v>32</v>
      </c>
      <c r="M432" s="19" t="s">
        <v>28</v>
      </c>
      <c r="N432" s="22"/>
      <c r="O432" s="22"/>
      <c r="P432" s="22"/>
      <c r="Q432" s="31">
        <f t="shared" si="21"/>
        <v>1</v>
      </c>
      <c r="R432" s="32" t="str">
        <f t="shared" si="20"/>
        <v>P03.186</v>
      </c>
    </row>
    <row r="433" spans="1:18">
      <c r="A433" s="18"/>
      <c r="B433" s="18"/>
      <c r="C433" s="18"/>
      <c r="D433" s="17">
        <f t="shared" si="22"/>
        <v>955</v>
      </c>
      <c r="E433" s="19" t="s">
        <v>29</v>
      </c>
      <c r="F433" s="20"/>
      <c r="G433" s="21" t="s">
        <v>23</v>
      </c>
      <c r="H433" s="21" t="s">
        <v>23</v>
      </c>
      <c r="I433" s="21" t="s">
        <v>30</v>
      </c>
      <c r="J433" s="17" t="s">
        <v>25</v>
      </c>
      <c r="K433" s="17" t="s">
        <v>26</v>
      </c>
      <c r="L433" s="17" t="s">
        <v>32</v>
      </c>
      <c r="M433" s="19" t="s">
        <v>28</v>
      </c>
      <c r="N433" s="22"/>
      <c r="O433" s="22"/>
      <c r="P433" s="22"/>
      <c r="Q433" s="31">
        <f t="shared" si="21"/>
        <v>1</v>
      </c>
      <c r="R433" s="32" t="str">
        <f t="shared" si="20"/>
        <v>P03.187</v>
      </c>
    </row>
    <row r="434" spans="1:18">
      <c r="A434" s="18"/>
      <c r="B434" s="18"/>
      <c r="C434" s="18"/>
      <c r="D434" s="17">
        <f t="shared" si="22"/>
        <v>956</v>
      </c>
      <c r="E434" s="19" t="s">
        <v>29</v>
      </c>
      <c r="F434" s="20"/>
      <c r="G434" s="21" t="s">
        <v>23</v>
      </c>
      <c r="H434" s="21" t="s">
        <v>23</v>
      </c>
      <c r="I434" s="21" t="s">
        <v>30</v>
      </c>
      <c r="J434" s="17" t="s">
        <v>25</v>
      </c>
      <c r="K434" s="17" t="s">
        <v>26</v>
      </c>
      <c r="L434" s="17" t="s">
        <v>32</v>
      </c>
      <c r="M434" s="19" t="s">
        <v>28</v>
      </c>
      <c r="N434" s="22"/>
      <c r="O434" s="22"/>
      <c r="P434" s="22"/>
      <c r="Q434" s="31">
        <f t="shared" si="21"/>
        <v>1</v>
      </c>
      <c r="R434" s="32" t="str">
        <f t="shared" si="20"/>
        <v>P03.188</v>
      </c>
    </row>
    <row r="435" spans="1:18">
      <c r="A435" s="18"/>
      <c r="B435" s="18"/>
      <c r="C435" s="18"/>
      <c r="D435" s="17">
        <f t="shared" si="22"/>
        <v>957</v>
      </c>
      <c r="E435" s="19" t="s">
        <v>29</v>
      </c>
      <c r="F435" s="20"/>
      <c r="G435" s="21" t="s">
        <v>23</v>
      </c>
      <c r="H435" s="21" t="s">
        <v>23</v>
      </c>
      <c r="I435" s="21" t="s">
        <v>30</v>
      </c>
      <c r="J435" s="17" t="s">
        <v>25</v>
      </c>
      <c r="K435" s="17" t="s">
        <v>26</v>
      </c>
      <c r="L435" s="17" t="s">
        <v>32</v>
      </c>
      <c r="M435" s="19" t="s">
        <v>28</v>
      </c>
      <c r="N435" s="22"/>
      <c r="O435" s="22"/>
      <c r="P435" s="22"/>
      <c r="Q435" s="31">
        <f t="shared" si="21"/>
        <v>1</v>
      </c>
      <c r="R435" s="32" t="str">
        <f t="shared" si="20"/>
        <v>P03.189</v>
      </c>
    </row>
    <row r="436" spans="1:18">
      <c r="A436" s="18"/>
      <c r="B436" s="18"/>
      <c r="C436" s="18"/>
      <c r="D436" s="17">
        <f t="shared" si="22"/>
        <v>958</v>
      </c>
      <c r="E436" s="19" t="s">
        <v>29</v>
      </c>
      <c r="F436" s="20"/>
      <c r="G436" s="21" t="s">
        <v>23</v>
      </c>
      <c r="H436" s="21" t="s">
        <v>23</v>
      </c>
      <c r="I436" s="21" t="s">
        <v>30</v>
      </c>
      <c r="J436" s="17" t="s">
        <v>25</v>
      </c>
      <c r="K436" s="17" t="s">
        <v>26</v>
      </c>
      <c r="L436" s="17" t="s">
        <v>32</v>
      </c>
      <c r="M436" s="19" t="s">
        <v>28</v>
      </c>
      <c r="N436" s="22"/>
      <c r="O436" s="22"/>
      <c r="P436" s="22"/>
      <c r="Q436" s="31">
        <f t="shared" si="21"/>
        <v>1</v>
      </c>
      <c r="R436" s="32" t="str">
        <f t="shared" si="20"/>
        <v>P03.190</v>
      </c>
    </row>
    <row r="437" spans="1:18">
      <c r="A437" s="18"/>
      <c r="B437" s="18"/>
      <c r="C437" s="18"/>
      <c r="D437" s="17">
        <f t="shared" si="22"/>
        <v>959</v>
      </c>
      <c r="E437" s="19" t="s">
        <v>29</v>
      </c>
      <c r="F437" s="20"/>
      <c r="G437" s="21" t="s">
        <v>23</v>
      </c>
      <c r="H437" s="21" t="s">
        <v>23</v>
      </c>
      <c r="I437" s="21" t="s">
        <v>30</v>
      </c>
      <c r="J437" s="17" t="s">
        <v>25</v>
      </c>
      <c r="K437" s="17" t="s">
        <v>26</v>
      </c>
      <c r="L437" s="17" t="s">
        <v>32</v>
      </c>
      <c r="M437" s="19" t="s">
        <v>28</v>
      </c>
      <c r="N437" s="22"/>
      <c r="O437" s="22"/>
      <c r="P437" s="22"/>
      <c r="Q437" s="31">
        <f t="shared" si="21"/>
        <v>1</v>
      </c>
      <c r="R437" s="32" t="str">
        <f t="shared" si="20"/>
        <v>P03.191</v>
      </c>
    </row>
    <row r="438" spans="1:18">
      <c r="A438" s="18"/>
      <c r="B438" s="18"/>
      <c r="C438" s="18"/>
      <c r="D438" s="17">
        <f t="shared" si="22"/>
        <v>960</v>
      </c>
      <c r="E438" s="19" t="s">
        <v>29</v>
      </c>
      <c r="F438" s="20"/>
      <c r="G438" s="21" t="s">
        <v>23</v>
      </c>
      <c r="H438" s="21" t="s">
        <v>23</v>
      </c>
      <c r="I438" s="21" t="s">
        <v>30</v>
      </c>
      <c r="J438" s="17" t="s">
        <v>25</v>
      </c>
      <c r="K438" s="17" t="s">
        <v>26</v>
      </c>
      <c r="L438" s="17" t="s">
        <v>32</v>
      </c>
      <c r="M438" s="19" t="s">
        <v>28</v>
      </c>
      <c r="N438" s="22"/>
      <c r="O438" s="22"/>
      <c r="P438" s="22"/>
      <c r="Q438" s="31">
        <f t="shared" si="21"/>
        <v>1</v>
      </c>
      <c r="R438" s="32" t="str">
        <f t="shared" ref="R438:R501" si="23">"P"&amp;TEXT(INT(D438/256),"00")&amp;"."&amp;TEXT(MOD(D438,256),"000")</f>
        <v>P03.192</v>
      </c>
    </row>
    <row r="439" spans="1:18">
      <c r="A439" s="18"/>
      <c r="B439" s="18"/>
      <c r="C439" s="18"/>
      <c r="D439" s="17">
        <f t="shared" si="22"/>
        <v>961</v>
      </c>
      <c r="E439" s="19" t="s">
        <v>29</v>
      </c>
      <c r="F439" s="20"/>
      <c r="G439" s="21" t="s">
        <v>23</v>
      </c>
      <c r="H439" s="21" t="s">
        <v>23</v>
      </c>
      <c r="I439" s="21" t="s">
        <v>30</v>
      </c>
      <c r="J439" s="17" t="s">
        <v>25</v>
      </c>
      <c r="K439" s="17" t="s">
        <v>26</v>
      </c>
      <c r="L439" s="17" t="s">
        <v>32</v>
      </c>
      <c r="M439" s="19" t="s">
        <v>28</v>
      </c>
      <c r="N439" s="22"/>
      <c r="O439" s="22"/>
      <c r="P439" s="22"/>
      <c r="Q439" s="31">
        <f t="shared" si="21"/>
        <v>1</v>
      </c>
      <c r="R439" s="32" t="str">
        <f t="shared" si="23"/>
        <v>P03.193</v>
      </c>
    </row>
    <row r="440" spans="1:18">
      <c r="A440" s="18"/>
      <c r="B440" s="18"/>
      <c r="C440" s="18"/>
      <c r="D440" s="17">
        <f t="shared" si="22"/>
        <v>962</v>
      </c>
      <c r="E440" s="19" t="s">
        <v>29</v>
      </c>
      <c r="F440" s="20"/>
      <c r="G440" s="21" t="s">
        <v>23</v>
      </c>
      <c r="H440" s="21" t="s">
        <v>23</v>
      </c>
      <c r="I440" s="21" t="s">
        <v>30</v>
      </c>
      <c r="J440" s="17" t="s">
        <v>25</v>
      </c>
      <c r="K440" s="17" t="s">
        <v>26</v>
      </c>
      <c r="L440" s="17" t="s">
        <v>32</v>
      </c>
      <c r="M440" s="19" t="s">
        <v>28</v>
      </c>
      <c r="N440" s="22"/>
      <c r="O440" s="22"/>
      <c r="P440" s="22"/>
      <c r="Q440" s="31">
        <f t="shared" si="21"/>
        <v>1</v>
      </c>
      <c r="R440" s="32" t="str">
        <f t="shared" si="23"/>
        <v>P03.194</v>
      </c>
    </row>
    <row r="441" spans="1:18">
      <c r="A441" s="18"/>
      <c r="B441" s="18"/>
      <c r="C441" s="18"/>
      <c r="D441" s="17">
        <f t="shared" si="22"/>
        <v>963</v>
      </c>
      <c r="E441" s="19" t="s">
        <v>29</v>
      </c>
      <c r="F441" s="20"/>
      <c r="G441" s="21" t="s">
        <v>23</v>
      </c>
      <c r="H441" s="21" t="s">
        <v>23</v>
      </c>
      <c r="I441" s="21" t="s">
        <v>30</v>
      </c>
      <c r="J441" s="17" t="s">
        <v>25</v>
      </c>
      <c r="K441" s="17" t="s">
        <v>26</v>
      </c>
      <c r="L441" s="17" t="s">
        <v>32</v>
      </c>
      <c r="M441" s="19" t="s">
        <v>28</v>
      </c>
      <c r="N441" s="22"/>
      <c r="O441" s="22"/>
      <c r="P441" s="22"/>
      <c r="Q441" s="31">
        <f t="shared" si="21"/>
        <v>1</v>
      </c>
      <c r="R441" s="32" t="str">
        <f t="shared" si="23"/>
        <v>P03.195</v>
      </c>
    </row>
    <row r="442" spans="1:18">
      <c r="A442" s="18"/>
      <c r="B442" s="18"/>
      <c r="C442" s="18"/>
      <c r="D442" s="17">
        <f t="shared" si="22"/>
        <v>964</v>
      </c>
      <c r="E442" s="19" t="s">
        <v>29</v>
      </c>
      <c r="F442" s="20"/>
      <c r="G442" s="21" t="s">
        <v>23</v>
      </c>
      <c r="H442" s="21" t="s">
        <v>23</v>
      </c>
      <c r="I442" s="21" t="s">
        <v>30</v>
      </c>
      <c r="J442" s="17" t="s">
        <v>25</v>
      </c>
      <c r="K442" s="17" t="s">
        <v>26</v>
      </c>
      <c r="L442" s="17" t="s">
        <v>32</v>
      </c>
      <c r="M442" s="19" t="s">
        <v>28</v>
      </c>
      <c r="N442" s="22"/>
      <c r="O442" s="22"/>
      <c r="P442" s="22"/>
      <c r="Q442" s="31">
        <f t="shared" si="21"/>
        <v>1</v>
      </c>
      <c r="R442" s="32" t="str">
        <f t="shared" si="23"/>
        <v>P03.196</v>
      </c>
    </row>
    <row r="443" spans="1:18">
      <c r="A443" s="34"/>
      <c r="B443" s="34"/>
      <c r="C443" s="34"/>
      <c r="D443" s="17">
        <f t="shared" si="22"/>
        <v>965</v>
      </c>
      <c r="E443" s="19" t="s">
        <v>29</v>
      </c>
      <c r="F443" s="20"/>
      <c r="G443" s="21" t="s">
        <v>23</v>
      </c>
      <c r="H443" s="21" t="s">
        <v>23</v>
      </c>
      <c r="I443" s="21" t="s">
        <v>30</v>
      </c>
      <c r="J443" s="17" t="s">
        <v>25</v>
      </c>
      <c r="K443" s="17" t="s">
        <v>26</v>
      </c>
      <c r="L443" s="17" t="s">
        <v>32</v>
      </c>
      <c r="M443" s="19" t="s">
        <v>28</v>
      </c>
      <c r="N443" s="22"/>
      <c r="O443" s="22"/>
      <c r="P443" s="22"/>
      <c r="Q443" s="31">
        <f t="shared" si="21"/>
        <v>1</v>
      </c>
      <c r="R443" s="32" t="str">
        <f t="shared" si="23"/>
        <v>P03.197</v>
      </c>
    </row>
    <row r="444" ht="52.8" spans="1:18">
      <c r="A444" s="33">
        <v>7</v>
      </c>
      <c r="B444" s="18" t="s">
        <v>1045</v>
      </c>
      <c r="C444" s="18" t="s">
        <v>1046</v>
      </c>
      <c r="D444" s="17">
        <f t="shared" si="22"/>
        <v>966</v>
      </c>
      <c r="E444" s="19" t="s">
        <v>29</v>
      </c>
      <c r="F444" s="20" t="s">
        <v>1047</v>
      </c>
      <c r="G444" s="21" t="s">
        <v>23</v>
      </c>
      <c r="H444" s="21" t="s">
        <v>23</v>
      </c>
      <c r="I444" s="21" t="s">
        <v>46</v>
      </c>
      <c r="J444" s="17" t="s">
        <v>25</v>
      </c>
      <c r="K444" s="17" t="s">
        <v>69</v>
      </c>
      <c r="L444" s="17" t="s">
        <v>27</v>
      </c>
      <c r="M444" s="19" t="s">
        <v>28</v>
      </c>
      <c r="N444" s="22"/>
      <c r="O444" s="22" t="s">
        <v>1048</v>
      </c>
      <c r="P444" s="25" t="s">
        <v>1049</v>
      </c>
      <c r="Q444" s="31">
        <f t="shared" si="21"/>
        <v>0</v>
      </c>
      <c r="R444" s="32" t="str">
        <f t="shared" si="23"/>
        <v>P03.198</v>
      </c>
    </row>
    <row r="445" spans="1:18">
      <c r="A445" s="18"/>
      <c r="B445" s="18"/>
      <c r="C445" s="18"/>
      <c r="D445" s="17">
        <f t="shared" si="22"/>
        <v>967</v>
      </c>
      <c r="E445" s="19" t="s">
        <v>92</v>
      </c>
      <c r="F445" s="20" t="s">
        <v>1050</v>
      </c>
      <c r="G445" s="21" t="s">
        <v>23</v>
      </c>
      <c r="H445" s="21" t="s">
        <v>1051</v>
      </c>
      <c r="I445" s="21" t="s">
        <v>989</v>
      </c>
      <c r="J445" s="17" t="s">
        <v>90</v>
      </c>
      <c r="K445" s="17" t="s">
        <v>63</v>
      </c>
      <c r="L445" s="17" t="s">
        <v>27</v>
      </c>
      <c r="M445" s="19" t="s">
        <v>28</v>
      </c>
      <c r="N445" s="22"/>
      <c r="O445" s="22" t="s">
        <v>1052</v>
      </c>
      <c r="P445" s="22"/>
      <c r="Q445" s="31">
        <f t="shared" si="21"/>
        <v>1</v>
      </c>
      <c r="R445" s="32" t="str">
        <f t="shared" si="23"/>
        <v>P03.199</v>
      </c>
    </row>
    <row r="446" spans="1:18">
      <c r="A446" s="18"/>
      <c r="B446" s="18"/>
      <c r="C446" s="18"/>
      <c r="D446" s="17">
        <f t="shared" si="22"/>
        <v>968</v>
      </c>
      <c r="E446" s="19" t="s">
        <v>92</v>
      </c>
      <c r="F446" s="20" t="s">
        <v>1053</v>
      </c>
      <c r="G446" s="21" t="s">
        <v>23</v>
      </c>
      <c r="H446" s="21" t="s">
        <v>1051</v>
      </c>
      <c r="I446" s="21" t="s">
        <v>989</v>
      </c>
      <c r="J446" s="17" t="s">
        <v>90</v>
      </c>
      <c r="K446" s="17" t="s">
        <v>63</v>
      </c>
      <c r="L446" s="17" t="s">
        <v>27</v>
      </c>
      <c r="M446" s="19" t="s">
        <v>28</v>
      </c>
      <c r="N446" s="22"/>
      <c r="O446" s="22" t="s">
        <v>1054</v>
      </c>
      <c r="P446" s="22"/>
      <c r="Q446" s="31">
        <f t="shared" si="21"/>
        <v>1</v>
      </c>
      <c r="R446" s="32" t="str">
        <f t="shared" si="23"/>
        <v>P03.200</v>
      </c>
    </row>
    <row r="447" spans="1:18">
      <c r="A447" s="18"/>
      <c r="B447" s="18"/>
      <c r="C447" s="18"/>
      <c r="D447" s="17">
        <f t="shared" si="22"/>
        <v>969</v>
      </c>
      <c r="E447" s="19" t="s">
        <v>29</v>
      </c>
      <c r="F447" s="20" t="s">
        <v>1055</v>
      </c>
      <c r="G447" s="21" t="s">
        <v>148</v>
      </c>
      <c r="H447" s="21" t="s">
        <v>172</v>
      </c>
      <c r="I447" s="21" t="s">
        <v>30</v>
      </c>
      <c r="J447" s="17" t="s">
        <v>25</v>
      </c>
      <c r="K447" s="17" t="s">
        <v>69</v>
      </c>
      <c r="L447" s="17" t="s">
        <v>27</v>
      </c>
      <c r="M447" s="19" t="s">
        <v>28</v>
      </c>
      <c r="N447" s="22"/>
      <c r="O447" s="22" t="s">
        <v>1056</v>
      </c>
      <c r="P447" s="22"/>
      <c r="Q447" s="31">
        <f t="shared" si="21"/>
        <v>1</v>
      </c>
      <c r="R447" s="32" t="str">
        <f t="shared" si="23"/>
        <v>P03.201</v>
      </c>
    </row>
    <row r="448" spans="1:18">
      <c r="A448" s="18"/>
      <c r="B448" s="18"/>
      <c r="C448" s="18"/>
      <c r="D448" s="17">
        <f t="shared" si="22"/>
        <v>970</v>
      </c>
      <c r="E448" s="19" t="s">
        <v>29</v>
      </c>
      <c r="F448" s="20" t="s">
        <v>1057</v>
      </c>
      <c r="G448" s="21" t="s">
        <v>915</v>
      </c>
      <c r="H448" s="21" t="s">
        <v>23</v>
      </c>
      <c r="I448" s="21" t="s">
        <v>989</v>
      </c>
      <c r="J448" s="17" t="s">
        <v>90</v>
      </c>
      <c r="K448" s="17" t="s">
        <v>63</v>
      </c>
      <c r="L448" s="17" t="s">
        <v>27</v>
      </c>
      <c r="M448" s="19" t="s">
        <v>28</v>
      </c>
      <c r="N448" s="22"/>
      <c r="O448" s="22" t="s">
        <v>1058</v>
      </c>
      <c r="P448" s="22"/>
      <c r="Q448" s="31">
        <f t="shared" si="21"/>
        <v>1</v>
      </c>
      <c r="R448" s="32" t="str">
        <f t="shared" si="23"/>
        <v>P03.202</v>
      </c>
    </row>
    <row r="449" ht="52.8" spans="1:18">
      <c r="A449" s="18"/>
      <c r="B449" s="18"/>
      <c r="C449" s="18"/>
      <c r="D449" s="17">
        <f t="shared" si="22"/>
        <v>971</v>
      </c>
      <c r="E449" s="19" t="s">
        <v>29</v>
      </c>
      <c r="F449" s="20" t="s">
        <v>1059</v>
      </c>
      <c r="G449" s="21" t="s">
        <v>23</v>
      </c>
      <c r="H449" s="21" t="s">
        <v>23</v>
      </c>
      <c r="I449" s="21" t="s">
        <v>46</v>
      </c>
      <c r="J449" s="17" t="s">
        <v>25</v>
      </c>
      <c r="K449" s="17" t="s">
        <v>63</v>
      </c>
      <c r="L449" s="17" t="s">
        <v>27</v>
      </c>
      <c r="M449" s="19" t="s">
        <v>28</v>
      </c>
      <c r="N449" s="22"/>
      <c r="O449" s="22" t="s">
        <v>1060</v>
      </c>
      <c r="P449" s="25" t="s">
        <v>1061</v>
      </c>
      <c r="Q449" s="31">
        <f t="shared" si="21"/>
        <v>0</v>
      </c>
      <c r="R449" s="32" t="str">
        <f t="shared" si="23"/>
        <v>P03.203</v>
      </c>
    </row>
    <row r="450" spans="1:18">
      <c r="A450" s="18"/>
      <c r="B450" s="18"/>
      <c r="C450" s="18"/>
      <c r="D450" s="17">
        <f t="shared" si="22"/>
        <v>972</v>
      </c>
      <c r="E450" s="19" t="s">
        <v>29</v>
      </c>
      <c r="F450" s="20" t="s">
        <v>1062</v>
      </c>
      <c r="G450" s="21" t="s">
        <v>915</v>
      </c>
      <c r="H450" s="21" t="s">
        <v>23</v>
      </c>
      <c r="I450" s="21" t="s">
        <v>148</v>
      </c>
      <c r="J450" s="17" t="s">
        <v>90</v>
      </c>
      <c r="K450" s="17" t="s">
        <v>63</v>
      </c>
      <c r="L450" s="17" t="s">
        <v>27</v>
      </c>
      <c r="M450" s="19" t="s">
        <v>28</v>
      </c>
      <c r="N450" s="22"/>
      <c r="O450" s="22" t="s">
        <v>1063</v>
      </c>
      <c r="P450" s="22"/>
      <c r="Q450" s="31">
        <f t="shared" si="21"/>
        <v>1</v>
      </c>
      <c r="R450" s="32" t="str">
        <f t="shared" si="23"/>
        <v>P03.204</v>
      </c>
    </row>
    <row r="451" spans="1:18">
      <c r="A451" s="18"/>
      <c r="B451" s="18"/>
      <c r="C451" s="18"/>
      <c r="D451" s="17">
        <f t="shared" si="22"/>
        <v>973</v>
      </c>
      <c r="E451" s="19" t="s">
        <v>29</v>
      </c>
      <c r="F451" s="20" t="s">
        <v>1064</v>
      </c>
      <c r="G451" s="21" t="s">
        <v>915</v>
      </c>
      <c r="H451" s="21" t="s">
        <v>23</v>
      </c>
      <c r="I451" s="21" t="s">
        <v>148</v>
      </c>
      <c r="J451" s="17" t="s">
        <v>90</v>
      </c>
      <c r="K451" s="17" t="s">
        <v>63</v>
      </c>
      <c r="L451" s="17" t="s">
        <v>27</v>
      </c>
      <c r="M451" s="19" t="s">
        <v>28</v>
      </c>
      <c r="N451" s="22"/>
      <c r="O451" s="22" t="s">
        <v>1065</v>
      </c>
      <c r="P451" s="22"/>
      <c r="Q451" s="31">
        <f t="shared" si="21"/>
        <v>1</v>
      </c>
      <c r="R451" s="32" t="str">
        <f t="shared" si="23"/>
        <v>P03.205</v>
      </c>
    </row>
    <row r="452" ht="39.6" spans="1:18">
      <c r="A452" s="18"/>
      <c r="B452" s="18"/>
      <c r="C452" s="18"/>
      <c r="D452" s="17">
        <f t="shared" si="22"/>
        <v>974</v>
      </c>
      <c r="E452" s="19" t="s">
        <v>29</v>
      </c>
      <c r="F452" s="20" t="s">
        <v>1066</v>
      </c>
      <c r="G452" s="21" t="s">
        <v>23</v>
      </c>
      <c r="H452" s="21" t="s">
        <v>23</v>
      </c>
      <c r="I452" s="21" t="s">
        <v>43</v>
      </c>
      <c r="J452" s="17" t="s">
        <v>25</v>
      </c>
      <c r="K452" s="17" t="s">
        <v>26</v>
      </c>
      <c r="L452" s="17" t="s">
        <v>32</v>
      </c>
      <c r="M452" s="19" t="s">
        <v>28</v>
      </c>
      <c r="N452" s="22"/>
      <c r="O452" s="22" t="s">
        <v>1067</v>
      </c>
      <c r="P452" s="25" t="s">
        <v>1068</v>
      </c>
      <c r="Q452" s="31">
        <f t="shared" si="21"/>
        <v>0</v>
      </c>
      <c r="R452" s="32" t="str">
        <f t="shared" si="23"/>
        <v>P03.206</v>
      </c>
    </row>
    <row r="453" ht="26.4" spans="1:18">
      <c r="A453" s="18"/>
      <c r="B453" s="18"/>
      <c r="C453" s="18"/>
      <c r="D453" s="17">
        <f t="shared" si="22"/>
        <v>975</v>
      </c>
      <c r="E453" s="19" t="s">
        <v>29</v>
      </c>
      <c r="F453" s="20" t="s">
        <v>1069</v>
      </c>
      <c r="G453" s="21" t="s">
        <v>23</v>
      </c>
      <c r="H453" s="21" t="s">
        <v>23</v>
      </c>
      <c r="I453" s="21" t="s">
        <v>40</v>
      </c>
      <c r="J453" s="17" t="s">
        <v>25</v>
      </c>
      <c r="K453" s="17" t="s">
        <v>26</v>
      </c>
      <c r="L453" s="17" t="s">
        <v>32</v>
      </c>
      <c r="M453" s="19" t="s">
        <v>28</v>
      </c>
      <c r="N453" s="22"/>
      <c r="O453" s="22" t="s">
        <v>1070</v>
      </c>
      <c r="P453" s="25" t="s">
        <v>1071</v>
      </c>
      <c r="Q453" s="31">
        <f t="shared" si="21"/>
        <v>0</v>
      </c>
      <c r="R453" s="32" t="str">
        <f t="shared" si="23"/>
        <v>P03.207</v>
      </c>
    </row>
    <row r="454" ht="26.4" spans="1:18">
      <c r="A454" s="18"/>
      <c r="B454" s="18"/>
      <c r="C454" s="18"/>
      <c r="D454" s="17">
        <f t="shared" si="22"/>
        <v>976</v>
      </c>
      <c r="E454" s="19" t="s">
        <v>29</v>
      </c>
      <c r="F454" s="20" t="s">
        <v>1072</v>
      </c>
      <c r="G454" s="21" t="s">
        <v>23</v>
      </c>
      <c r="H454" s="21" t="s">
        <v>23</v>
      </c>
      <c r="I454" s="21" t="s">
        <v>40</v>
      </c>
      <c r="J454" s="17" t="s">
        <v>25</v>
      </c>
      <c r="K454" s="17" t="s">
        <v>26</v>
      </c>
      <c r="L454" s="17" t="s">
        <v>32</v>
      </c>
      <c r="M454" s="19" t="s">
        <v>28</v>
      </c>
      <c r="N454" s="22"/>
      <c r="O454" s="22" t="s">
        <v>1073</v>
      </c>
      <c r="P454" s="25" t="s">
        <v>1074</v>
      </c>
      <c r="Q454" s="31">
        <f t="shared" ref="Q454:Q517" si="24">IF(OR(F454="",LEFT(TRIM(F454),3)=E454),1,0)</f>
        <v>0</v>
      </c>
      <c r="R454" s="32" t="str">
        <f t="shared" si="23"/>
        <v>P03.208</v>
      </c>
    </row>
    <row r="455" spans="1:18">
      <c r="A455" s="18"/>
      <c r="B455" s="18"/>
      <c r="C455" s="18"/>
      <c r="D455" s="17">
        <f t="shared" si="22"/>
        <v>977</v>
      </c>
      <c r="E455" s="19" t="s">
        <v>29</v>
      </c>
      <c r="F455" s="20"/>
      <c r="G455" s="21" t="s">
        <v>23</v>
      </c>
      <c r="H455" s="21" t="s">
        <v>23</v>
      </c>
      <c r="I455" s="21" t="s">
        <v>30</v>
      </c>
      <c r="J455" s="17" t="s">
        <v>25</v>
      </c>
      <c r="K455" s="17" t="s">
        <v>26</v>
      </c>
      <c r="L455" s="17" t="s">
        <v>32</v>
      </c>
      <c r="M455" s="19" t="s">
        <v>28</v>
      </c>
      <c r="N455" s="22"/>
      <c r="O455" s="22"/>
      <c r="P455" s="22"/>
      <c r="Q455" s="31">
        <f t="shared" si="24"/>
        <v>1</v>
      </c>
      <c r="R455" s="32" t="str">
        <f t="shared" si="23"/>
        <v>P03.209</v>
      </c>
    </row>
    <row r="456" spans="1:18">
      <c r="A456" s="18"/>
      <c r="B456" s="18"/>
      <c r="C456" s="18"/>
      <c r="D456" s="17">
        <f t="shared" si="22"/>
        <v>978</v>
      </c>
      <c r="E456" s="19" t="s">
        <v>29</v>
      </c>
      <c r="F456" s="20" t="s">
        <v>1075</v>
      </c>
      <c r="G456" s="21" t="s">
        <v>252</v>
      </c>
      <c r="H456" s="21" t="s">
        <v>23</v>
      </c>
      <c r="I456" s="21" t="s">
        <v>989</v>
      </c>
      <c r="J456" s="17" t="s">
        <v>90</v>
      </c>
      <c r="K456" s="17" t="s">
        <v>63</v>
      </c>
      <c r="L456" s="17" t="s">
        <v>27</v>
      </c>
      <c r="M456" s="19" t="s">
        <v>28</v>
      </c>
      <c r="N456" s="22"/>
      <c r="O456" s="22" t="s">
        <v>1076</v>
      </c>
      <c r="P456" s="22" t="s">
        <v>1077</v>
      </c>
      <c r="Q456" s="31">
        <f t="shared" si="24"/>
        <v>1</v>
      </c>
      <c r="R456" s="32" t="str">
        <f t="shared" si="23"/>
        <v>P03.210</v>
      </c>
    </row>
    <row r="457" spans="1:18">
      <c r="A457" s="18"/>
      <c r="B457" s="18"/>
      <c r="C457" s="18"/>
      <c r="D457" s="17">
        <f t="shared" si="22"/>
        <v>979</v>
      </c>
      <c r="E457" s="19" t="s">
        <v>29</v>
      </c>
      <c r="F457" s="20"/>
      <c r="G457" s="21" t="s">
        <v>23</v>
      </c>
      <c r="H457" s="21" t="s">
        <v>23</v>
      </c>
      <c r="I457" s="21" t="s">
        <v>30</v>
      </c>
      <c r="J457" s="17" t="s">
        <v>25</v>
      </c>
      <c r="K457" s="17" t="s">
        <v>26</v>
      </c>
      <c r="L457" s="17" t="s">
        <v>32</v>
      </c>
      <c r="M457" s="19" t="s">
        <v>28</v>
      </c>
      <c r="N457" s="22"/>
      <c r="O457" s="22"/>
      <c r="P457" s="22"/>
      <c r="Q457" s="31">
        <f t="shared" si="24"/>
        <v>1</v>
      </c>
      <c r="R457" s="32" t="str">
        <f t="shared" si="23"/>
        <v>P03.211</v>
      </c>
    </row>
    <row r="458" spans="1:18">
      <c r="A458" s="18"/>
      <c r="B458" s="18"/>
      <c r="C458" s="18"/>
      <c r="D458" s="17">
        <f t="shared" si="22"/>
        <v>980</v>
      </c>
      <c r="E458" s="19" t="s">
        <v>29</v>
      </c>
      <c r="F458" s="20"/>
      <c r="G458" s="21" t="s">
        <v>23</v>
      </c>
      <c r="H458" s="21" t="s">
        <v>23</v>
      </c>
      <c r="I458" s="21" t="s">
        <v>30</v>
      </c>
      <c r="J458" s="17" t="s">
        <v>25</v>
      </c>
      <c r="K458" s="17" t="s">
        <v>26</v>
      </c>
      <c r="L458" s="17" t="s">
        <v>32</v>
      </c>
      <c r="M458" s="19" t="s">
        <v>28</v>
      </c>
      <c r="N458" s="22"/>
      <c r="O458" s="22"/>
      <c r="P458" s="22"/>
      <c r="Q458" s="31">
        <f t="shared" si="24"/>
        <v>1</v>
      </c>
      <c r="R458" s="32" t="str">
        <f t="shared" si="23"/>
        <v>P03.212</v>
      </c>
    </row>
    <row r="459" spans="1:18">
      <c r="A459" s="18"/>
      <c r="B459" s="18"/>
      <c r="C459" s="18"/>
      <c r="D459" s="17">
        <f t="shared" si="22"/>
        <v>981</v>
      </c>
      <c r="E459" s="19" t="s">
        <v>29</v>
      </c>
      <c r="F459" s="20"/>
      <c r="G459" s="21" t="s">
        <v>23</v>
      </c>
      <c r="H459" s="21" t="s">
        <v>23</v>
      </c>
      <c r="I459" s="21" t="s">
        <v>30</v>
      </c>
      <c r="J459" s="17" t="s">
        <v>25</v>
      </c>
      <c r="K459" s="17" t="s">
        <v>26</v>
      </c>
      <c r="L459" s="17" t="s">
        <v>32</v>
      </c>
      <c r="M459" s="19" t="s">
        <v>28</v>
      </c>
      <c r="N459" s="22"/>
      <c r="O459" s="22"/>
      <c r="P459" s="22"/>
      <c r="Q459" s="31">
        <f t="shared" si="24"/>
        <v>1</v>
      </c>
      <c r="R459" s="32" t="str">
        <f t="shared" si="23"/>
        <v>P03.213</v>
      </c>
    </row>
    <row r="460" spans="1:18">
      <c r="A460" s="18"/>
      <c r="B460" s="18"/>
      <c r="C460" s="18"/>
      <c r="D460" s="17">
        <f t="shared" si="22"/>
        <v>982</v>
      </c>
      <c r="E460" s="19" t="s">
        <v>29</v>
      </c>
      <c r="F460" s="20" t="s">
        <v>1078</v>
      </c>
      <c r="G460" s="21" t="s">
        <v>183</v>
      </c>
      <c r="H460" s="21" t="s">
        <v>172</v>
      </c>
      <c r="I460" s="21" t="s">
        <v>30</v>
      </c>
      <c r="J460" s="17" t="s">
        <v>25</v>
      </c>
      <c r="K460" s="17" t="s">
        <v>63</v>
      </c>
      <c r="L460" s="17" t="s">
        <v>27</v>
      </c>
      <c r="M460" s="19" t="s">
        <v>28</v>
      </c>
      <c r="N460" s="22"/>
      <c r="O460" s="22" t="s">
        <v>1079</v>
      </c>
      <c r="P460" s="22"/>
      <c r="Q460" s="31">
        <f t="shared" si="24"/>
        <v>1</v>
      </c>
      <c r="R460" s="32" t="str">
        <f t="shared" si="23"/>
        <v>P03.214</v>
      </c>
    </row>
    <row r="461" spans="1:18">
      <c r="A461" s="18"/>
      <c r="B461" s="18"/>
      <c r="C461" s="18"/>
      <c r="D461" s="17">
        <f t="shared" si="22"/>
        <v>983</v>
      </c>
      <c r="E461" s="19" t="s">
        <v>29</v>
      </c>
      <c r="F461" s="20" t="s">
        <v>1080</v>
      </c>
      <c r="G461" s="21" t="s">
        <v>183</v>
      </c>
      <c r="H461" s="21" t="s">
        <v>172</v>
      </c>
      <c r="I461" s="21" t="s">
        <v>30</v>
      </c>
      <c r="J461" s="17" t="s">
        <v>25</v>
      </c>
      <c r="K461" s="17" t="s">
        <v>63</v>
      </c>
      <c r="L461" s="17" t="s">
        <v>27</v>
      </c>
      <c r="M461" s="19" t="s">
        <v>28</v>
      </c>
      <c r="N461" s="22"/>
      <c r="O461" s="22" t="s">
        <v>1081</v>
      </c>
      <c r="P461" s="22"/>
      <c r="Q461" s="31">
        <f t="shared" si="24"/>
        <v>1</v>
      </c>
      <c r="R461" s="32" t="str">
        <f t="shared" si="23"/>
        <v>P03.215</v>
      </c>
    </row>
    <row r="462" spans="1:18">
      <c r="A462" s="18"/>
      <c r="B462" s="18"/>
      <c r="C462" s="18"/>
      <c r="D462" s="17">
        <f t="shared" si="22"/>
        <v>984</v>
      </c>
      <c r="E462" s="19" t="s">
        <v>29</v>
      </c>
      <c r="F462" s="20"/>
      <c r="G462" s="21" t="s">
        <v>23</v>
      </c>
      <c r="H462" s="21" t="s">
        <v>23</v>
      </c>
      <c r="I462" s="21" t="s">
        <v>30</v>
      </c>
      <c r="J462" s="17" t="s">
        <v>25</v>
      </c>
      <c r="K462" s="17" t="s">
        <v>26</v>
      </c>
      <c r="L462" s="17" t="s">
        <v>32</v>
      </c>
      <c r="M462" s="19" t="s">
        <v>28</v>
      </c>
      <c r="N462" s="22"/>
      <c r="O462" s="22"/>
      <c r="P462" s="22"/>
      <c r="Q462" s="31">
        <f t="shared" si="24"/>
        <v>1</v>
      </c>
      <c r="R462" s="32" t="str">
        <f t="shared" si="23"/>
        <v>P03.216</v>
      </c>
    </row>
    <row r="463" spans="1:18">
      <c r="A463" s="18"/>
      <c r="B463" s="18"/>
      <c r="C463" s="18"/>
      <c r="D463" s="17">
        <f t="shared" si="22"/>
        <v>985</v>
      </c>
      <c r="E463" s="19" t="s">
        <v>29</v>
      </c>
      <c r="F463" s="20" t="s">
        <v>1082</v>
      </c>
      <c r="G463" s="21" t="s">
        <v>23</v>
      </c>
      <c r="H463" s="21" t="s">
        <v>23</v>
      </c>
      <c r="I463" s="21" t="s">
        <v>920</v>
      </c>
      <c r="J463" s="17" t="s">
        <v>25</v>
      </c>
      <c r="K463" s="17" t="s">
        <v>63</v>
      </c>
      <c r="L463" s="17" t="s">
        <v>27</v>
      </c>
      <c r="M463" s="19" t="s">
        <v>28</v>
      </c>
      <c r="N463" s="22"/>
      <c r="O463" s="22" t="s">
        <v>1083</v>
      </c>
      <c r="P463" s="22"/>
      <c r="Q463" s="31">
        <f t="shared" si="24"/>
        <v>1</v>
      </c>
      <c r="R463" s="32" t="str">
        <f t="shared" si="23"/>
        <v>P03.217</v>
      </c>
    </row>
    <row r="464" spans="1:18">
      <c r="A464" s="18"/>
      <c r="B464" s="18"/>
      <c r="C464" s="18"/>
      <c r="D464" s="17">
        <f t="shared" si="22"/>
        <v>986</v>
      </c>
      <c r="E464" s="19" t="s">
        <v>92</v>
      </c>
      <c r="F464" s="22" t="s">
        <v>1084</v>
      </c>
      <c r="G464" s="21" t="s">
        <v>23</v>
      </c>
      <c r="H464" s="21" t="s">
        <v>94</v>
      </c>
      <c r="I464" s="21" t="s">
        <v>95</v>
      </c>
      <c r="J464" s="17" t="s">
        <v>25</v>
      </c>
      <c r="K464" s="17" t="s">
        <v>63</v>
      </c>
      <c r="L464" s="17" t="s">
        <v>27</v>
      </c>
      <c r="M464" s="19" t="s">
        <v>28</v>
      </c>
      <c r="N464" s="22"/>
      <c r="O464" s="22" t="s">
        <v>1085</v>
      </c>
      <c r="P464" s="22"/>
      <c r="Q464" s="31">
        <f t="shared" si="24"/>
        <v>1</v>
      </c>
      <c r="R464" s="32" t="str">
        <f t="shared" si="23"/>
        <v>P03.218</v>
      </c>
    </row>
    <row r="465" spans="1:18">
      <c r="A465" s="18"/>
      <c r="B465" s="18"/>
      <c r="C465" s="18"/>
      <c r="D465" s="17">
        <f t="shared" si="22"/>
        <v>987</v>
      </c>
      <c r="E465" s="19" t="s">
        <v>92</v>
      </c>
      <c r="F465" s="22" t="s">
        <v>1086</v>
      </c>
      <c r="G465" s="21" t="s">
        <v>23</v>
      </c>
      <c r="H465" s="21" t="s">
        <v>94</v>
      </c>
      <c r="I465" s="21" t="s">
        <v>95</v>
      </c>
      <c r="J465" s="17" t="s">
        <v>25</v>
      </c>
      <c r="K465" s="17" t="s">
        <v>63</v>
      </c>
      <c r="L465" s="17" t="s">
        <v>27</v>
      </c>
      <c r="M465" s="19" t="s">
        <v>28</v>
      </c>
      <c r="N465" s="22"/>
      <c r="O465" s="22" t="s">
        <v>1087</v>
      </c>
      <c r="P465" s="22"/>
      <c r="Q465" s="31">
        <f t="shared" si="24"/>
        <v>1</v>
      </c>
      <c r="R465" s="32" t="str">
        <f t="shared" si="23"/>
        <v>P03.219</v>
      </c>
    </row>
    <row r="466" spans="1:18">
      <c r="A466" s="18"/>
      <c r="B466" s="18"/>
      <c r="C466" s="18"/>
      <c r="D466" s="17">
        <f t="shared" si="22"/>
        <v>988</v>
      </c>
      <c r="E466" s="19" t="s">
        <v>92</v>
      </c>
      <c r="F466" s="22" t="s">
        <v>1088</v>
      </c>
      <c r="G466" s="21" t="s">
        <v>23</v>
      </c>
      <c r="H466" s="21" t="s">
        <v>94</v>
      </c>
      <c r="I466" s="21" t="s">
        <v>95</v>
      </c>
      <c r="J466" s="17" t="s">
        <v>25</v>
      </c>
      <c r="K466" s="17" t="s">
        <v>63</v>
      </c>
      <c r="L466" s="17" t="s">
        <v>27</v>
      </c>
      <c r="M466" s="19" t="s">
        <v>28</v>
      </c>
      <c r="N466" s="22"/>
      <c r="O466" s="22" t="s">
        <v>1089</v>
      </c>
      <c r="P466" s="22"/>
      <c r="Q466" s="31">
        <f t="shared" si="24"/>
        <v>1</v>
      </c>
      <c r="R466" s="32" t="str">
        <f t="shared" si="23"/>
        <v>P03.220</v>
      </c>
    </row>
    <row r="467" spans="1:18">
      <c r="A467" s="18"/>
      <c r="B467" s="18"/>
      <c r="C467" s="18"/>
      <c r="D467" s="17">
        <f t="shared" si="22"/>
        <v>989</v>
      </c>
      <c r="E467" s="19" t="s">
        <v>92</v>
      </c>
      <c r="F467" s="22" t="s">
        <v>1090</v>
      </c>
      <c r="G467" s="21" t="s">
        <v>23</v>
      </c>
      <c r="H467" s="21" t="s">
        <v>94</v>
      </c>
      <c r="I467" s="21" t="s">
        <v>95</v>
      </c>
      <c r="J467" s="17" t="s">
        <v>25</v>
      </c>
      <c r="K467" s="17" t="s">
        <v>63</v>
      </c>
      <c r="L467" s="17" t="s">
        <v>27</v>
      </c>
      <c r="M467" s="19" t="s">
        <v>28</v>
      </c>
      <c r="N467" s="22"/>
      <c r="O467" s="22" t="s">
        <v>1091</v>
      </c>
      <c r="P467" s="22"/>
      <c r="Q467" s="31">
        <f t="shared" si="24"/>
        <v>1</v>
      </c>
      <c r="R467" s="32" t="str">
        <f t="shared" si="23"/>
        <v>P03.221</v>
      </c>
    </row>
    <row r="468" spans="1:18">
      <c r="A468" s="18"/>
      <c r="B468" s="18"/>
      <c r="C468" s="18"/>
      <c r="D468" s="17">
        <f t="shared" si="22"/>
        <v>990</v>
      </c>
      <c r="E468" s="19" t="s">
        <v>92</v>
      </c>
      <c r="F468" s="22" t="s">
        <v>1092</v>
      </c>
      <c r="G468" s="21" t="s">
        <v>23</v>
      </c>
      <c r="H468" s="21" t="s">
        <v>94</v>
      </c>
      <c r="I468" s="21" t="s">
        <v>95</v>
      </c>
      <c r="J468" s="17" t="s">
        <v>25</v>
      </c>
      <c r="K468" s="17" t="s">
        <v>63</v>
      </c>
      <c r="L468" s="17" t="s">
        <v>27</v>
      </c>
      <c r="M468" s="19" t="s">
        <v>28</v>
      </c>
      <c r="N468" s="22"/>
      <c r="O468" s="22" t="s">
        <v>1093</v>
      </c>
      <c r="P468" s="22"/>
      <c r="Q468" s="31">
        <f t="shared" si="24"/>
        <v>1</v>
      </c>
      <c r="R468" s="32" t="str">
        <f t="shared" si="23"/>
        <v>P03.222</v>
      </c>
    </row>
    <row r="469" spans="1:18">
      <c r="A469" s="18"/>
      <c r="B469" s="18"/>
      <c r="C469" s="18"/>
      <c r="D469" s="17">
        <f t="shared" si="22"/>
        <v>991</v>
      </c>
      <c r="E469" s="19" t="s">
        <v>92</v>
      </c>
      <c r="F469" s="22" t="s">
        <v>1094</v>
      </c>
      <c r="G469" s="21" t="s">
        <v>23</v>
      </c>
      <c r="H469" s="21" t="s">
        <v>94</v>
      </c>
      <c r="I469" s="21" t="s">
        <v>95</v>
      </c>
      <c r="J469" s="17" t="s">
        <v>25</v>
      </c>
      <c r="K469" s="17" t="s">
        <v>63</v>
      </c>
      <c r="L469" s="17" t="s">
        <v>27</v>
      </c>
      <c r="M469" s="19" t="s">
        <v>28</v>
      </c>
      <c r="N469" s="22"/>
      <c r="O469" s="22" t="s">
        <v>1095</v>
      </c>
      <c r="P469" s="22"/>
      <c r="Q469" s="31">
        <f t="shared" si="24"/>
        <v>1</v>
      </c>
      <c r="R469" s="32" t="str">
        <f t="shared" si="23"/>
        <v>P03.223</v>
      </c>
    </row>
    <row r="470" spans="1:18">
      <c r="A470" s="18"/>
      <c r="B470" s="18"/>
      <c r="C470" s="18"/>
      <c r="D470" s="17">
        <f t="shared" si="22"/>
        <v>992</v>
      </c>
      <c r="E470" s="19" t="s">
        <v>92</v>
      </c>
      <c r="F470" s="22" t="s">
        <v>1096</v>
      </c>
      <c r="G470" s="21" t="s">
        <v>23</v>
      </c>
      <c r="H470" s="21" t="s">
        <v>94</v>
      </c>
      <c r="I470" s="21" t="s">
        <v>95</v>
      </c>
      <c r="J470" s="17" t="s">
        <v>25</v>
      </c>
      <c r="K470" s="17" t="s">
        <v>63</v>
      </c>
      <c r="L470" s="17" t="s">
        <v>27</v>
      </c>
      <c r="M470" s="19" t="s">
        <v>28</v>
      </c>
      <c r="N470" s="22"/>
      <c r="O470" s="22" t="s">
        <v>1097</v>
      </c>
      <c r="P470" s="22"/>
      <c r="Q470" s="31">
        <f t="shared" si="24"/>
        <v>1</v>
      </c>
      <c r="R470" s="32" t="str">
        <f t="shared" si="23"/>
        <v>P03.224</v>
      </c>
    </row>
    <row r="471" spans="1:18">
      <c r="A471" s="18"/>
      <c r="B471" s="18"/>
      <c r="C471" s="18"/>
      <c r="D471" s="17">
        <f t="shared" si="22"/>
        <v>993</v>
      </c>
      <c r="E471" s="19" t="s">
        <v>92</v>
      </c>
      <c r="F471" s="22" t="s">
        <v>1098</v>
      </c>
      <c r="G471" s="21" t="s">
        <v>23</v>
      </c>
      <c r="H471" s="21" t="s">
        <v>94</v>
      </c>
      <c r="I471" s="21" t="s">
        <v>95</v>
      </c>
      <c r="J471" s="17" t="s">
        <v>25</v>
      </c>
      <c r="K471" s="17" t="s">
        <v>63</v>
      </c>
      <c r="L471" s="17" t="s">
        <v>27</v>
      </c>
      <c r="M471" s="19" t="s">
        <v>28</v>
      </c>
      <c r="N471" s="22"/>
      <c r="O471" s="22" t="s">
        <v>1099</v>
      </c>
      <c r="P471" s="22"/>
      <c r="Q471" s="31">
        <f t="shared" si="24"/>
        <v>1</v>
      </c>
      <c r="R471" s="32" t="str">
        <f t="shared" si="23"/>
        <v>P03.225</v>
      </c>
    </row>
    <row r="472" spans="1:18">
      <c r="A472" s="18"/>
      <c r="B472" s="18"/>
      <c r="C472" s="18"/>
      <c r="D472" s="17">
        <f t="shared" si="22"/>
        <v>994</v>
      </c>
      <c r="E472" s="19" t="s">
        <v>92</v>
      </c>
      <c r="F472" s="22" t="s">
        <v>1100</v>
      </c>
      <c r="G472" s="21" t="s">
        <v>23</v>
      </c>
      <c r="H472" s="21" t="s">
        <v>94</v>
      </c>
      <c r="I472" s="21" t="s">
        <v>95</v>
      </c>
      <c r="J472" s="17" t="s">
        <v>25</v>
      </c>
      <c r="K472" s="17" t="s">
        <v>63</v>
      </c>
      <c r="L472" s="17" t="s">
        <v>27</v>
      </c>
      <c r="M472" s="19" t="s">
        <v>28</v>
      </c>
      <c r="N472" s="22"/>
      <c r="O472" s="22" t="s">
        <v>1101</v>
      </c>
      <c r="P472" s="22"/>
      <c r="Q472" s="31">
        <f t="shared" si="24"/>
        <v>1</v>
      </c>
      <c r="R472" s="32" t="str">
        <f t="shared" si="23"/>
        <v>P03.226</v>
      </c>
    </row>
    <row r="473" spans="1:18">
      <c r="A473" s="18"/>
      <c r="B473" s="18"/>
      <c r="C473" s="18"/>
      <c r="D473" s="17">
        <f t="shared" si="22"/>
        <v>995</v>
      </c>
      <c r="E473" s="19" t="s">
        <v>92</v>
      </c>
      <c r="F473" s="22" t="s">
        <v>1102</v>
      </c>
      <c r="G473" s="21" t="s">
        <v>23</v>
      </c>
      <c r="H473" s="21" t="s">
        <v>94</v>
      </c>
      <c r="I473" s="21" t="s">
        <v>95</v>
      </c>
      <c r="J473" s="17" t="s">
        <v>25</v>
      </c>
      <c r="K473" s="17" t="s">
        <v>63</v>
      </c>
      <c r="L473" s="17" t="s">
        <v>27</v>
      </c>
      <c r="M473" s="19" t="s">
        <v>28</v>
      </c>
      <c r="N473" s="22"/>
      <c r="O473" s="22" t="s">
        <v>1103</v>
      </c>
      <c r="P473" s="22"/>
      <c r="Q473" s="31">
        <f t="shared" si="24"/>
        <v>1</v>
      </c>
      <c r="R473" s="32" t="str">
        <f t="shared" si="23"/>
        <v>P03.227</v>
      </c>
    </row>
    <row r="474" spans="1:18">
      <c r="A474" s="18"/>
      <c r="B474" s="18"/>
      <c r="C474" s="18"/>
      <c r="D474" s="17">
        <f t="shared" ref="D474:D537" si="25">INDEX(D:D,ROW()-1)+_xlfn.IFS(INDEX(E:E,ROW()-1)="u16",1,INDEX(E:E,ROW()-1)="s16",1,INDEX(E:E,ROW()-1)="s32",2,INDEX(E:E,ROW()-1)="s64",4,INDEX(E:E,ROW()-1)="u16",1,INDEX(E:E,ROW()-1)="u32",2,INDEX(E:E,ROW()-1)="u64",4,INDEX(E:E,ROW()-1)="f32",2,INDEX(E:E,ROW()-1)="f64",4)</f>
        <v>996</v>
      </c>
      <c r="E474" s="19" t="s">
        <v>92</v>
      </c>
      <c r="F474" s="22" t="s">
        <v>1104</v>
      </c>
      <c r="G474" s="21" t="s">
        <v>23</v>
      </c>
      <c r="H474" s="21" t="s">
        <v>94</v>
      </c>
      <c r="I474" s="21" t="s">
        <v>95</v>
      </c>
      <c r="J474" s="17" t="s">
        <v>25</v>
      </c>
      <c r="K474" s="17" t="s">
        <v>63</v>
      </c>
      <c r="L474" s="17" t="s">
        <v>27</v>
      </c>
      <c r="M474" s="19" t="s">
        <v>28</v>
      </c>
      <c r="N474" s="22"/>
      <c r="O474" s="22" t="s">
        <v>1105</v>
      </c>
      <c r="P474" s="22"/>
      <c r="Q474" s="31">
        <f t="shared" si="24"/>
        <v>1</v>
      </c>
      <c r="R474" s="32" t="str">
        <f t="shared" si="23"/>
        <v>P03.228</v>
      </c>
    </row>
    <row r="475" spans="1:18">
      <c r="A475" s="18"/>
      <c r="B475" s="18"/>
      <c r="C475" s="18"/>
      <c r="D475" s="17">
        <f t="shared" si="25"/>
        <v>997</v>
      </c>
      <c r="E475" s="19" t="s">
        <v>92</v>
      </c>
      <c r="F475" s="22" t="s">
        <v>1106</v>
      </c>
      <c r="G475" s="21" t="s">
        <v>23</v>
      </c>
      <c r="H475" s="21" t="s">
        <v>94</v>
      </c>
      <c r="I475" s="21" t="s">
        <v>95</v>
      </c>
      <c r="J475" s="17" t="s">
        <v>25</v>
      </c>
      <c r="K475" s="17" t="s">
        <v>63</v>
      </c>
      <c r="L475" s="17" t="s">
        <v>27</v>
      </c>
      <c r="M475" s="19" t="s">
        <v>28</v>
      </c>
      <c r="N475" s="22"/>
      <c r="O475" s="22" t="s">
        <v>1107</v>
      </c>
      <c r="P475" s="22"/>
      <c r="Q475" s="31">
        <f t="shared" si="24"/>
        <v>1</v>
      </c>
      <c r="R475" s="32" t="str">
        <f t="shared" si="23"/>
        <v>P03.229</v>
      </c>
    </row>
    <row r="476" spans="1:18">
      <c r="A476" s="18"/>
      <c r="B476" s="18"/>
      <c r="C476" s="18"/>
      <c r="D476" s="17">
        <f t="shared" si="25"/>
        <v>998</v>
      </c>
      <c r="E476" s="19" t="s">
        <v>92</v>
      </c>
      <c r="F476" s="22" t="s">
        <v>1108</v>
      </c>
      <c r="G476" s="21" t="s">
        <v>23</v>
      </c>
      <c r="H476" s="21" t="s">
        <v>94</v>
      </c>
      <c r="I476" s="21" t="s">
        <v>95</v>
      </c>
      <c r="J476" s="17" t="s">
        <v>25</v>
      </c>
      <c r="K476" s="17" t="s">
        <v>63</v>
      </c>
      <c r="L476" s="17" t="s">
        <v>27</v>
      </c>
      <c r="M476" s="19" t="s">
        <v>28</v>
      </c>
      <c r="N476" s="22"/>
      <c r="O476" s="22" t="s">
        <v>1109</v>
      </c>
      <c r="P476" s="22"/>
      <c r="Q476" s="31">
        <f t="shared" si="24"/>
        <v>1</v>
      </c>
      <c r="R476" s="32" t="str">
        <f t="shared" si="23"/>
        <v>P03.230</v>
      </c>
    </row>
    <row r="477" spans="1:18">
      <c r="A477" s="18"/>
      <c r="B477" s="18"/>
      <c r="C477" s="18"/>
      <c r="D477" s="17">
        <f t="shared" si="25"/>
        <v>999</v>
      </c>
      <c r="E477" s="19" t="s">
        <v>92</v>
      </c>
      <c r="F477" s="22" t="s">
        <v>1110</v>
      </c>
      <c r="G477" s="21" t="s">
        <v>23</v>
      </c>
      <c r="H477" s="21" t="s">
        <v>94</v>
      </c>
      <c r="I477" s="21" t="s">
        <v>95</v>
      </c>
      <c r="J477" s="17" t="s">
        <v>25</v>
      </c>
      <c r="K477" s="17" t="s">
        <v>63</v>
      </c>
      <c r="L477" s="17" t="s">
        <v>27</v>
      </c>
      <c r="M477" s="19" t="s">
        <v>28</v>
      </c>
      <c r="N477" s="22"/>
      <c r="O477" s="22" t="s">
        <v>1111</v>
      </c>
      <c r="P477" s="22"/>
      <c r="Q477" s="31">
        <f t="shared" si="24"/>
        <v>1</v>
      </c>
      <c r="R477" s="32" t="str">
        <f t="shared" si="23"/>
        <v>P03.231</v>
      </c>
    </row>
    <row r="478" spans="1:18">
      <c r="A478" s="18"/>
      <c r="B478" s="18"/>
      <c r="C478" s="18"/>
      <c r="D478" s="17">
        <f t="shared" si="25"/>
        <v>1000</v>
      </c>
      <c r="E478" s="19" t="s">
        <v>92</v>
      </c>
      <c r="F478" s="22" t="s">
        <v>1112</v>
      </c>
      <c r="G478" s="21" t="s">
        <v>23</v>
      </c>
      <c r="H478" s="21" t="s">
        <v>94</v>
      </c>
      <c r="I478" s="21" t="s">
        <v>95</v>
      </c>
      <c r="J478" s="17" t="s">
        <v>25</v>
      </c>
      <c r="K478" s="17" t="s">
        <v>63</v>
      </c>
      <c r="L478" s="17" t="s">
        <v>27</v>
      </c>
      <c r="M478" s="19" t="s">
        <v>28</v>
      </c>
      <c r="N478" s="22"/>
      <c r="O478" s="22" t="s">
        <v>1113</v>
      </c>
      <c r="P478" s="22"/>
      <c r="Q478" s="31">
        <f t="shared" si="24"/>
        <v>1</v>
      </c>
      <c r="R478" s="32" t="str">
        <f t="shared" si="23"/>
        <v>P03.232</v>
      </c>
    </row>
    <row r="479" spans="1:18">
      <c r="A479" s="18"/>
      <c r="B479" s="18"/>
      <c r="C479" s="18"/>
      <c r="D479" s="17">
        <f t="shared" si="25"/>
        <v>1001</v>
      </c>
      <c r="E479" s="19" t="s">
        <v>92</v>
      </c>
      <c r="F479" s="22" t="s">
        <v>1114</v>
      </c>
      <c r="G479" s="21" t="s">
        <v>23</v>
      </c>
      <c r="H479" s="21" t="s">
        <v>94</v>
      </c>
      <c r="I479" s="21" t="s">
        <v>95</v>
      </c>
      <c r="J479" s="17" t="s">
        <v>25</v>
      </c>
      <c r="K479" s="17" t="s">
        <v>63</v>
      </c>
      <c r="L479" s="17" t="s">
        <v>27</v>
      </c>
      <c r="M479" s="19" t="s">
        <v>28</v>
      </c>
      <c r="N479" s="22"/>
      <c r="O479" s="22" t="s">
        <v>1115</v>
      </c>
      <c r="P479" s="22"/>
      <c r="Q479" s="31">
        <f t="shared" si="24"/>
        <v>1</v>
      </c>
      <c r="R479" s="32" t="str">
        <f t="shared" si="23"/>
        <v>P03.233</v>
      </c>
    </row>
    <row r="480" spans="1:18">
      <c r="A480" s="18"/>
      <c r="B480" s="18"/>
      <c r="C480" s="18"/>
      <c r="D480" s="17">
        <f t="shared" si="25"/>
        <v>1002</v>
      </c>
      <c r="E480" s="19" t="s">
        <v>29</v>
      </c>
      <c r="F480" s="20"/>
      <c r="G480" s="21" t="s">
        <v>23</v>
      </c>
      <c r="H480" s="21" t="s">
        <v>23</v>
      </c>
      <c r="I480" s="21" t="s">
        <v>30</v>
      </c>
      <c r="J480" s="17" t="s">
        <v>25</v>
      </c>
      <c r="K480" s="17" t="s">
        <v>26</v>
      </c>
      <c r="L480" s="17" t="s">
        <v>32</v>
      </c>
      <c r="M480" s="19" t="s">
        <v>28</v>
      </c>
      <c r="N480" s="22"/>
      <c r="O480" s="22"/>
      <c r="P480" s="22"/>
      <c r="Q480" s="31">
        <f t="shared" si="24"/>
        <v>1</v>
      </c>
      <c r="R480" s="32" t="str">
        <f t="shared" si="23"/>
        <v>P03.234</v>
      </c>
    </row>
    <row r="481" spans="1:18">
      <c r="A481" s="34"/>
      <c r="B481" s="34"/>
      <c r="C481" s="18"/>
      <c r="D481" s="17">
        <f t="shared" si="25"/>
        <v>1003</v>
      </c>
      <c r="E481" s="19" t="s">
        <v>29</v>
      </c>
      <c r="F481" s="20"/>
      <c r="G481" s="21" t="s">
        <v>23</v>
      </c>
      <c r="H481" s="21" t="s">
        <v>23</v>
      </c>
      <c r="I481" s="21" t="s">
        <v>30</v>
      </c>
      <c r="J481" s="17" t="s">
        <v>25</v>
      </c>
      <c r="K481" s="17" t="s">
        <v>26</v>
      </c>
      <c r="L481" s="17" t="s">
        <v>32</v>
      </c>
      <c r="M481" s="19" t="s">
        <v>28</v>
      </c>
      <c r="N481" s="22"/>
      <c r="O481" s="22"/>
      <c r="P481" s="22"/>
      <c r="Q481" s="31">
        <f t="shared" si="24"/>
        <v>1</v>
      </c>
      <c r="R481" s="32" t="str">
        <f t="shared" si="23"/>
        <v>P03.235</v>
      </c>
    </row>
    <row r="482" spans="1:18">
      <c r="A482" s="33">
        <v>8</v>
      </c>
      <c r="B482" s="33" t="s">
        <v>1116</v>
      </c>
      <c r="C482" s="33"/>
      <c r="D482" s="17">
        <f t="shared" si="25"/>
        <v>1004</v>
      </c>
      <c r="E482" s="17" t="s">
        <v>29</v>
      </c>
      <c r="F482" s="22" t="s">
        <v>1117</v>
      </c>
      <c r="G482" s="31">
        <v>0</v>
      </c>
      <c r="H482" s="31">
        <v>0</v>
      </c>
      <c r="I482" s="21" t="s">
        <v>30</v>
      </c>
      <c r="J482" s="17" t="s">
        <v>25</v>
      </c>
      <c r="K482" s="17" t="s">
        <v>26</v>
      </c>
      <c r="L482" s="17" t="s">
        <v>32</v>
      </c>
      <c r="M482" s="19" t="s">
        <v>28</v>
      </c>
      <c r="N482" s="17"/>
      <c r="O482" s="22"/>
      <c r="P482" s="22" t="s">
        <v>1118</v>
      </c>
      <c r="Q482" s="31">
        <f t="shared" si="24"/>
        <v>0</v>
      </c>
      <c r="R482" s="32" t="str">
        <f t="shared" si="23"/>
        <v>P03.236</v>
      </c>
    </row>
    <row r="483" spans="1:18">
      <c r="A483" s="18"/>
      <c r="B483" s="18"/>
      <c r="C483" s="18"/>
      <c r="D483" s="17">
        <f t="shared" si="25"/>
        <v>1005</v>
      </c>
      <c r="E483" s="17" t="s">
        <v>29</v>
      </c>
      <c r="F483" s="22" t="s">
        <v>1119</v>
      </c>
      <c r="G483" s="31">
        <v>0</v>
      </c>
      <c r="H483" s="31">
        <v>0</v>
      </c>
      <c r="I483" s="21" t="s">
        <v>30</v>
      </c>
      <c r="J483" s="17" t="s">
        <v>25</v>
      </c>
      <c r="K483" s="17" t="s">
        <v>26</v>
      </c>
      <c r="L483" s="17" t="s">
        <v>32</v>
      </c>
      <c r="M483" s="19" t="s">
        <v>28</v>
      </c>
      <c r="N483" s="17"/>
      <c r="O483" s="22"/>
      <c r="P483" s="22" t="s">
        <v>1120</v>
      </c>
      <c r="Q483" s="31">
        <f t="shared" si="24"/>
        <v>0</v>
      </c>
      <c r="R483" s="32" t="str">
        <f t="shared" si="23"/>
        <v>P03.237</v>
      </c>
    </row>
    <row r="484" spans="1:18">
      <c r="A484" s="18"/>
      <c r="B484" s="18"/>
      <c r="C484" s="18"/>
      <c r="D484" s="17">
        <f t="shared" si="25"/>
        <v>1006</v>
      </c>
      <c r="E484" s="17" t="s">
        <v>29</v>
      </c>
      <c r="F484" s="22" t="s">
        <v>1121</v>
      </c>
      <c r="G484" s="31">
        <v>0</v>
      </c>
      <c r="H484" s="31">
        <v>0</v>
      </c>
      <c r="I484" s="21" t="s">
        <v>30</v>
      </c>
      <c r="J484" s="17" t="s">
        <v>25</v>
      </c>
      <c r="K484" s="17" t="s">
        <v>26</v>
      </c>
      <c r="L484" s="17" t="s">
        <v>32</v>
      </c>
      <c r="M484" s="19" t="s">
        <v>28</v>
      </c>
      <c r="N484" s="17"/>
      <c r="O484" s="22"/>
      <c r="P484" s="22" t="s">
        <v>1122</v>
      </c>
      <c r="Q484" s="31">
        <f t="shared" si="24"/>
        <v>0</v>
      </c>
      <c r="R484" s="32" t="str">
        <f t="shared" si="23"/>
        <v>P03.238</v>
      </c>
    </row>
    <row r="485" spans="1:18">
      <c r="A485" s="18"/>
      <c r="B485" s="18"/>
      <c r="C485" s="18"/>
      <c r="D485" s="17">
        <f t="shared" si="25"/>
        <v>1007</v>
      </c>
      <c r="E485" s="17" t="s">
        <v>92</v>
      </c>
      <c r="F485" s="22" t="s">
        <v>1123</v>
      </c>
      <c r="G485" s="31">
        <v>0</v>
      </c>
      <c r="H485" s="21" t="s">
        <v>94</v>
      </c>
      <c r="I485" s="21" t="s">
        <v>95</v>
      </c>
      <c r="J485" s="17" t="s">
        <v>25</v>
      </c>
      <c r="K485" s="17" t="s">
        <v>26</v>
      </c>
      <c r="L485" s="17" t="s">
        <v>32</v>
      </c>
      <c r="M485" s="19" t="s">
        <v>28</v>
      </c>
      <c r="N485" s="17"/>
      <c r="O485" s="22"/>
      <c r="P485" s="22" t="s">
        <v>1124</v>
      </c>
      <c r="Q485" s="31">
        <f t="shared" si="24"/>
        <v>0</v>
      </c>
      <c r="R485" s="32" t="str">
        <f t="shared" si="23"/>
        <v>P03.239</v>
      </c>
    </row>
    <row r="486" spans="1:18">
      <c r="A486" s="18"/>
      <c r="B486" s="18"/>
      <c r="C486" s="18"/>
      <c r="D486" s="17">
        <f t="shared" si="25"/>
        <v>1008</v>
      </c>
      <c r="E486" s="17" t="s">
        <v>92</v>
      </c>
      <c r="F486" s="22" t="s">
        <v>1125</v>
      </c>
      <c r="G486" s="31">
        <v>0</v>
      </c>
      <c r="H486" s="21" t="s">
        <v>94</v>
      </c>
      <c r="I486" s="21" t="s">
        <v>95</v>
      </c>
      <c r="J486" s="17" t="s">
        <v>25</v>
      </c>
      <c r="K486" s="17" t="s">
        <v>26</v>
      </c>
      <c r="L486" s="17" t="s">
        <v>32</v>
      </c>
      <c r="M486" s="19" t="s">
        <v>28</v>
      </c>
      <c r="N486" s="17"/>
      <c r="O486" s="22"/>
      <c r="P486" s="22" t="s">
        <v>1126</v>
      </c>
      <c r="Q486" s="31">
        <f t="shared" si="24"/>
        <v>0</v>
      </c>
      <c r="R486" s="32" t="str">
        <f t="shared" si="23"/>
        <v>P03.240</v>
      </c>
    </row>
    <row r="487" spans="1:18">
      <c r="A487" s="18"/>
      <c r="B487" s="18"/>
      <c r="C487" s="18"/>
      <c r="D487" s="17">
        <f t="shared" si="25"/>
        <v>1009</v>
      </c>
      <c r="E487" s="17" t="s">
        <v>92</v>
      </c>
      <c r="F487" s="22" t="s">
        <v>1127</v>
      </c>
      <c r="G487" s="31">
        <v>0</v>
      </c>
      <c r="H487" s="21" t="s">
        <v>94</v>
      </c>
      <c r="I487" s="21" t="s">
        <v>95</v>
      </c>
      <c r="J487" s="17" t="s">
        <v>25</v>
      </c>
      <c r="K487" s="17" t="s">
        <v>26</v>
      </c>
      <c r="L487" s="17" t="s">
        <v>32</v>
      </c>
      <c r="M487" s="19" t="s">
        <v>28</v>
      </c>
      <c r="N487" s="17"/>
      <c r="O487" s="22"/>
      <c r="P487" s="22" t="s">
        <v>1128</v>
      </c>
      <c r="Q487" s="31">
        <f t="shared" si="24"/>
        <v>0</v>
      </c>
      <c r="R487" s="32" t="str">
        <f t="shared" si="23"/>
        <v>P03.241</v>
      </c>
    </row>
    <row r="488" spans="1:18">
      <c r="A488" s="18"/>
      <c r="B488" s="18"/>
      <c r="C488" s="18"/>
      <c r="D488" s="17">
        <f t="shared" si="25"/>
        <v>1010</v>
      </c>
      <c r="E488" s="17" t="s">
        <v>92</v>
      </c>
      <c r="F488" s="22" t="s">
        <v>1129</v>
      </c>
      <c r="G488" s="31">
        <v>0</v>
      </c>
      <c r="H488" s="21" t="s">
        <v>94</v>
      </c>
      <c r="I488" s="21" t="s">
        <v>95</v>
      </c>
      <c r="J488" s="17" t="s">
        <v>25</v>
      </c>
      <c r="K488" s="17" t="s">
        <v>26</v>
      </c>
      <c r="L488" s="17" t="s">
        <v>32</v>
      </c>
      <c r="M488" s="19" t="s">
        <v>28</v>
      </c>
      <c r="N488" s="17"/>
      <c r="O488" s="22"/>
      <c r="P488" s="22" t="s">
        <v>1130</v>
      </c>
      <c r="Q488" s="31">
        <f t="shared" si="24"/>
        <v>0</v>
      </c>
      <c r="R488" s="32" t="str">
        <f t="shared" si="23"/>
        <v>P03.242</v>
      </c>
    </row>
    <row r="489" spans="1:18">
      <c r="A489" s="18"/>
      <c r="B489" s="18"/>
      <c r="C489" s="18"/>
      <c r="D489" s="17">
        <f t="shared" si="25"/>
        <v>1011</v>
      </c>
      <c r="E489" s="17" t="s">
        <v>92</v>
      </c>
      <c r="F489" s="22" t="s">
        <v>1131</v>
      </c>
      <c r="G489" s="31">
        <v>0</v>
      </c>
      <c r="H489" s="21" t="s">
        <v>94</v>
      </c>
      <c r="I489" s="21" t="s">
        <v>95</v>
      </c>
      <c r="J489" s="17" t="s">
        <v>25</v>
      </c>
      <c r="K489" s="17" t="s">
        <v>26</v>
      </c>
      <c r="L489" s="17" t="s">
        <v>32</v>
      </c>
      <c r="M489" s="19" t="s">
        <v>28</v>
      </c>
      <c r="N489" s="17"/>
      <c r="O489" s="22"/>
      <c r="P489" s="22" t="s">
        <v>1132</v>
      </c>
      <c r="Q489" s="31">
        <f t="shared" si="24"/>
        <v>0</v>
      </c>
      <c r="R489" s="32" t="str">
        <f t="shared" si="23"/>
        <v>P03.243</v>
      </c>
    </row>
    <row r="490" spans="1:18">
      <c r="A490" s="18"/>
      <c r="B490" s="18"/>
      <c r="C490" s="18"/>
      <c r="D490" s="17">
        <f t="shared" si="25"/>
        <v>1012</v>
      </c>
      <c r="E490" s="17" t="s">
        <v>92</v>
      </c>
      <c r="F490" s="22" t="s">
        <v>1133</v>
      </c>
      <c r="G490" s="31">
        <v>0</v>
      </c>
      <c r="H490" s="21" t="s">
        <v>94</v>
      </c>
      <c r="I490" s="21" t="s">
        <v>95</v>
      </c>
      <c r="J490" s="17" t="s">
        <v>25</v>
      </c>
      <c r="K490" s="17" t="s">
        <v>26</v>
      </c>
      <c r="L490" s="17" t="s">
        <v>32</v>
      </c>
      <c r="M490" s="19" t="s">
        <v>28</v>
      </c>
      <c r="N490" s="17"/>
      <c r="O490" s="22"/>
      <c r="P490" s="22" t="s">
        <v>1134</v>
      </c>
      <c r="Q490" s="31">
        <f t="shared" si="24"/>
        <v>0</v>
      </c>
      <c r="R490" s="32" t="str">
        <f t="shared" si="23"/>
        <v>P03.244</v>
      </c>
    </row>
    <row r="491" spans="1:18">
      <c r="A491" s="18"/>
      <c r="B491" s="18"/>
      <c r="C491" s="18"/>
      <c r="D491" s="17">
        <f t="shared" si="25"/>
        <v>1013</v>
      </c>
      <c r="E491" s="17" t="s">
        <v>92</v>
      </c>
      <c r="F491" s="22" t="s">
        <v>1135</v>
      </c>
      <c r="G491" s="31">
        <v>0</v>
      </c>
      <c r="H491" s="21" t="s">
        <v>94</v>
      </c>
      <c r="I491" s="21" t="s">
        <v>95</v>
      </c>
      <c r="J491" s="17" t="s">
        <v>25</v>
      </c>
      <c r="K491" s="17" t="s">
        <v>26</v>
      </c>
      <c r="L491" s="17" t="s">
        <v>32</v>
      </c>
      <c r="M491" s="19" t="s">
        <v>28</v>
      </c>
      <c r="N491" s="17"/>
      <c r="O491" s="22"/>
      <c r="P491" s="22" t="s">
        <v>1136</v>
      </c>
      <c r="Q491" s="31">
        <f t="shared" si="24"/>
        <v>0</v>
      </c>
      <c r="R491" s="32" t="str">
        <f t="shared" si="23"/>
        <v>P03.245</v>
      </c>
    </row>
    <row r="492" spans="1:18">
      <c r="A492" s="18"/>
      <c r="B492" s="18"/>
      <c r="C492" s="18"/>
      <c r="D492" s="17">
        <f t="shared" si="25"/>
        <v>1014</v>
      </c>
      <c r="E492" s="17" t="s">
        <v>273</v>
      </c>
      <c r="F492" s="22" t="s">
        <v>1137</v>
      </c>
      <c r="G492" s="31">
        <v>0</v>
      </c>
      <c r="H492" s="21" t="s">
        <v>275</v>
      </c>
      <c r="I492" s="21" t="s">
        <v>276</v>
      </c>
      <c r="J492" s="17" t="s">
        <v>25</v>
      </c>
      <c r="K492" s="17" t="s">
        <v>26</v>
      </c>
      <c r="L492" s="17" t="s">
        <v>32</v>
      </c>
      <c r="M492" s="19" t="s">
        <v>28</v>
      </c>
      <c r="N492" s="17"/>
      <c r="O492" s="22"/>
      <c r="P492" s="22" t="s">
        <v>1138</v>
      </c>
      <c r="Q492" s="31">
        <f t="shared" si="24"/>
        <v>0</v>
      </c>
      <c r="R492" s="32" t="str">
        <f t="shared" si="23"/>
        <v>P03.246</v>
      </c>
    </row>
    <row r="493" spans="1:18">
      <c r="A493" s="18"/>
      <c r="B493" s="18"/>
      <c r="C493" s="18"/>
      <c r="D493" s="17">
        <f t="shared" si="25"/>
        <v>1016</v>
      </c>
      <c r="E493" s="17" t="s">
        <v>273</v>
      </c>
      <c r="F493" s="22" t="s">
        <v>1139</v>
      </c>
      <c r="G493" s="31">
        <v>0</v>
      </c>
      <c r="H493" s="21" t="s">
        <v>275</v>
      </c>
      <c r="I493" s="21" t="s">
        <v>276</v>
      </c>
      <c r="J493" s="17" t="s">
        <v>25</v>
      </c>
      <c r="K493" s="17" t="s">
        <v>26</v>
      </c>
      <c r="L493" s="17" t="s">
        <v>32</v>
      </c>
      <c r="M493" s="19" t="s">
        <v>28</v>
      </c>
      <c r="N493" s="17"/>
      <c r="O493" s="22"/>
      <c r="P493" s="22" t="s">
        <v>1140</v>
      </c>
      <c r="Q493" s="31">
        <f t="shared" si="24"/>
        <v>0</v>
      </c>
      <c r="R493" s="32" t="str">
        <f t="shared" si="23"/>
        <v>P03.248</v>
      </c>
    </row>
    <row r="494" spans="1:18">
      <c r="A494" s="18"/>
      <c r="B494" s="18"/>
      <c r="C494" s="18"/>
      <c r="D494" s="17">
        <f t="shared" si="25"/>
        <v>1018</v>
      </c>
      <c r="E494" s="17" t="s">
        <v>273</v>
      </c>
      <c r="F494" s="22" t="s">
        <v>1141</v>
      </c>
      <c r="G494" s="31">
        <v>0</v>
      </c>
      <c r="H494" s="21" t="s">
        <v>275</v>
      </c>
      <c r="I494" s="21" t="s">
        <v>276</v>
      </c>
      <c r="J494" s="17" t="s">
        <v>25</v>
      </c>
      <c r="K494" s="17" t="s">
        <v>26</v>
      </c>
      <c r="L494" s="17" t="s">
        <v>32</v>
      </c>
      <c r="M494" s="19" t="s">
        <v>28</v>
      </c>
      <c r="N494" s="17"/>
      <c r="O494" s="22"/>
      <c r="P494" s="22" t="s">
        <v>1142</v>
      </c>
      <c r="Q494" s="31">
        <f t="shared" si="24"/>
        <v>0</v>
      </c>
      <c r="R494" s="32" t="str">
        <f t="shared" si="23"/>
        <v>P03.250</v>
      </c>
    </row>
    <row r="495" spans="1:18">
      <c r="A495" s="18"/>
      <c r="B495" s="18"/>
      <c r="C495" s="18"/>
      <c r="D495" s="17">
        <f t="shared" si="25"/>
        <v>1020</v>
      </c>
      <c r="E495" s="17" t="s">
        <v>20</v>
      </c>
      <c r="F495" s="22" t="s">
        <v>1143</v>
      </c>
      <c r="G495" s="31">
        <v>0</v>
      </c>
      <c r="H495" s="31">
        <v>0</v>
      </c>
      <c r="I495" s="21" t="s">
        <v>24</v>
      </c>
      <c r="J495" s="17" t="s">
        <v>25</v>
      </c>
      <c r="K495" s="17" t="s">
        <v>26</v>
      </c>
      <c r="L495" s="17" t="s">
        <v>32</v>
      </c>
      <c r="M495" s="19" t="s">
        <v>28</v>
      </c>
      <c r="N495" s="17"/>
      <c r="O495" s="22"/>
      <c r="P495" s="22" t="s">
        <v>1144</v>
      </c>
      <c r="Q495" s="31">
        <f t="shared" si="24"/>
        <v>0</v>
      </c>
      <c r="R495" s="32" t="str">
        <f t="shared" si="23"/>
        <v>P03.252</v>
      </c>
    </row>
    <row r="496" spans="1:18">
      <c r="A496" s="18"/>
      <c r="B496" s="18"/>
      <c r="C496" s="18"/>
      <c r="D496" s="17">
        <f t="shared" si="25"/>
        <v>1022</v>
      </c>
      <c r="E496" s="17" t="s">
        <v>20</v>
      </c>
      <c r="F496" s="22" t="s">
        <v>1145</v>
      </c>
      <c r="G496" s="31">
        <v>0</v>
      </c>
      <c r="H496" s="31">
        <v>0</v>
      </c>
      <c r="I496" s="21" t="s">
        <v>24</v>
      </c>
      <c r="J496" s="17" t="s">
        <v>25</v>
      </c>
      <c r="K496" s="17" t="s">
        <v>26</v>
      </c>
      <c r="L496" s="17" t="s">
        <v>32</v>
      </c>
      <c r="M496" s="19" t="s">
        <v>28</v>
      </c>
      <c r="N496" s="17"/>
      <c r="O496" s="22"/>
      <c r="P496" s="22" t="s">
        <v>1146</v>
      </c>
      <c r="Q496" s="31">
        <f t="shared" si="24"/>
        <v>0</v>
      </c>
      <c r="R496" s="32" t="str">
        <f t="shared" si="23"/>
        <v>P03.254</v>
      </c>
    </row>
    <row r="497" spans="1:18">
      <c r="A497" s="18"/>
      <c r="B497" s="18"/>
      <c r="C497" s="18"/>
      <c r="D497" s="17">
        <f t="shared" si="25"/>
        <v>1024</v>
      </c>
      <c r="E497" s="17" t="s">
        <v>20</v>
      </c>
      <c r="F497" s="22" t="s">
        <v>1147</v>
      </c>
      <c r="G497" s="31">
        <v>0</v>
      </c>
      <c r="H497" s="31">
        <v>0</v>
      </c>
      <c r="I497" s="21" t="s">
        <v>24</v>
      </c>
      <c r="J497" s="17" t="s">
        <v>25</v>
      </c>
      <c r="K497" s="17" t="s">
        <v>26</v>
      </c>
      <c r="L497" s="17" t="s">
        <v>32</v>
      </c>
      <c r="M497" s="19" t="s">
        <v>28</v>
      </c>
      <c r="N497" s="17"/>
      <c r="O497" s="22"/>
      <c r="P497" s="22" t="s">
        <v>1148</v>
      </c>
      <c r="Q497" s="31">
        <f t="shared" si="24"/>
        <v>0</v>
      </c>
      <c r="R497" s="32" t="str">
        <f t="shared" si="23"/>
        <v>P04.000</v>
      </c>
    </row>
    <row r="498" spans="1:18">
      <c r="A498" s="18"/>
      <c r="B498" s="18"/>
      <c r="C498" s="18"/>
      <c r="D498" s="17">
        <f t="shared" si="25"/>
        <v>1026</v>
      </c>
      <c r="E498" s="17" t="s">
        <v>29</v>
      </c>
      <c r="F498" s="22" t="s">
        <v>1149</v>
      </c>
      <c r="G498" s="31">
        <v>0</v>
      </c>
      <c r="H498" s="31">
        <v>0</v>
      </c>
      <c r="I498" s="21" t="s">
        <v>30</v>
      </c>
      <c r="J498" s="17" t="s">
        <v>25</v>
      </c>
      <c r="K498" s="17" t="s">
        <v>26</v>
      </c>
      <c r="L498" s="17" t="s">
        <v>32</v>
      </c>
      <c r="M498" s="19" t="s">
        <v>28</v>
      </c>
      <c r="N498" s="17"/>
      <c r="O498" s="22"/>
      <c r="P498" s="22" t="s">
        <v>1150</v>
      </c>
      <c r="Q498" s="31">
        <f t="shared" si="24"/>
        <v>0</v>
      </c>
      <c r="R498" s="32" t="str">
        <f t="shared" si="23"/>
        <v>P04.002</v>
      </c>
    </row>
    <row r="499" spans="1:18">
      <c r="A499" s="18"/>
      <c r="B499" s="18"/>
      <c r="C499" s="18"/>
      <c r="D499" s="17">
        <f t="shared" si="25"/>
        <v>1027</v>
      </c>
      <c r="E499" s="17" t="s">
        <v>20</v>
      </c>
      <c r="F499" s="22" t="s">
        <v>1151</v>
      </c>
      <c r="G499" s="31">
        <v>0</v>
      </c>
      <c r="H499" s="31">
        <v>0</v>
      </c>
      <c r="I499" s="21" t="s">
        <v>24</v>
      </c>
      <c r="J499" s="17" t="s">
        <v>25</v>
      </c>
      <c r="K499" s="17" t="s">
        <v>26</v>
      </c>
      <c r="L499" s="17" t="s">
        <v>32</v>
      </c>
      <c r="M499" s="19" t="s">
        <v>28</v>
      </c>
      <c r="N499" s="17"/>
      <c r="O499" s="22"/>
      <c r="P499" s="22" t="s">
        <v>1152</v>
      </c>
      <c r="Q499" s="31">
        <f t="shared" si="24"/>
        <v>0</v>
      </c>
      <c r="R499" s="32" t="str">
        <f t="shared" si="23"/>
        <v>P04.003</v>
      </c>
    </row>
    <row r="500" spans="1:18">
      <c r="A500" s="18"/>
      <c r="B500" s="18"/>
      <c r="C500" s="18"/>
      <c r="D500" s="17">
        <f t="shared" si="25"/>
        <v>1029</v>
      </c>
      <c r="E500" s="17" t="s">
        <v>20</v>
      </c>
      <c r="F500" s="22" t="s">
        <v>1153</v>
      </c>
      <c r="G500" s="31">
        <v>0</v>
      </c>
      <c r="H500" s="31">
        <v>0</v>
      </c>
      <c r="I500" s="21" t="s">
        <v>24</v>
      </c>
      <c r="J500" s="17" t="s">
        <v>25</v>
      </c>
      <c r="K500" s="17" t="s">
        <v>26</v>
      </c>
      <c r="L500" s="17" t="s">
        <v>32</v>
      </c>
      <c r="M500" s="19" t="s">
        <v>28</v>
      </c>
      <c r="N500" s="17"/>
      <c r="O500" s="22"/>
      <c r="P500" s="22" t="s">
        <v>1154</v>
      </c>
      <c r="Q500" s="31">
        <f t="shared" si="24"/>
        <v>0</v>
      </c>
      <c r="R500" s="32" t="str">
        <f t="shared" si="23"/>
        <v>P04.005</v>
      </c>
    </row>
    <row r="501" spans="1:18">
      <c r="A501" s="18"/>
      <c r="B501" s="18"/>
      <c r="C501" s="18"/>
      <c r="D501" s="17">
        <f t="shared" si="25"/>
        <v>1031</v>
      </c>
      <c r="E501" s="17" t="s">
        <v>29</v>
      </c>
      <c r="F501" s="22" t="s">
        <v>1155</v>
      </c>
      <c r="G501" s="31">
        <v>0</v>
      </c>
      <c r="H501" s="31">
        <v>0</v>
      </c>
      <c r="I501" s="21" t="s">
        <v>30</v>
      </c>
      <c r="J501" s="17" t="s">
        <v>25</v>
      </c>
      <c r="K501" s="17" t="s">
        <v>26</v>
      </c>
      <c r="L501" s="17" t="s">
        <v>32</v>
      </c>
      <c r="M501" s="19" t="s">
        <v>28</v>
      </c>
      <c r="N501" s="17"/>
      <c r="O501" s="22"/>
      <c r="P501" s="22" t="s">
        <v>1156</v>
      </c>
      <c r="Q501" s="31">
        <f t="shared" si="24"/>
        <v>0</v>
      </c>
      <c r="R501" s="32" t="str">
        <f t="shared" si="23"/>
        <v>P04.007</v>
      </c>
    </row>
    <row r="502" spans="1:18">
      <c r="A502" s="18"/>
      <c r="B502" s="18"/>
      <c r="C502" s="18"/>
      <c r="D502" s="17">
        <f t="shared" si="25"/>
        <v>1032</v>
      </c>
      <c r="E502" s="17" t="s">
        <v>29</v>
      </c>
      <c r="F502" s="22" t="s">
        <v>1157</v>
      </c>
      <c r="G502" s="31">
        <v>0</v>
      </c>
      <c r="H502" s="31">
        <v>0</v>
      </c>
      <c r="I502" s="21" t="s">
        <v>30</v>
      </c>
      <c r="J502" s="17" t="s">
        <v>25</v>
      </c>
      <c r="K502" s="17" t="s">
        <v>26</v>
      </c>
      <c r="L502" s="17" t="s">
        <v>32</v>
      </c>
      <c r="M502" s="19" t="s">
        <v>28</v>
      </c>
      <c r="N502" s="17"/>
      <c r="O502" s="22"/>
      <c r="P502" s="22" t="s">
        <v>1158</v>
      </c>
      <c r="Q502" s="31">
        <f t="shared" si="24"/>
        <v>0</v>
      </c>
      <c r="R502" s="32" t="str">
        <f t="shared" ref="R502:R560" si="26">"P"&amp;TEXT(INT(D502/256),"00")&amp;"."&amp;TEXT(MOD(D502,256),"000")</f>
        <v>P04.008</v>
      </c>
    </row>
    <row r="503" spans="1:18">
      <c r="A503" s="18"/>
      <c r="B503" s="18"/>
      <c r="C503" s="18"/>
      <c r="D503" s="17">
        <f t="shared" si="25"/>
        <v>1033</v>
      </c>
      <c r="E503" s="17" t="s">
        <v>29</v>
      </c>
      <c r="F503" s="22" t="s">
        <v>1159</v>
      </c>
      <c r="G503" s="31">
        <v>0</v>
      </c>
      <c r="H503" s="31">
        <v>0</v>
      </c>
      <c r="I503" s="21" t="s">
        <v>30</v>
      </c>
      <c r="J503" s="17" t="s">
        <v>25</v>
      </c>
      <c r="K503" s="17" t="s">
        <v>26</v>
      </c>
      <c r="L503" s="17" t="s">
        <v>32</v>
      </c>
      <c r="M503" s="19" t="s">
        <v>28</v>
      </c>
      <c r="N503" s="17"/>
      <c r="O503" s="22"/>
      <c r="P503" s="22" t="s">
        <v>1160</v>
      </c>
      <c r="Q503" s="31">
        <f t="shared" si="24"/>
        <v>0</v>
      </c>
      <c r="R503" s="32" t="str">
        <f t="shared" si="26"/>
        <v>P04.009</v>
      </c>
    </row>
    <row r="504" spans="1:18">
      <c r="A504" s="18"/>
      <c r="B504" s="18"/>
      <c r="C504" s="18"/>
      <c r="D504" s="17">
        <f t="shared" si="25"/>
        <v>1034</v>
      </c>
      <c r="E504" s="17" t="s">
        <v>29</v>
      </c>
      <c r="F504" s="22" t="s">
        <v>1161</v>
      </c>
      <c r="G504" s="31">
        <v>0</v>
      </c>
      <c r="H504" s="31">
        <v>0</v>
      </c>
      <c r="I504" s="21" t="s">
        <v>30</v>
      </c>
      <c r="J504" s="17" t="s">
        <v>25</v>
      </c>
      <c r="K504" s="17" t="s">
        <v>26</v>
      </c>
      <c r="L504" s="17" t="s">
        <v>32</v>
      </c>
      <c r="M504" s="19" t="s">
        <v>28</v>
      </c>
      <c r="N504" s="17"/>
      <c r="O504" s="22"/>
      <c r="P504" s="22" t="s">
        <v>1162</v>
      </c>
      <c r="Q504" s="31">
        <f t="shared" si="24"/>
        <v>0</v>
      </c>
      <c r="R504" s="32" t="str">
        <f t="shared" si="26"/>
        <v>P04.010</v>
      </c>
    </row>
    <row r="505" spans="1:18">
      <c r="A505" s="18"/>
      <c r="B505" s="18"/>
      <c r="C505" s="18"/>
      <c r="D505" s="17">
        <f t="shared" si="25"/>
        <v>1035</v>
      </c>
      <c r="E505" s="17" t="s">
        <v>92</v>
      </c>
      <c r="F505" s="22" t="s">
        <v>1163</v>
      </c>
      <c r="G505" s="31">
        <v>0</v>
      </c>
      <c r="H505" s="21" t="s">
        <v>94</v>
      </c>
      <c r="I505" s="21" t="s">
        <v>95</v>
      </c>
      <c r="J505" s="17" t="s">
        <v>25</v>
      </c>
      <c r="K505" s="17" t="s">
        <v>26</v>
      </c>
      <c r="L505" s="17" t="s">
        <v>32</v>
      </c>
      <c r="M505" s="19" t="s">
        <v>28</v>
      </c>
      <c r="N505" s="17"/>
      <c r="O505" s="22"/>
      <c r="P505" s="22" t="s">
        <v>1164</v>
      </c>
      <c r="Q505" s="31">
        <f t="shared" si="24"/>
        <v>0</v>
      </c>
      <c r="R505" s="32" t="str">
        <f t="shared" si="26"/>
        <v>P04.011</v>
      </c>
    </row>
    <row r="506" spans="1:18">
      <c r="A506" s="18"/>
      <c r="B506" s="18"/>
      <c r="C506" s="18"/>
      <c r="D506" s="17">
        <f t="shared" si="25"/>
        <v>1036</v>
      </c>
      <c r="E506" s="17" t="s">
        <v>29</v>
      </c>
      <c r="F506" s="22" t="s">
        <v>1165</v>
      </c>
      <c r="G506" s="31">
        <v>0</v>
      </c>
      <c r="H506" s="31">
        <v>0</v>
      </c>
      <c r="I506" s="21" t="s">
        <v>30</v>
      </c>
      <c r="J506" s="17" t="s">
        <v>25</v>
      </c>
      <c r="K506" s="17" t="s">
        <v>26</v>
      </c>
      <c r="L506" s="17" t="s">
        <v>32</v>
      </c>
      <c r="M506" s="19" t="s">
        <v>28</v>
      </c>
      <c r="N506" s="17"/>
      <c r="O506" s="22"/>
      <c r="P506" s="22" t="s">
        <v>1166</v>
      </c>
      <c r="Q506" s="31">
        <f t="shared" si="24"/>
        <v>0</v>
      </c>
      <c r="R506" s="32" t="str">
        <f t="shared" si="26"/>
        <v>P04.012</v>
      </c>
    </row>
    <row r="507" spans="1:18">
      <c r="A507" s="18"/>
      <c r="B507" s="18"/>
      <c r="C507" s="18"/>
      <c r="D507" s="17">
        <f t="shared" si="25"/>
        <v>1037</v>
      </c>
      <c r="E507" s="17" t="s">
        <v>29</v>
      </c>
      <c r="F507" s="22" t="s">
        <v>1167</v>
      </c>
      <c r="G507" s="31">
        <v>0</v>
      </c>
      <c r="H507" s="31">
        <v>0</v>
      </c>
      <c r="I507" s="21" t="s">
        <v>30</v>
      </c>
      <c r="J507" s="17" t="s">
        <v>25</v>
      </c>
      <c r="K507" s="17" t="s">
        <v>26</v>
      </c>
      <c r="L507" s="17" t="s">
        <v>32</v>
      </c>
      <c r="M507" s="19" t="s">
        <v>28</v>
      </c>
      <c r="N507" s="17"/>
      <c r="O507" s="22"/>
      <c r="P507" s="22" t="s">
        <v>1168</v>
      </c>
      <c r="Q507" s="31">
        <f t="shared" si="24"/>
        <v>0</v>
      </c>
      <c r="R507" s="32" t="str">
        <f t="shared" si="26"/>
        <v>P04.013</v>
      </c>
    </row>
    <row r="508" spans="1:18">
      <c r="A508" s="18"/>
      <c r="B508" s="18"/>
      <c r="C508" s="18"/>
      <c r="D508" s="17">
        <f t="shared" si="25"/>
        <v>1038</v>
      </c>
      <c r="E508" s="17" t="s">
        <v>92</v>
      </c>
      <c r="F508" s="22" t="s">
        <v>1169</v>
      </c>
      <c r="G508" s="31">
        <v>0</v>
      </c>
      <c r="H508" s="21" t="s">
        <v>94</v>
      </c>
      <c r="I508" s="21" t="s">
        <v>95</v>
      </c>
      <c r="J508" s="17" t="s">
        <v>25</v>
      </c>
      <c r="K508" s="17" t="s">
        <v>26</v>
      </c>
      <c r="L508" s="17" t="s">
        <v>32</v>
      </c>
      <c r="M508" s="19" t="s">
        <v>28</v>
      </c>
      <c r="N508" s="17"/>
      <c r="O508" s="22"/>
      <c r="P508" s="22" t="s">
        <v>1170</v>
      </c>
      <c r="Q508" s="31">
        <f t="shared" si="24"/>
        <v>0</v>
      </c>
      <c r="R508" s="32" t="str">
        <f t="shared" si="26"/>
        <v>P04.014</v>
      </c>
    </row>
    <row r="509" spans="1:18">
      <c r="A509" s="18"/>
      <c r="B509" s="18"/>
      <c r="C509" s="18"/>
      <c r="D509" s="17">
        <f t="shared" si="25"/>
        <v>1039</v>
      </c>
      <c r="E509" s="17" t="s">
        <v>20</v>
      </c>
      <c r="F509" s="22" t="s">
        <v>1171</v>
      </c>
      <c r="G509" s="31">
        <v>0</v>
      </c>
      <c r="H509" s="31">
        <v>0</v>
      </c>
      <c r="I509" s="21" t="s">
        <v>24</v>
      </c>
      <c r="J509" s="17" t="s">
        <v>25</v>
      </c>
      <c r="K509" s="17" t="s">
        <v>26</v>
      </c>
      <c r="L509" s="17" t="s">
        <v>32</v>
      </c>
      <c r="M509" s="19" t="s">
        <v>28</v>
      </c>
      <c r="N509" s="17"/>
      <c r="O509" s="22"/>
      <c r="P509" s="22" t="s">
        <v>1172</v>
      </c>
      <c r="Q509" s="31">
        <f t="shared" si="24"/>
        <v>0</v>
      </c>
      <c r="R509" s="32" t="str">
        <f t="shared" si="26"/>
        <v>P04.015</v>
      </c>
    </row>
    <row r="510" spans="1:18">
      <c r="A510" s="18"/>
      <c r="B510" s="18"/>
      <c r="C510" s="18"/>
      <c r="D510" s="17">
        <f t="shared" si="25"/>
        <v>1041</v>
      </c>
      <c r="E510" s="17" t="s">
        <v>20</v>
      </c>
      <c r="F510" s="22" t="s">
        <v>1173</v>
      </c>
      <c r="G510" s="31">
        <v>0</v>
      </c>
      <c r="H510" s="31">
        <v>0</v>
      </c>
      <c r="I510" s="21" t="s">
        <v>24</v>
      </c>
      <c r="J510" s="17" t="s">
        <v>25</v>
      </c>
      <c r="K510" s="17" t="s">
        <v>26</v>
      </c>
      <c r="L510" s="17" t="s">
        <v>32</v>
      </c>
      <c r="M510" s="19" t="s">
        <v>28</v>
      </c>
      <c r="N510" s="17"/>
      <c r="O510" s="22"/>
      <c r="P510" s="22" t="s">
        <v>1174</v>
      </c>
      <c r="Q510" s="31">
        <f t="shared" si="24"/>
        <v>0</v>
      </c>
      <c r="R510" s="32" t="str">
        <f t="shared" si="26"/>
        <v>P04.017</v>
      </c>
    </row>
    <row r="511" spans="1:18">
      <c r="A511" s="18"/>
      <c r="B511" s="18"/>
      <c r="C511" s="18"/>
      <c r="D511" s="17">
        <f t="shared" si="25"/>
        <v>1043</v>
      </c>
      <c r="E511" s="17" t="s">
        <v>92</v>
      </c>
      <c r="F511" s="22" t="s">
        <v>1175</v>
      </c>
      <c r="G511" s="31">
        <v>0</v>
      </c>
      <c r="H511" s="21" t="s">
        <v>94</v>
      </c>
      <c r="I511" s="21" t="s">
        <v>95</v>
      </c>
      <c r="J511" s="17" t="s">
        <v>25</v>
      </c>
      <c r="K511" s="17" t="s">
        <v>26</v>
      </c>
      <c r="L511" s="17" t="s">
        <v>32</v>
      </c>
      <c r="M511" s="19" t="s">
        <v>28</v>
      </c>
      <c r="N511" s="17"/>
      <c r="O511" s="22"/>
      <c r="P511" s="22" t="s">
        <v>1176</v>
      </c>
      <c r="Q511" s="31">
        <f t="shared" si="24"/>
        <v>0</v>
      </c>
      <c r="R511" s="32" t="str">
        <f t="shared" si="26"/>
        <v>P04.019</v>
      </c>
    </row>
    <row r="512" spans="1:18">
      <c r="A512" s="18"/>
      <c r="B512" s="18"/>
      <c r="C512" s="18"/>
      <c r="D512" s="17">
        <f t="shared" si="25"/>
        <v>1044</v>
      </c>
      <c r="E512" s="17" t="s">
        <v>92</v>
      </c>
      <c r="F512" s="22" t="s">
        <v>1177</v>
      </c>
      <c r="G512" s="31">
        <v>0</v>
      </c>
      <c r="H512" s="21" t="s">
        <v>94</v>
      </c>
      <c r="I512" s="21" t="s">
        <v>95</v>
      </c>
      <c r="J512" s="17" t="s">
        <v>25</v>
      </c>
      <c r="K512" s="17" t="s">
        <v>26</v>
      </c>
      <c r="L512" s="17" t="s">
        <v>32</v>
      </c>
      <c r="M512" s="19" t="s">
        <v>28</v>
      </c>
      <c r="N512" s="17"/>
      <c r="O512" s="22"/>
      <c r="P512" s="22" t="s">
        <v>1178</v>
      </c>
      <c r="Q512" s="31">
        <f t="shared" si="24"/>
        <v>0</v>
      </c>
      <c r="R512" s="32" t="str">
        <f t="shared" si="26"/>
        <v>P04.020</v>
      </c>
    </row>
    <row r="513" spans="1:18">
      <c r="A513" s="18"/>
      <c r="B513" s="18"/>
      <c r="C513" s="18"/>
      <c r="D513" s="17">
        <f t="shared" si="25"/>
        <v>1045</v>
      </c>
      <c r="E513" s="17" t="s">
        <v>20</v>
      </c>
      <c r="F513" s="22" t="s">
        <v>1179</v>
      </c>
      <c r="G513" s="31">
        <v>0</v>
      </c>
      <c r="H513" s="31">
        <v>0</v>
      </c>
      <c r="I513" s="21" t="s">
        <v>24</v>
      </c>
      <c r="J513" s="17" t="s">
        <v>25</v>
      </c>
      <c r="K513" s="17" t="s">
        <v>26</v>
      </c>
      <c r="L513" s="17" t="s">
        <v>32</v>
      </c>
      <c r="M513" s="19" t="s">
        <v>28</v>
      </c>
      <c r="N513" s="17"/>
      <c r="O513" s="22"/>
      <c r="P513" s="22" t="s">
        <v>1180</v>
      </c>
      <c r="Q513" s="31">
        <f t="shared" si="24"/>
        <v>0</v>
      </c>
      <c r="R513" s="32" t="str">
        <f t="shared" si="26"/>
        <v>P04.021</v>
      </c>
    </row>
    <row r="514" spans="1:18">
      <c r="A514" s="18"/>
      <c r="B514" s="18"/>
      <c r="C514" s="18"/>
      <c r="D514" s="17">
        <f t="shared" si="25"/>
        <v>1047</v>
      </c>
      <c r="E514" s="17" t="s">
        <v>273</v>
      </c>
      <c r="F514" s="22" t="s">
        <v>1181</v>
      </c>
      <c r="G514" s="31">
        <v>0</v>
      </c>
      <c r="H514" s="21" t="s">
        <v>275</v>
      </c>
      <c r="I514" s="21" t="s">
        <v>276</v>
      </c>
      <c r="J514" s="17" t="s">
        <v>25</v>
      </c>
      <c r="K514" s="17" t="s">
        <v>26</v>
      </c>
      <c r="L514" s="17" t="s">
        <v>32</v>
      </c>
      <c r="M514" s="19" t="s">
        <v>28</v>
      </c>
      <c r="N514" s="17"/>
      <c r="O514" s="22"/>
      <c r="P514" s="22" t="s">
        <v>1182</v>
      </c>
      <c r="Q514" s="31">
        <f t="shared" si="24"/>
        <v>0</v>
      </c>
      <c r="R514" s="32" t="str">
        <f t="shared" si="26"/>
        <v>P04.023</v>
      </c>
    </row>
    <row r="515" spans="1:18">
      <c r="A515" s="18"/>
      <c r="B515" s="18"/>
      <c r="C515" s="18"/>
      <c r="D515" s="17">
        <f t="shared" si="25"/>
        <v>1049</v>
      </c>
      <c r="E515" s="17" t="s">
        <v>273</v>
      </c>
      <c r="F515" s="22" t="s">
        <v>1183</v>
      </c>
      <c r="G515" s="31">
        <v>0</v>
      </c>
      <c r="H515" s="21" t="s">
        <v>275</v>
      </c>
      <c r="I515" s="21" t="s">
        <v>276</v>
      </c>
      <c r="J515" s="17" t="s">
        <v>25</v>
      </c>
      <c r="K515" s="17" t="s">
        <v>26</v>
      </c>
      <c r="L515" s="17" t="s">
        <v>32</v>
      </c>
      <c r="M515" s="19" t="s">
        <v>28</v>
      </c>
      <c r="N515" s="17"/>
      <c r="O515" s="22"/>
      <c r="P515" s="22" t="s">
        <v>1184</v>
      </c>
      <c r="Q515" s="31">
        <f t="shared" si="24"/>
        <v>0</v>
      </c>
      <c r="R515" s="32" t="str">
        <f t="shared" si="26"/>
        <v>P04.025</v>
      </c>
    </row>
    <row r="516" spans="1:18">
      <c r="A516" s="18"/>
      <c r="B516" s="18"/>
      <c r="C516" s="18"/>
      <c r="D516" s="17">
        <f t="shared" si="25"/>
        <v>1051</v>
      </c>
      <c r="E516" s="17" t="s">
        <v>273</v>
      </c>
      <c r="F516" s="22" t="s">
        <v>1185</v>
      </c>
      <c r="G516" s="31">
        <v>0</v>
      </c>
      <c r="H516" s="21" t="s">
        <v>275</v>
      </c>
      <c r="I516" s="21" t="s">
        <v>276</v>
      </c>
      <c r="J516" s="17" t="s">
        <v>25</v>
      </c>
      <c r="K516" s="17" t="s">
        <v>26</v>
      </c>
      <c r="L516" s="17" t="s">
        <v>32</v>
      </c>
      <c r="M516" s="19" t="s">
        <v>28</v>
      </c>
      <c r="N516" s="17"/>
      <c r="O516" s="22"/>
      <c r="P516" s="22" t="s">
        <v>1186</v>
      </c>
      <c r="Q516" s="31">
        <f t="shared" si="24"/>
        <v>0</v>
      </c>
      <c r="R516" s="32" t="str">
        <f t="shared" si="26"/>
        <v>P04.027</v>
      </c>
    </row>
    <row r="517" spans="1:18">
      <c r="A517" s="18"/>
      <c r="B517" s="18"/>
      <c r="C517" s="18"/>
      <c r="D517" s="17">
        <f t="shared" si="25"/>
        <v>1053</v>
      </c>
      <c r="E517" s="17" t="s">
        <v>273</v>
      </c>
      <c r="F517" s="22" t="s">
        <v>1187</v>
      </c>
      <c r="G517" s="31">
        <v>0</v>
      </c>
      <c r="H517" s="21" t="s">
        <v>275</v>
      </c>
      <c r="I517" s="21" t="s">
        <v>276</v>
      </c>
      <c r="J517" s="17" t="s">
        <v>25</v>
      </c>
      <c r="K517" s="17" t="s">
        <v>26</v>
      </c>
      <c r="L517" s="17" t="s">
        <v>32</v>
      </c>
      <c r="M517" s="19" t="s">
        <v>28</v>
      </c>
      <c r="N517" s="17"/>
      <c r="O517" s="22"/>
      <c r="P517" s="22" t="s">
        <v>1188</v>
      </c>
      <c r="Q517" s="31">
        <f t="shared" si="24"/>
        <v>0</v>
      </c>
      <c r="R517" s="32" t="str">
        <f t="shared" si="26"/>
        <v>P04.029</v>
      </c>
    </row>
    <row r="518" spans="1:18">
      <c r="A518" s="18"/>
      <c r="B518" s="18"/>
      <c r="C518" s="18"/>
      <c r="D518" s="17">
        <f t="shared" si="25"/>
        <v>1055</v>
      </c>
      <c r="E518" s="17" t="s">
        <v>29</v>
      </c>
      <c r="F518" s="22" t="s">
        <v>1189</v>
      </c>
      <c r="G518" s="31">
        <v>0</v>
      </c>
      <c r="H518" s="31">
        <v>0</v>
      </c>
      <c r="I518" s="21" t="s">
        <v>30</v>
      </c>
      <c r="J518" s="17" t="s">
        <v>25</v>
      </c>
      <c r="K518" s="17" t="s">
        <v>26</v>
      </c>
      <c r="L518" s="17" t="s">
        <v>32</v>
      </c>
      <c r="M518" s="19" t="s">
        <v>28</v>
      </c>
      <c r="N518" s="17"/>
      <c r="O518" s="22"/>
      <c r="P518" s="22" t="s">
        <v>1190</v>
      </c>
      <c r="Q518" s="31">
        <f t="shared" ref="Q518:Q560" si="27">IF(OR(F518="",LEFT(TRIM(F518),3)=E518),1,0)</f>
        <v>0</v>
      </c>
      <c r="R518" s="32" t="str">
        <f t="shared" si="26"/>
        <v>P04.031</v>
      </c>
    </row>
    <row r="519" spans="1:18">
      <c r="A519" s="18"/>
      <c r="B519" s="18"/>
      <c r="C519" s="18"/>
      <c r="D519" s="17">
        <f t="shared" si="25"/>
        <v>1056</v>
      </c>
      <c r="E519" s="17" t="s">
        <v>20</v>
      </c>
      <c r="F519" s="22" t="s">
        <v>1191</v>
      </c>
      <c r="G519" s="31">
        <v>0</v>
      </c>
      <c r="H519" s="31">
        <v>0</v>
      </c>
      <c r="I519" s="21" t="s">
        <v>24</v>
      </c>
      <c r="J519" s="17" t="s">
        <v>25</v>
      </c>
      <c r="K519" s="17" t="s">
        <v>26</v>
      </c>
      <c r="L519" s="17" t="s">
        <v>32</v>
      </c>
      <c r="M519" s="19" t="s">
        <v>28</v>
      </c>
      <c r="N519" s="17"/>
      <c r="O519" s="22"/>
      <c r="P519" s="22" t="s">
        <v>1192</v>
      </c>
      <c r="Q519" s="31">
        <f t="shared" si="27"/>
        <v>0</v>
      </c>
      <c r="R519" s="32" t="str">
        <f t="shared" si="26"/>
        <v>P04.032</v>
      </c>
    </row>
    <row r="520" spans="1:18">
      <c r="A520" s="18"/>
      <c r="B520" s="18"/>
      <c r="C520" s="18"/>
      <c r="D520" s="17">
        <f t="shared" si="25"/>
        <v>1058</v>
      </c>
      <c r="E520" s="17" t="s">
        <v>20</v>
      </c>
      <c r="F520" s="22" t="s">
        <v>1193</v>
      </c>
      <c r="G520" s="31">
        <v>0</v>
      </c>
      <c r="H520" s="31">
        <v>0</v>
      </c>
      <c r="I520" s="21" t="s">
        <v>24</v>
      </c>
      <c r="J520" s="17" t="s">
        <v>25</v>
      </c>
      <c r="K520" s="17" t="s">
        <v>26</v>
      </c>
      <c r="L520" s="17" t="s">
        <v>32</v>
      </c>
      <c r="M520" s="19" t="s">
        <v>28</v>
      </c>
      <c r="N520" s="17"/>
      <c r="O520" s="22"/>
      <c r="P520" s="22" t="s">
        <v>1194</v>
      </c>
      <c r="Q520" s="31">
        <f t="shared" si="27"/>
        <v>0</v>
      </c>
      <c r="R520" s="32" t="str">
        <f t="shared" si="26"/>
        <v>P04.034</v>
      </c>
    </row>
    <row r="521" spans="1:18">
      <c r="A521" s="18"/>
      <c r="B521" s="18"/>
      <c r="C521" s="18"/>
      <c r="D521" s="17">
        <f t="shared" si="25"/>
        <v>1060</v>
      </c>
      <c r="E521" s="17" t="s">
        <v>20</v>
      </c>
      <c r="F521" s="22" t="s">
        <v>1195</v>
      </c>
      <c r="G521" s="31">
        <v>0</v>
      </c>
      <c r="H521" s="31">
        <v>0</v>
      </c>
      <c r="I521" s="21" t="s">
        <v>24</v>
      </c>
      <c r="J521" s="17" t="s">
        <v>25</v>
      </c>
      <c r="K521" s="17" t="s">
        <v>26</v>
      </c>
      <c r="L521" s="17" t="s">
        <v>32</v>
      </c>
      <c r="M521" s="19" t="s">
        <v>28</v>
      </c>
      <c r="N521" s="17"/>
      <c r="O521" s="22"/>
      <c r="P521" s="22" t="s">
        <v>1196</v>
      </c>
      <c r="Q521" s="31">
        <f t="shared" si="27"/>
        <v>0</v>
      </c>
      <c r="R521" s="32" t="str">
        <f t="shared" si="26"/>
        <v>P04.036</v>
      </c>
    </row>
    <row r="522" spans="1:18">
      <c r="A522" s="18"/>
      <c r="B522" s="18"/>
      <c r="C522" s="18"/>
      <c r="D522" s="17">
        <f t="shared" si="25"/>
        <v>1062</v>
      </c>
      <c r="E522" s="17" t="s">
        <v>20</v>
      </c>
      <c r="F522" s="22" t="s">
        <v>1197</v>
      </c>
      <c r="G522" s="31">
        <v>0</v>
      </c>
      <c r="H522" s="31">
        <v>0</v>
      </c>
      <c r="I522" s="21" t="s">
        <v>24</v>
      </c>
      <c r="J522" s="17" t="s">
        <v>25</v>
      </c>
      <c r="K522" s="17" t="s">
        <v>26</v>
      </c>
      <c r="L522" s="17" t="s">
        <v>32</v>
      </c>
      <c r="M522" s="19" t="s">
        <v>28</v>
      </c>
      <c r="N522" s="17"/>
      <c r="O522" s="22"/>
      <c r="P522" s="22" t="s">
        <v>1198</v>
      </c>
      <c r="Q522" s="31">
        <f t="shared" si="27"/>
        <v>0</v>
      </c>
      <c r="R522" s="32" t="str">
        <f t="shared" si="26"/>
        <v>P04.038</v>
      </c>
    </row>
    <row r="523" spans="1:18">
      <c r="A523" s="18"/>
      <c r="B523" s="18"/>
      <c r="C523" s="18"/>
      <c r="D523" s="17">
        <f t="shared" si="25"/>
        <v>1064</v>
      </c>
      <c r="E523" s="17" t="s">
        <v>20</v>
      </c>
      <c r="F523" s="22" t="s">
        <v>1199</v>
      </c>
      <c r="G523" s="31">
        <v>0</v>
      </c>
      <c r="H523" s="31">
        <v>0</v>
      </c>
      <c r="I523" s="21" t="s">
        <v>24</v>
      </c>
      <c r="J523" s="17" t="s">
        <v>25</v>
      </c>
      <c r="K523" s="17" t="s">
        <v>26</v>
      </c>
      <c r="L523" s="17" t="s">
        <v>32</v>
      </c>
      <c r="M523" s="19" t="s">
        <v>28</v>
      </c>
      <c r="N523" s="17"/>
      <c r="O523" s="22"/>
      <c r="P523" s="22" t="s">
        <v>1200</v>
      </c>
      <c r="Q523" s="31">
        <f t="shared" si="27"/>
        <v>0</v>
      </c>
      <c r="R523" s="32" t="str">
        <f t="shared" si="26"/>
        <v>P04.040</v>
      </c>
    </row>
    <row r="524" spans="1:18">
      <c r="A524" s="18"/>
      <c r="B524" s="18"/>
      <c r="C524" s="18"/>
      <c r="D524" s="17">
        <f t="shared" si="25"/>
        <v>1066</v>
      </c>
      <c r="E524" s="17" t="s">
        <v>20</v>
      </c>
      <c r="F524" s="22" t="s">
        <v>1201</v>
      </c>
      <c r="G524" s="31">
        <v>0</v>
      </c>
      <c r="H524" s="31">
        <v>0</v>
      </c>
      <c r="I524" s="21" t="s">
        <v>24</v>
      </c>
      <c r="J524" s="17" t="s">
        <v>25</v>
      </c>
      <c r="K524" s="17" t="s">
        <v>26</v>
      </c>
      <c r="L524" s="17" t="s">
        <v>32</v>
      </c>
      <c r="M524" s="19" t="s">
        <v>28</v>
      </c>
      <c r="N524" s="17"/>
      <c r="O524" s="22"/>
      <c r="P524" s="22" t="s">
        <v>1202</v>
      </c>
      <c r="Q524" s="31">
        <f t="shared" si="27"/>
        <v>0</v>
      </c>
      <c r="R524" s="32" t="str">
        <f t="shared" si="26"/>
        <v>P04.042</v>
      </c>
    </row>
    <row r="525" spans="1:18">
      <c r="A525" s="18"/>
      <c r="B525" s="18"/>
      <c r="C525" s="18"/>
      <c r="D525" s="17">
        <f t="shared" si="25"/>
        <v>1068</v>
      </c>
      <c r="E525" s="17" t="s">
        <v>92</v>
      </c>
      <c r="F525" s="22" t="s">
        <v>1203</v>
      </c>
      <c r="G525" s="31">
        <v>0</v>
      </c>
      <c r="H525" s="21" t="s">
        <v>94</v>
      </c>
      <c r="I525" s="21" t="s">
        <v>95</v>
      </c>
      <c r="J525" s="17" t="s">
        <v>25</v>
      </c>
      <c r="K525" s="17" t="s">
        <v>26</v>
      </c>
      <c r="L525" s="17" t="s">
        <v>32</v>
      </c>
      <c r="M525" s="19" t="s">
        <v>28</v>
      </c>
      <c r="N525" s="17"/>
      <c r="O525" s="22"/>
      <c r="P525" s="22" t="s">
        <v>1204</v>
      </c>
      <c r="Q525" s="31">
        <f t="shared" si="27"/>
        <v>0</v>
      </c>
      <c r="R525" s="32" t="str">
        <f t="shared" si="26"/>
        <v>P04.044</v>
      </c>
    </row>
    <row r="526" spans="1:18">
      <c r="A526" s="18"/>
      <c r="B526" s="18"/>
      <c r="C526" s="18"/>
      <c r="D526" s="17">
        <f t="shared" si="25"/>
        <v>1069</v>
      </c>
      <c r="E526" s="17" t="s">
        <v>92</v>
      </c>
      <c r="F526" s="22" t="s">
        <v>1205</v>
      </c>
      <c r="G526" s="31">
        <v>0</v>
      </c>
      <c r="H526" s="21" t="s">
        <v>94</v>
      </c>
      <c r="I526" s="21" t="s">
        <v>95</v>
      </c>
      <c r="J526" s="17" t="s">
        <v>25</v>
      </c>
      <c r="K526" s="17" t="s">
        <v>26</v>
      </c>
      <c r="L526" s="17" t="s">
        <v>32</v>
      </c>
      <c r="M526" s="19" t="s">
        <v>28</v>
      </c>
      <c r="N526" s="17"/>
      <c r="O526" s="22"/>
      <c r="P526" s="22" t="s">
        <v>1206</v>
      </c>
      <c r="Q526" s="31">
        <f t="shared" si="27"/>
        <v>0</v>
      </c>
      <c r="R526" s="32" t="str">
        <f t="shared" si="26"/>
        <v>P04.045</v>
      </c>
    </row>
    <row r="527" spans="1:18">
      <c r="A527" s="18"/>
      <c r="B527" s="18"/>
      <c r="C527" s="18"/>
      <c r="D527" s="17">
        <f t="shared" si="25"/>
        <v>1070</v>
      </c>
      <c r="E527" s="17" t="s">
        <v>92</v>
      </c>
      <c r="F527" s="22" t="s">
        <v>1207</v>
      </c>
      <c r="G527" s="31">
        <v>0</v>
      </c>
      <c r="H527" s="21" t="s">
        <v>94</v>
      </c>
      <c r="I527" s="21" t="s">
        <v>95</v>
      </c>
      <c r="J527" s="17" t="s">
        <v>25</v>
      </c>
      <c r="K527" s="17" t="s">
        <v>26</v>
      </c>
      <c r="L527" s="17" t="s">
        <v>32</v>
      </c>
      <c r="M527" s="19" t="s">
        <v>28</v>
      </c>
      <c r="N527" s="17"/>
      <c r="O527" s="22"/>
      <c r="P527" s="22" t="s">
        <v>1208</v>
      </c>
      <c r="Q527" s="31">
        <f t="shared" si="27"/>
        <v>0</v>
      </c>
      <c r="R527" s="32" t="str">
        <f t="shared" si="26"/>
        <v>P04.046</v>
      </c>
    </row>
    <row r="528" spans="1:18">
      <c r="A528" s="18"/>
      <c r="B528" s="18"/>
      <c r="C528" s="18"/>
      <c r="D528" s="17">
        <f t="shared" si="25"/>
        <v>1071</v>
      </c>
      <c r="E528" s="17" t="s">
        <v>92</v>
      </c>
      <c r="F528" s="22" t="s">
        <v>1209</v>
      </c>
      <c r="G528" s="31">
        <v>0</v>
      </c>
      <c r="H528" s="21" t="s">
        <v>94</v>
      </c>
      <c r="I528" s="21" t="s">
        <v>95</v>
      </c>
      <c r="J528" s="17" t="s">
        <v>25</v>
      </c>
      <c r="K528" s="17" t="s">
        <v>26</v>
      </c>
      <c r="L528" s="17" t="s">
        <v>32</v>
      </c>
      <c r="M528" s="19" t="s">
        <v>28</v>
      </c>
      <c r="N528" s="17"/>
      <c r="O528" s="22"/>
      <c r="P528" s="22" t="s">
        <v>1210</v>
      </c>
      <c r="Q528" s="31">
        <f t="shared" si="27"/>
        <v>0</v>
      </c>
      <c r="R528" s="32" t="str">
        <f t="shared" si="26"/>
        <v>P04.047</v>
      </c>
    </row>
    <row r="529" spans="1:18">
      <c r="A529" s="18"/>
      <c r="B529" s="18"/>
      <c r="C529" s="18"/>
      <c r="D529" s="17">
        <f t="shared" si="25"/>
        <v>1072</v>
      </c>
      <c r="E529" s="17" t="s">
        <v>29</v>
      </c>
      <c r="F529" s="22" t="s">
        <v>1211</v>
      </c>
      <c r="G529" s="31">
        <v>0</v>
      </c>
      <c r="H529" s="31">
        <v>0</v>
      </c>
      <c r="I529" s="21" t="s">
        <v>30</v>
      </c>
      <c r="J529" s="17" t="s">
        <v>25</v>
      </c>
      <c r="K529" s="17" t="s">
        <v>26</v>
      </c>
      <c r="L529" s="17" t="s">
        <v>32</v>
      </c>
      <c r="M529" s="19" t="s">
        <v>28</v>
      </c>
      <c r="N529" s="17"/>
      <c r="O529" s="22"/>
      <c r="P529" s="22" t="s">
        <v>1212</v>
      </c>
      <c r="Q529" s="31">
        <f t="shared" si="27"/>
        <v>0</v>
      </c>
      <c r="R529" s="32" t="str">
        <f t="shared" si="26"/>
        <v>P04.048</v>
      </c>
    </row>
    <row r="530" spans="1:18">
      <c r="A530" s="18"/>
      <c r="B530" s="18"/>
      <c r="C530" s="18"/>
      <c r="D530" s="17">
        <f t="shared" si="25"/>
        <v>1073</v>
      </c>
      <c r="E530" s="17" t="s">
        <v>29</v>
      </c>
      <c r="F530" s="22" t="s">
        <v>1213</v>
      </c>
      <c r="G530" s="31">
        <v>0</v>
      </c>
      <c r="H530" s="31">
        <v>0</v>
      </c>
      <c r="I530" s="21" t="s">
        <v>30</v>
      </c>
      <c r="J530" s="17" t="s">
        <v>25</v>
      </c>
      <c r="K530" s="17" t="s">
        <v>26</v>
      </c>
      <c r="L530" s="17" t="s">
        <v>32</v>
      </c>
      <c r="M530" s="19" t="s">
        <v>28</v>
      </c>
      <c r="N530" s="17"/>
      <c r="O530" s="22"/>
      <c r="P530" s="22" t="s">
        <v>1214</v>
      </c>
      <c r="Q530" s="31">
        <f t="shared" si="27"/>
        <v>0</v>
      </c>
      <c r="R530" s="32" t="str">
        <f t="shared" si="26"/>
        <v>P04.049</v>
      </c>
    </row>
    <row r="531" spans="1:18">
      <c r="A531" s="18"/>
      <c r="B531" s="18"/>
      <c r="C531" s="18"/>
      <c r="D531" s="17">
        <f t="shared" si="25"/>
        <v>1074</v>
      </c>
      <c r="E531" s="17" t="s">
        <v>20</v>
      </c>
      <c r="F531" s="22" t="s">
        <v>1215</v>
      </c>
      <c r="G531" s="31">
        <v>0</v>
      </c>
      <c r="H531" s="31">
        <v>0</v>
      </c>
      <c r="I531" s="21" t="s">
        <v>24</v>
      </c>
      <c r="J531" s="17" t="s">
        <v>25</v>
      </c>
      <c r="K531" s="17" t="s">
        <v>26</v>
      </c>
      <c r="L531" s="17" t="s">
        <v>32</v>
      </c>
      <c r="M531" s="19" t="s">
        <v>28</v>
      </c>
      <c r="N531" s="17"/>
      <c r="O531" s="22"/>
      <c r="P531" s="22" t="s">
        <v>1216</v>
      </c>
      <c r="Q531" s="31">
        <f t="shared" si="27"/>
        <v>0</v>
      </c>
      <c r="R531" s="32" t="str">
        <f t="shared" si="26"/>
        <v>P04.050</v>
      </c>
    </row>
    <row r="532" spans="1:18">
      <c r="A532" s="18"/>
      <c r="B532" s="18"/>
      <c r="C532" s="18"/>
      <c r="D532" s="17">
        <f t="shared" si="25"/>
        <v>1076</v>
      </c>
      <c r="E532" s="17" t="s">
        <v>273</v>
      </c>
      <c r="F532" s="22" t="s">
        <v>1217</v>
      </c>
      <c r="G532" s="31">
        <v>0</v>
      </c>
      <c r="H532" s="21" t="s">
        <v>275</v>
      </c>
      <c r="I532" s="21" t="s">
        <v>276</v>
      </c>
      <c r="J532" s="17" t="s">
        <v>25</v>
      </c>
      <c r="K532" s="17" t="s">
        <v>26</v>
      </c>
      <c r="L532" s="17" t="s">
        <v>32</v>
      </c>
      <c r="M532" s="19" t="s">
        <v>28</v>
      </c>
      <c r="N532" s="17"/>
      <c r="O532" s="22"/>
      <c r="P532" s="22" t="s">
        <v>1218</v>
      </c>
      <c r="Q532" s="31">
        <f t="shared" si="27"/>
        <v>0</v>
      </c>
      <c r="R532" s="32" t="str">
        <f t="shared" si="26"/>
        <v>P04.052</v>
      </c>
    </row>
    <row r="533" spans="1:18">
      <c r="A533" s="18"/>
      <c r="B533" s="18"/>
      <c r="C533" s="18"/>
      <c r="D533" s="17">
        <f t="shared" si="25"/>
        <v>1078</v>
      </c>
      <c r="E533" s="17" t="s">
        <v>273</v>
      </c>
      <c r="F533" s="22" t="s">
        <v>1219</v>
      </c>
      <c r="G533" s="31">
        <v>0</v>
      </c>
      <c r="H533" s="21" t="s">
        <v>275</v>
      </c>
      <c r="I533" s="21" t="s">
        <v>276</v>
      </c>
      <c r="J533" s="17" t="s">
        <v>25</v>
      </c>
      <c r="K533" s="17" t="s">
        <v>26</v>
      </c>
      <c r="L533" s="17" t="s">
        <v>32</v>
      </c>
      <c r="M533" s="19" t="s">
        <v>28</v>
      </c>
      <c r="N533" s="17"/>
      <c r="O533" s="22"/>
      <c r="P533" s="22" t="s">
        <v>1220</v>
      </c>
      <c r="Q533" s="31">
        <f t="shared" si="27"/>
        <v>0</v>
      </c>
      <c r="R533" s="32" t="str">
        <f t="shared" si="26"/>
        <v>P04.054</v>
      </c>
    </row>
    <row r="534" spans="1:18">
      <c r="A534" s="18"/>
      <c r="B534" s="18"/>
      <c r="C534" s="18"/>
      <c r="D534" s="17">
        <f t="shared" si="25"/>
        <v>1080</v>
      </c>
      <c r="E534" s="17" t="s">
        <v>273</v>
      </c>
      <c r="F534" s="22" t="s">
        <v>1221</v>
      </c>
      <c r="G534" s="31">
        <v>0</v>
      </c>
      <c r="H534" s="21" t="s">
        <v>275</v>
      </c>
      <c r="I534" s="21" t="s">
        <v>276</v>
      </c>
      <c r="J534" s="17" t="s">
        <v>25</v>
      </c>
      <c r="K534" s="17" t="s">
        <v>26</v>
      </c>
      <c r="L534" s="17" t="s">
        <v>32</v>
      </c>
      <c r="M534" s="19" t="s">
        <v>28</v>
      </c>
      <c r="N534" s="17"/>
      <c r="O534" s="22"/>
      <c r="P534" s="22" t="s">
        <v>1222</v>
      </c>
      <c r="Q534" s="31">
        <f t="shared" si="27"/>
        <v>0</v>
      </c>
      <c r="R534" s="32" t="str">
        <f t="shared" si="26"/>
        <v>P04.056</v>
      </c>
    </row>
    <row r="535" spans="1:18">
      <c r="A535" s="18"/>
      <c r="B535" s="18"/>
      <c r="C535" s="18"/>
      <c r="D535" s="17">
        <f t="shared" si="25"/>
        <v>1082</v>
      </c>
      <c r="E535" s="17" t="s">
        <v>29</v>
      </c>
      <c r="F535" s="22" t="s">
        <v>1223</v>
      </c>
      <c r="G535" s="31">
        <v>0</v>
      </c>
      <c r="H535" s="31">
        <v>0</v>
      </c>
      <c r="I535" s="21" t="s">
        <v>30</v>
      </c>
      <c r="J535" s="17" t="s">
        <v>25</v>
      </c>
      <c r="K535" s="17" t="s">
        <v>26</v>
      </c>
      <c r="L535" s="17" t="s">
        <v>32</v>
      </c>
      <c r="M535" s="19" t="s">
        <v>28</v>
      </c>
      <c r="N535" s="17"/>
      <c r="O535" s="22"/>
      <c r="P535" s="22" t="s">
        <v>1224</v>
      </c>
      <c r="Q535" s="31">
        <f t="shared" si="27"/>
        <v>0</v>
      </c>
      <c r="R535" s="32" t="str">
        <f t="shared" si="26"/>
        <v>P04.058</v>
      </c>
    </row>
    <row r="536" spans="1:18">
      <c r="A536" s="18"/>
      <c r="B536" s="18"/>
      <c r="C536" s="18"/>
      <c r="D536" s="17">
        <f t="shared" si="25"/>
        <v>1083</v>
      </c>
      <c r="E536" s="17" t="s">
        <v>29</v>
      </c>
      <c r="F536" s="22" t="s">
        <v>1225</v>
      </c>
      <c r="G536" s="31">
        <v>0</v>
      </c>
      <c r="H536" s="31">
        <v>0</v>
      </c>
      <c r="I536" s="21" t="s">
        <v>30</v>
      </c>
      <c r="J536" s="17" t="s">
        <v>25</v>
      </c>
      <c r="K536" s="17" t="s">
        <v>26</v>
      </c>
      <c r="L536" s="17" t="s">
        <v>32</v>
      </c>
      <c r="M536" s="19" t="s">
        <v>28</v>
      </c>
      <c r="N536" s="17"/>
      <c r="O536" s="22"/>
      <c r="P536" s="22" t="s">
        <v>1226</v>
      </c>
      <c r="Q536" s="31">
        <f t="shared" si="27"/>
        <v>0</v>
      </c>
      <c r="R536" s="32" t="str">
        <f t="shared" si="26"/>
        <v>P04.059</v>
      </c>
    </row>
    <row r="537" spans="1:18">
      <c r="A537" s="18"/>
      <c r="B537" s="18"/>
      <c r="C537" s="18"/>
      <c r="D537" s="17">
        <f t="shared" si="25"/>
        <v>1084</v>
      </c>
      <c r="E537" s="17" t="s">
        <v>273</v>
      </c>
      <c r="F537" s="22" t="s">
        <v>1227</v>
      </c>
      <c r="G537" s="31">
        <v>0</v>
      </c>
      <c r="H537" s="21" t="s">
        <v>275</v>
      </c>
      <c r="I537" s="21" t="s">
        <v>276</v>
      </c>
      <c r="J537" s="17" t="s">
        <v>25</v>
      </c>
      <c r="K537" s="17" t="s">
        <v>26</v>
      </c>
      <c r="L537" s="17" t="s">
        <v>32</v>
      </c>
      <c r="M537" s="19" t="s">
        <v>28</v>
      </c>
      <c r="N537" s="17"/>
      <c r="O537" s="22"/>
      <c r="P537" s="22" t="s">
        <v>1228</v>
      </c>
      <c r="Q537" s="31">
        <f t="shared" si="27"/>
        <v>0</v>
      </c>
      <c r="R537" s="32" t="str">
        <f t="shared" si="26"/>
        <v>P04.060</v>
      </c>
    </row>
    <row r="538" spans="1:18">
      <c r="A538" s="18"/>
      <c r="B538" s="18"/>
      <c r="C538" s="18"/>
      <c r="D538" s="17">
        <f>INDEX(D:D,ROW()-1)+_xlfn.IFS(INDEX(E:E,ROW()-1)="u16",1,INDEX(E:E,ROW()-1)="s16",1,INDEX(E:E,ROW()-1)="s32",2,INDEX(E:E,ROW()-1)="s64",4,INDEX(E:E,ROW()-1)="u16",1,INDEX(E:E,ROW()-1)="u32",2,INDEX(E:E,ROW()-1)="u64",4,INDEX(E:E,ROW()-1)="f32",2,INDEX(E:E,ROW()-1)="f64",4)</f>
        <v>1086</v>
      </c>
      <c r="E538" s="17" t="s">
        <v>273</v>
      </c>
      <c r="F538" s="22" t="s">
        <v>1229</v>
      </c>
      <c r="G538" s="31">
        <v>0</v>
      </c>
      <c r="H538" s="21" t="s">
        <v>275</v>
      </c>
      <c r="I538" s="21" t="s">
        <v>276</v>
      </c>
      <c r="J538" s="17" t="s">
        <v>25</v>
      </c>
      <c r="K538" s="17" t="s">
        <v>26</v>
      </c>
      <c r="L538" s="17" t="s">
        <v>32</v>
      </c>
      <c r="M538" s="19" t="s">
        <v>28</v>
      </c>
      <c r="N538" s="17"/>
      <c r="O538" s="22"/>
      <c r="P538" s="22" t="s">
        <v>1230</v>
      </c>
      <c r="Q538" s="31">
        <f t="shared" si="27"/>
        <v>0</v>
      </c>
      <c r="R538" s="32" t="str">
        <f t="shared" si="26"/>
        <v>P04.062</v>
      </c>
    </row>
    <row r="539" spans="1:18">
      <c r="A539" s="18"/>
      <c r="B539" s="18"/>
      <c r="C539" s="18"/>
      <c r="D539" s="17">
        <f>INDEX(D:D,ROW()-1)+_xlfn.IFS(INDEX(E:E,ROW()-1)="u16",1,INDEX(E:E,ROW()-1)="s16",1,INDEX(E:E,ROW()-1)="s32",2,INDEX(E:E,ROW()-1)="s64",4,INDEX(E:E,ROW()-1)="u16",1,INDEX(E:E,ROW()-1)="u32",2,INDEX(E:E,ROW()-1)="u64",4,INDEX(E:E,ROW()-1)="f32",2,INDEX(E:E,ROW()-1)="f64",4)</f>
        <v>1088</v>
      </c>
      <c r="E539" s="17" t="s">
        <v>273</v>
      </c>
      <c r="F539" s="22" t="s">
        <v>1231</v>
      </c>
      <c r="G539" s="31">
        <v>0</v>
      </c>
      <c r="H539" s="21" t="s">
        <v>275</v>
      </c>
      <c r="I539" s="21" t="s">
        <v>276</v>
      </c>
      <c r="J539" s="17" t="s">
        <v>25</v>
      </c>
      <c r="K539" s="17" t="s">
        <v>26</v>
      </c>
      <c r="L539" s="17" t="s">
        <v>32</v>
      </c>
      <c r="M539" s="19" t="s">
        <v>28</v>
      </c>
      <c r="N539" s="17"/>
      <c r="O539" s="22"/>
      <c r="P539" s="22" t="s">
        <v>1232</v>
      </c>
      <c r="Q539" s="31">
        <f t="shared" si="27"/>
        <v>0</v>
      </c>
      <c r="R539" s="32" t="str">
        <f t="shared" si="26"/>
        <v>P04.064</v>
      </c>
    </row>
    <row r="540" spans="1:18">
      <c r="A540" s="18"/>
      <c r="B540" s="18"/>
      <c r="C540" s="18"/>
      <c r="D540" s="17">
        <f>INDEX(D:D,ROW()-1)+_xlfn.IFS(INDEX(E:E,ROW()-1)="u16",1,INDEX(E:E,ROW()-1)="s16",1,INDEX(E:E,ROW()-1)="s32",2,INDEX(E:E,ROW()-1)="s64",4,INDEX(E:E,ROW()-1)="u16",1,INDEX(E:E,ROW()-1)="u32",2,INDEX(E:E,ROW()-1)="u64",4,INDEX(E:E,ROW()-1)="f32",2,INDEX(E:E,ROW()-1)="f64",4)</f>
        <v>1090</v>
      </c>
      <c r="E540" s="17" t="s">
        <v>273</v>
      </c>
      <c r="F540" s="22" t="s">
        <v>1233</v>
      </c>
      <c r="G540" s="31">
        <v>0</v>
      </c>
      <c r="H540" s="21" t="s">
        <v>275</v>
      </c>
      <c r="I540" s="21" t="s">
        <v>276</v>
      </c>
      <c r="J540" s="17" t="s">
        <v>25</v>
      </c>
      <c r="K540" s="17" t="s">
        <v>26</v>
      </c>
      <c r="L540" s="17" t="s">
        <v>32</v>
      </c>
      <c r="M540" s="19" t="s">
        <v>28</v>
      </c>
      <c r="N540" s="17"/>
      <c r="O540" s="22"/>
      <c r="P540" s="22" t="s">
        <v>1234</v>
      </c>
      <c r="Q540" s="31">
        <f t="shared" si="27"/>
        <v>0</v>
      </c>
      <c r="R540" s="32" t="str">
        <f t="shared" si="26"/>
        <v>P04.066</v>
      </c>
    </row>
    <row r="541" spans="1:18">
      <c r="A541" s="18"/>
      <c r="B541" s="18"/>
      <c r="C541" s="18"/>
      <c r="D541" s="17">
        <f>INDEX(D:D,ROW()-1)+_xlfn.IFS(INDEX(E:E,ROW()-1)="u16",1,INDEX(E:E,ROW()-1)="s16",1,INDEX(E:E,ROW()-1)="s32",2,INDEX(E:E,ROW()-1)="s64",4,INDEX(E:E,ROW()-1)="u16",1,INDEX(E:E,ROW()-1)="u32",2,INDEX(E:E,ROW()-1)="u64",4,INDEX(E:E,ROW()-1)="f32",2,INDEX(E:E,ROW()-1)="f64",4)</f>
        <v>1092</v>
      </c>
      <c r="E541" s="17" t="s">
        <v>29</v>
      </c>
      <c r="F541" s="22" t="s">
        <v>1235</v>
      </c>
      <c r="G541" s="31">
        <v>0</v>
      </c>
      <c r="H541" s="31">
        <v>0</v>
      </c>
      <c r="I541" s="21" t="s">
        <v>30</v>
      </c>
      <c r="J541" s="17" t="s">
        <v>25</v>
      </c>
      <c r="K541" s="17" t="s">
        <v>26</v>
      </c>
      <c r="L541" s="17" t="s">
        <v>32</v>
      </c>
      <c r="M541" s="19" t="s">
        <v>28</v>
      </c>
      <c r="N541" s="17"/>
      <c r="O541" s="22"/>
      <c r="P541" s="22" t="s">
        <v>1236</v>
      </c>
      <c r="Q541" s="31">
        <f t="shared" si="27"/>
        <v>0</v>
      </c>
      <c r="R541" s="32" t="str">
        <f t="shared" si="26"/>
        <v>P04.068</v>
      </c>
    </row>
    <row r="542" spans="1:18">
      <c r="A542" s="18"/>
      <c r="B542" s="18"/>
      <c r="C542" s="18"/>
      <c r="D542" s="17">
        <f>INDEX(D:D,ROW()-1)+_xlfn.IFS(INDEX(E:E,ROW()-1)="u16",1,INDEX(E:E,ROW()-1)="s16",1,INDEX(E:E,ROW()-1)="s32",2,INDEX(E:E,ROW()-1)="s64",4,INDEX(E:E,ROW()-1)="u16",1,INDEX(E:E,ROW()-1)="u32",2,INDEX(E:E,ROW()-1)="u64",4,INDEX(E:E,ROW()-1)="f32",2,INDEX(E:E,ROW()-1)="f64",4)</f>
        <v>1093</v>
      </c>
      <c r="E542" s="17" t="s">
        <v>29</v>
      </c>
      <c r="F542" s="22" t="s">
        <v>1237</v>
      </c>
      <c r="G542" s="31">
        <v>0</v>
      </c>
      <c r="H542" s="31">
        <v>0</v>
      </c>
      <c r="I542" s="21" t="s">
        <v>30</v>
      </c>
      <c r="J542" s="17" t="s">
        <v>25</v>
      </c>
      <c r="K542" s="17" t="s">
        <v>26</v>
      </c>
      <c r="L542" s="17" t="s">
        <v>32</v>
      </c>
      <c r="M542" s="19" t="s">
        <v>28</v>
      </c>
      <c r="N542" s="17"/>
      <c r="O542" s="22"/>
      <c r="P542" s="22" t="s">
        <v>1238</v>
      </c>
      <c r="Q542" s="31">
        <f t="shared" si="27"/>
        <v>0</v>
      </c>
      <c r="R542" s="32" t="str">
        <f t="shared" si="26"/>
        <v>P04.069</v>
      </c>
    </row>
    <row r="543" spans="1:18">
      <c r="A543" s="18"/>
      <c r="B543" s="18"/>
      <c r="C543" s="18"/>
      <c r="D543" s="17">
        <f>INDEX(D:D,ROW()-1)+_xlfn.IFS(INDEX(E:E,ROW()-1)="u16",1,INDEX(E:E,ROW()-1)="s16",1,INDEX(E:E,ROW()-1)="s32",2,INDEX(E:E,ROW()-1)="s64",4,INDEX(E:E,ROW()-1)="u16",1,INDEX(E:E,ROW()-1)="u32",2,INDEX(E:E,ROW()-1)="u64",4,INDEX(E:E,ROW()-1)="f32",2,INDEX(E:E,ROW()-1)="f64",4)</f>
        <v>1094</v>
      </c>
      <c r="E543" s="17" t="s">
        <v>20</v>
      </c>
      <c r="F543" s="22" t="s">
        <v>1239</v>
      </c>
      <c r="G543" s="31">
        <v>0</v>
      </c>
      <c r="H543" s="31">
        <v>0</v>
      </c>
      <c r="I543" s="21" t="s">
        <v>24</v>
      </c>
      <c r="J543" s="17" t="s">
        <v>25</v>
      </c>
      <c r="K543" s="17" t="s">
        <v>26</v>
      </c>
      <c r="L543" s="17" t="s">
        <v>32</v>
      </c>
      <c r="M543" s="19" t="s">
        <v>28</v>
      </c>
      <c r="N543" s="17"/>
      <c r="O543" s="22"/>
      <c r="P543" s="22" t="s">
        <v>1240</v>
      </c>
      <c r="Q543" s="31">
        <f t="shared" si="27"/>
        <v>0</v>
      </c>
      <c r="R543" s="32" t="str">
        <f t="shared" si="26"/>
        <v>P04.070</v>
      </c>
    </row>
    <row r="544" spans="1:18">
      <c r="A544" s="18"/>
      <c r="B544" s="18"/>
      <c r="C544" s="18"/>
      <c r="D544" s="17">
        <f>INDEX(D:D,ROW()-1)+_xlfn.IFS(INDEX(E:E,ROW()-1)="u16",1,INDEX(E:E,ROW()-1)="s16",1,INDEX(E:E,ROW()-1)="s32",2,INDEX(E:E,ROW()-1)="s64",4,INDEX(E:E,ROW()-1)="u16",1,INDEX(E:E,ROW()-1)="u32",2,INDEX(E:E,ROW()-1)="u64",4,INDEX(E:E,ROW()-1)="f32",2,INDEX(E:E,ROW()-1)="f64",4)</f>
        <v>1096</v>
      </c>
      <c r="E544" s="17" t="s">
        <v>20</v>
      </c>
      <c r="F544" s="22" t="s">
        <v>1241</v>
      </c>
      <c r="G544" s="31">
        <v>0</v>
      </c>
      <c r="H544" s="31">
        <v>0</v>
      </c>
      <c r="I544" s="21" t="s">
        <v>24</v>
      </c>
      <c r="J544" s="17" t="s">
        <v>25</v>
      </c>
      <c r="K544" s="17" t="s">
        <v>26</v>
      </c>
      <c r="L544" s="17" t="s">
        <v>32</v>
      </c>
      <c r="M544" s="19" t="s">
        <v>28</v>
      </c>
      <c r="N544" s="17"/>
      <c r="O544" s="22"/>
      <c r="P544" s="22" t="s">
        <v>1242</v>
      </c>
      <c r="Q544" s="31">
        <f t="shared" si="27"/>
        <v>0</v>
      </c>
      <c r="R544" s="32" t="str">
        <f t="shared" si="26"/>
        <v>P04.072</v>
      </c>
    </row>
    <row r="545" spans="1:18">
      <c r="A545" s="18"/>
      <c r="B545" s="18"/>
      <c r="C545" s="18"/>
      <c r="D545" s="17">
        <f>INDEX(D:D,ROW()-1)+_xlfn.IFS(INDEX(E:E,ROW()-1)="u16",1,INDEX(E:E,ROW()-1)="s16",1,INDEX(E:E,ROW()-1)="s32",2,INDEX(E:E,ROW()-1)="s64",4,INDEX(E:E,ROW()-1)="u16",1,INDEX(E:E,ROW()-1)="u32",2,INDEX(E:E,ROW()-1)="u64",4,INDEX(E:E,ROW()-1)="f32",2,INDEX(E:E,ROW()-1)="f64",4)</f>
        <v>1098</v>
      </c>
      <c r="E545" s="17" t="s">
        <v>273</v>
      </c>
      <c r="F545" s="22" t="s">
        <v>1243</v>
      </c>
      <c r="G545" s="31">
        <v>0</v>
      </c>
      <c r="H545" s="21" t="s">
        <v>275</v>
      </c>
      <c r="I545" s="21" t="s">
        <v>276</v>
      </c>
      <c r="J545" s="17" t="s">
        <v>25</v>
      </c>
      <c r="K545" s="17" t="s">
        <v>26</v>
      </c>
      <c r="L545" s="17" t="s">
        <v>32</v>
      </c>
      <c r="M545" s="19" t="s">
        <v>28</v>
      </c>
      <c r="N545" s="17"/>
      <c r="O545" s="22"/>
      <c r="P545" s="22" t="s">
        <v>1244</v>
      </c>
      <c r="Q545" s="31">
        <f t="shared" si="27"/>
        <v>0</v>
      </c>
      <c r="R545" s="32" t="str">
        <f t="shared" si="26"/>
        <v>P04.074</v>
      </c>
    </row>
    <row r="546" spans="1:18">
      <c r="A546" s="18"/>
      <c r="B546" s="18"/>
      <c r="C546" s="18"/>
      <c r="D546" s="17">
        <f>INDEX(D:D,ROW()-1)+_xlfn.IFS(INDEX(E:E,ROW()-1)="u16",1,INDEX(E:E,ROW()-1)="s16",1,INDEX(E:E,ROW()-1)="s32",2,INDEX(E:E,ROW()-1)="s64",4,INDEX(E:E,ROW()-1)="u16",1,INDEX(E:E,ROW()-1)="u32",2,INDEX(E:E,ROW()-1)="u64",4,INDEX(E:E,ROW()-1)="f32",2,INDEX(E:E,ROW()-1)="f64",4)</f>
        <v>1100</v>
      </c>
      <c r="E546" s="17" t="s">
        <v>273</v>
      </c>
      <c r="F546" s="22" t="s">
        <v>1245</v>
      </c>
      <c r="G546" s="31">
        <v>0</v>
      </c>
      <c r="H546" s="21" t="s">
        <v>275</v>
      </c>
      <c r="I546" s="21" t="s">
        <v>276</v>
      </c>
      <c r="J546" s="17" t="s">
        <v>25</v>
      </c>
      <c r="K546" s="17" t="s">
        <v>26</v>
      </c>
      <c r="L546" s="17" t="s">
        <v>32</v>
      </c>
      <c r="M546" s="19" t="s">
        <v>28</v>
      </c>
      <c r="N546" s="17"/>
      <c r="O546" s="22"/>
      <c r="P546" s="22" t="s">
        <v>1246</v>
      </c>
      <c r="Q546" s="31">
        <f t="shared" si="27"/>
        <v>0</v>
      </c>
      <c r="R546" s="32" t="str">
        <f t="shared" si="26"/>
        <v>P04.076</v>
      </c>
    </row>
    <row r="547" spans="1:18">
      <c r="A547" s="18"/>
      <c r="B547" s="18"/>
      <c r="C547" s="18"/>
      <c r="D547" s="17">
        <f>INDEX(D:D,ROW()-1)+_xlfn.IFS(INDEX(E:E,ROW()-1)="u16",1,INDEX(E:E,ROW()-1)="s16",1,INDEX(E:E,ROW()-1)="s32",2,INDEX(E:E,ROW()-1)="s64",4,INDEX(E:E,ROW()-1)="u16",1,INDEX(E:E,ROW()-1)="u32",2,INDEX(E:E,ROW()-1)="u64",4,INDEX(E:E,ROW()-1)="f32",2,INDEX(E:E,ROW()-1)="f64",4)</f>
        <v>1102</v>
      </c>
      <c r="E547" s="17" t="s">
        <v>20</v>
      </c>
      <c r="F547" s="22" t="s">
        <v>1247</v>
      </c>
      <c r="G547" s="31">
        <v>0</v>
      </c>
      <c r="H547" s="31">
        <v>0</v>
      </c>
      <c r="I547" s="21" t="s">
        <v>24</v>
      </c>
      <c r="J547" s="17" t="s">
        <v>25</v>
      </c>
      <c r="K547" s="17" t="s">
        <v>26</v>
      </c>
      <c r="L547" s="17" t="s">
        <v>32</v>
      </c>
      <c r="M547" s="19" t="s">
        <v>28</v>
      </c>
      <c r="N547" s="17"/>
      <c r="O547" s="22"/>
      <c r="P547" s="22" t="s">
        <v>1248</v>
      </c>
      <c r="Q547" s="31">
        <f t="shared" si="27"/>
        <v>0</v>
      </c>
      <c r="R547" s="32" t="str">
        <f t="shared" si="26"/>
        <v>P04.078</v>
      </c>
    </row>
    <row r="548" spans="1:18">
      <c r="A548" s="18"/>
      <c r="B548" s="18"/>
      <c r="C548" s="18"/>
      <c r="D548" s="17">
        <f>INDEX(D:D,ROW()-1)+_xlfn.IFS(INDEX(E:E,ROW()-1)="u16",1,INDEX(E:E,ROW()-1)="s16",1,INDEX(E:E,ROW()-1)="s32",2,INDEX(E:E,ROW()-1)="s64",4,INDEX(E:E,ROW()-1)="u16",1,INDEX(E:E,ROW()-1)="u32",2,INDEX(E:E,ROW()-1)="u64",4,INDEX(E:E,ROW()-1)="f32",2,INDEX(E:E,ROW()-1)="f64",4)</f>
        <v>1104</v>
      </c>
      <c r="E548" s="17" t="s">
        <v>29</v>
      </c>
      <c r="F548" s="22" t="s">
        <v>1249</v>
      </c>
      <c r="G548" s="31">
        <v>0</v>
      </c>
      <c r="H548" s="31">
        <v>0</v>
      </c>
      <c r="I548" s="21" t="s">
        <v>30</v>
      </c>
      <c r="J548" s="17" t="s">
        <v>25</v>
      </c>
      <c r="K548" s="17" t="s">
        <v>26</v>
      </c>
      <c r="L548" s="17" t="s">
        <v>32</v>
      </c>
      <c r="M548" s="19" t="s">
        <v>28</v>
      </c>
      <c r="N548" s="17"/>
      <c r="O548" s="22"/>
      <c r="P548" s="22" t="s">
        <v>1250</v>
      </c>
      <c r="Q548" s="31">
        <f t="shared" si="27"/>
        <v>0</v>
      </c>
      <c r="R548" s="32" t="str">
        <f t="shared" si="26"/>
        <v>P04.080</v>
      </c>
    </row>
    <row r="549" spans="1:18">
      <c r="A549" s="18"/>
      <c r="B549" s="18"/>
      <c r="C549" s="18"/>
      <c r="D549" s="17">
        <f>INDEX(D:D,ROW()-1)+_xlfn.IFS(INDEX(E:E,ROW()-1)="u16",1,INDEX(E:E,ROW()-1)="s16",1,INDEX(E:E,ROW()-1)="s32",2,INDEX(E:E,ROW()-1)="s64",4,INDEX(E:E,ROW()-1)="u16",1,INDEX(E:E,ROW()-1)="u32",2,INDEX(E:E,ROW()-1)="u64",4,INDEX(E:E,ROW()-1)="f32",2,INDEX(E:E,ROW()-1)="f64",4)</f>
        <v>1105</v>
      </c>
      <c r="E549" s="17" t="s">
        <v>29</v>
      </c>
      <c r="F549" s="22" t="s">
        <v>1251</v>
      </c>
      <c r="G549" s="31">
        <v>0</v>
      </c>
      <c r="H549" s="31">
        <v>0</v>
      </c>
      <c r="I549" s="21" t="s">
        <v>30</v>
      </c>
      <c r="J549" s="17" t="s">
        <v>25</v>
      </c>
      <c r="K549" s="17" t="s">
        <v>26</v>
      </c>
      <c r="L549" s="17" t="s">
        <v>32</v>
      </c>
      <c r="M549" s="19" t="s">
        <v>28</v>
      </c>
      <c r="N549" s="17"/>
      <c r="O549" s="22"/>
      <c r="P549" s="22" t="s">
        <v>1252</v>
      </c>
      <c r="Q549" s="31">
        <f t="shared" si="27"/>
        <v>0</v>
      </c>
      <c r="R549" s="32" t="str">
        <f t="shared" si="26"/>
        <v>P04.081</v>
      </c>
    </row>
    <row r="550" spans="1:18">
      <c r="A550" s="18"/>
      <c r="B550" s="18"/>
      <c r="C550" s="18"/>
      <c r="D550" s="17">
        <f>INDEX(D:D,ROW()-1)+_xlfn.IFS(INDEX(E:E,ROW()-1)="u16",1,INDEX(E:E,ROW()-1)="s16",1,INDEX(E:E,ROW()-1)="s32",2,INDEX(E:E,ROW()-1)="s64",4,INDEX(E:E,ROW()-1)="u16",1,INDEX(E:E,ROW()-1)="u32",2,INDEX(E:E,ROW()-1)="u64",4,INDEX(E:E,ROW()-1)="f32",2,INDEX(E:E,ROW()-1)="f64",4)</f>
        <v>1106</v>
      </c>
      <c r="E550" s="17" t="s">
        <v>273</v>
      </c>
      <c r="F550" s="22" t="s">
        <v>1253</v>
      </c>
      <c r="G550" s="31">
        <v>0</v>
      </c>
      <c r="H550" s="21" t="s">
        <v>275</v>
      </c>
      <c r="I550" s="21" t="s">
        <v>276</v>
      </c>
      <c r="J550" s="17" t="s">
        <v>25</v>
      </c>
      <c r="K550" s="17" t="s">
        <v>26</v>
      </c>
      <c r="L550" s="17" t="s">
        <v>32</v>
      </c>
      <c r="M550" s="19" t="s">
        <v>28</v>
      </c>
      <c r="N550" s="17"/>
      <c r="O550" s="22"/>
      <c r="P550" s="22" t="s">
        <v>1254</v>
      </c>
      <c r="Q550" s="31">
        <f t="shared" si="27"/>
        <v>0</v>
      </c>
      <c r="R550" s="32" t="str">
        <f t="shared" si="26"/>
        <v>P04.082</v>
      </c>
    </row>
    <row r="551" spans="1:18">
      <c r="A551" s="34"/>
      <c r="B551" s="34"/>
      <c r="C551" s="34"/>
      <c r="D551" s="17">
        <f>INDEX(D:D,ROW()-1)+_xlfn.IFS(INDEX(E:E,ROW()-1)="u16",1,INDEX(E:E,ROW()-1)="s16",1,INDEX(E:E,ROW()-1)="s32",2,INDEX(E:E,ROW()-1)="s64",4,INDEX(E:E,ROW()-1)="u16",1,INDEX(E:E,ROW()-1)="u32",2,INDEX(E:E,ROW()-1)="u64",4,INDEX(E:E,ROW()-1)="f32",2,INDEX(E:E,ROW()-1)="f64",4)</f>
        <v>1108</v>
      </c>
      <c r="E551" s="17" t="s">
        <v>20</v>
      </c>
      <c r="F551" s="22" t="s">
        <v>1255</v>
      </c>
      <c r="G551" s="31">
        <v>0</v>
      </c>
      <c r="H551" s="31">
        <v>0</v>
      </c>
      <c r="I551" s="21" t="s">
        <v>24</v>
      </c>
      <c r="J551" s="17" t="s">
        <v>25</v>
      </c>
      <c r="K551" s="17" t="s">
        <v>26</v>
      </c>
      <c r="L551" s="17" t="s">
        <v>32</v>
      </c>
      <c r="M551" s="19" t="s">
        <v>28</v>
      </c>
      <c r="N551" s="17"/>
      <c r="O551" s="22"/>
      <c r="P551" s="22" t="s">
        <v>1256</v>
      </c>
      <c r="Q551" s="31">
        <f t="shared" si="27"/>
        <v>0</v>
      </c>
      <c r="R551" s="32" t="str">
        <f t="shared" si="26"/>
        <v>P04.084</v>
      </c>
    </row>
    <row r="552" spans="1:18">
      <c r="A552" s="17"/>
      <c r="B552" s="35"/>
      <c r="C552" s="17"/>
      <c r="D552" s="17">
        <f>INDEX(D:D,ROW()-1)+_xlfn.IFS(INDEX(E:E,ROW()-1)="u16",1,INDEX(E:E,ROW()-1)="s16",1,INDEX(E:E,ROW()-1)="s32",2,INDEX(E:E,ROW()-1)="s64",4,INDEX(E:E,ROW()-1)="u16",1,INDEX(E:E,ROW()-1)="u32",2,INDEX(E:E,ROW()-1)="u64",4,INDEX(E:E,ROW()-1)="f32",2,INDEX(E:E,ROW()-1)="f64",4)</f>
        <v>1110</v>
      </c>
      <c r="E552" s="19" t="s">
        <v>29</v>
      </c>
      <c r="F552" s="22"/>
      <c r="G552" s="21" t="s">
        <v>23</v>
      </c>
      <c r="H552" s="21" t="s">
        <v>23</v>
      </c>
      <c r="I552" s="21" t="s">
        <v>30</v>
      </c>
      <c r="J552" s="17" t="s">
        <v>25</v>
      </c>
      <c r="K552" s="17" t="s">
        <v>26</v>
      </c>
      <c r="L552" s="17" t="s">
        <v>32</v>
      </c>
      <c r="M552" s="19" t="s">
        <v>28</v>
      </c>
      <c r="N552" s="22"/>
      <c r="O552" s="22"/>
      <c r="P552" s="22"/>
      <c r="Q552" s="31">
        <f t="shared" si="27"/>
        <v>1</v>
      </c>
      <c r="R552" s="32" t="str">
        <f t="shared" si="26"/>
        <v>P04.086</v>
      </c>
    </row>
    <row r="553" s="3" customFormat="1" spans="1:18">
      <c r="A553" s="17"/>
      <c r="B553" s="35"/>
      <c r="C553" s="17"/>
      <c r="D553" s="17">
        <f>INDEX(D:D,ROW()-1)+_xlfn.IFS(INDEX(E:E,ROW()-1)="u16",1,INDEX(E:E,ROW()-1)="s16",1,INDEX(E:E,ROW()-1)="s32",2,INDEX(E:E,ROW()-1)="s64",4,INDEX(E:E,ROW()-1)="u16",1,INDEX(E:E,ROW()-1)="u32",2,INDEX(E:E,ROW()-1)="u64",4,INDEX(E:E,ROW()-1)="f32",2,INDEX(E:E,ROW()-1)="f64",4)</f>
        <v>1111</v>
      </c>
      <c r="E553" s="19" t="s">
        <v>29</v>
      </c>
      <c r="F553" s="22"/>
      <c r="G553" s="21" t="s">
        <v>23</v>
      </c>
      <c r="H553" s="21" t="s">
        <v>23</v>
      </c>
      <c r="I553" s="21" t="s">
        <v>30</v>
      </c>
      <c r="J553" s="17" t="s">
        <v>25</v>
      </c>
      <c r="K553" s="17" t="s">
        <v>26</v>
      </c>
      <c r="L553" s="17" t="s">
        <v>32</v>
      </c>
      <c r="M553" s="19" t="s">
        <v>28</v>
      </c>
      <c r="N553" s="20"/>
      <c r="O553" s="22"/>
      <c r="P553" s="22"/>
      <c r="Q553" s="31">
        <f t="shared" si="27"/>
        <v>1</v>
      </c>
      <c r="R553" s="32" t="str">
        <f t="shared" si="26"/>
        <v>P04.087</v>
      </c>
    </row>
    <row r="554" s="3" customFormat="1" spans="1:18">
      <c r="A554" s="17"/>
      <c r="B554" s="35"/>
      <c r="C554" s="17"/>
      <c r="D554" s="17">
        <f>INDEX(D:D,ROW()-1)+_xlfn.IFS(INDEX(E:E,ROW()-1)="u16",1,INDEX(E:E,ROW()-1)="s16",1,INDEX(E:E,ROW()-1)="s32",2,INDEX(E:E,ROW()-1)="s64",4,INDEX(E:E,ROW()-1)="u16",1,INDEX(E:E,ROW()-1)="u32",2,INDEX(E:E,ROW()-1)="u64",4,INDEX(E:E,ROW()-1)="f32",2,INDEX(E:E,ROW()-1)="f64",4)</f>
        <v>1112</v>
      </c>
      <c r="E554" s="19" t="s">
        <v>29</v>
      </c>
      <c r="F554" s="22"/>
      <c r="G554" s="21" t="s">
        <v>23</v>
      </c>
      <c r="H554" s="21" t="s">
        <v>23</v>
      </c>
      <c r="I554" s="21" t="s">
        <v>30</v>
      </c>
      <c r="J554" s="17" t="s">
        <v>25</v>
      </c>
      <c r="K554" s="17" t="s">
        <v>26</v>
      </c>
      <c r="L554" s="17" t="s">
        <v>32</v>
      </c>
      <c r="M554" s="19" t="s">
        <v>28</v>
      </c>
      <c r="N554" s="20"/>
      <c r="O554" s="22"/>
      <c r="P554" s="22"/>
      <c r="Q554" s="31">
        <f t="shared" si="27"/>
        <v>1</v>
      </c>
      <c r="R554" s="32" t="str">
        <f t="shared" si="26"/>
        <v>P04.088</v>
      </c>
    </row>
    <row r="555" s="7" customFormat="1" ht="13.8" spans="1:18">
      <c r="A555" s="17"/>
      <c r="B555" s="35"/>
      <c r="C555" s="17"/>
      <c r="D555" s="17">
        <f>INDEX(D:D,ROW()-1)+_xlfn.IFS(INDEX(E:E,ROW()-1)="u16",1,INDEX(E:E,ROW()-1)="s16",1,INDEX(E:E,ROW()-1)="s32",2,INDEX(E:E,ROW()-1)="s64",4,INDEX(E:E,ROW()-1)="u16",1,INDEX(E:E,ROW()-1)="u32",2,INDEX(E:E,ROW()-1)="u64",4,INDEX(E:E,ROW()-1)="f32",2,INDEX(E:E,ROW()-1)="f64",4)</f>
        <v>1113</v>
      </c>
      <c r="E555" s="19" t="s">
        <v>29</v>
      </c>
      <c r="F555" s="22"/>
      <c r="G555" s="21" t="s">
        <v>23</v>
      </c>
      <c r="H555" s="21" t="s">
        <v>23</v>
      </c>
      <c r="I555" s="21" t="s">
        <v>30</v>
      </c>
      <c r="J555" s="17" t="s">
        <v>25</v>
      </c>
      <c r="K555" s="17" t="s">
        <v>26</v>
      </c>
      <c r="L555" s="17" t="s">
        <v>32</v>
      </c>
      <c r="M555" s="19" t="s">
        <v>28</v>
      </c>
      <c r="N555" s="20"/>
      <c r="O555" s="22"/>
      <c r="P555" s="22"/>
      <c r="Q555" s="31">
        <f t="shared" si="27"/>
        <v>1</v>
      </c>
      <c r="R555" s="32" t="str">
        <f t="shared" si="26"/>
        <v>P04.089</v>
      </c>
    </row>
    <row r="556" spans="1:18">
      <c r="A556" s="17"/>
      <c r="B556" s="35"/>
      <c r="C556" s="17"/>
      <c r="D556" s="17">
        <f>INDEX(D:D,ROW()-1)+_xlfn.IFS(INDEX(E:E,ROW()-1)="u16",1,INDEX(E:E,ROW()-1)="s16",1,INDEX(E:E,ROW()-1)="s32",2,INDEX(E:E,ROW()-1)="s64",4,INDEX(E:E,ROW()-1)="u16",1,INDEX(E:E,ROW()-1)="u32",2,INDEX(E:E,ROW()-1)="u64",4,INDEX(E:E,ROW()-1)="f32",2,INDEX(E:E,ROW()-1)="f64",4)</f>
        <v>1114</v>
      </c>
      <c r="E556" s="19" t="s">
        <v>29</v>
      </c>
      <c r="F556" s="22"/>
      <c r="G556" s="21" t="s">
        <v>23</v>
      </c>
      <c r="H556" s="21" t="s">
        <v>23</v>
      </c>
      <c r="I556" s="21" t="s">
        <v>30</v>
      </c>
      <c r="J556" s="17" t="s">
        <v>25</v>
      </c>
      <c r="K556" s="17" t="s">
        <v>26</v>
      </c>
      <c r="L556" s="17" t="s">
        <v>32</v>
      </c>
      <c r="M556" s="19" t="s">
        <v>28</v>
      </c>
      <c r="N556" s="20"/>
      <c r="O556" s="22"/>
      <c r="P556" s="22"/>
      <c r="Q556" s="31">
        <f t="shared" si="27"/>
        <v>1</v>
      </c>
      <c r="R556" s="32" t="str">
        <f t="shared" si="26"/>
        <v>P04.090</v>
      </c>
    </row>
    <row r="557" spans="1:18">
      <c r="A557" s="17"/>
      <c r="B557" s="35"/>
      <c r="C557" s="17"/>
      <c r="D557" s="17">
        <f>INDEX(D:D,ROW()-1)+_xlfn.IFS(INDEX(E:E,ROW()-1)="u16",1,INDEX(E:E,ROW()-1)="s16",1,INDEX(E:E,ROW()-1)="s32",2,INDEX(E:E,ROW()-1)="s64",4,INDEX(E:E,ROW()-1)="u16",1,INDEX(E:E,ROW()-1)="u32",2,INDEX(E:E,ROW()-1)="u64",4,INDEX(E:E,ROW()-1)="f32",2,INDEX(E:E,ROW()-1)="f64",4)</f>
        <v>1115</v>
      </c>
      <c r="E557" s="19" t="s">
        <v>29</v>
      </c>
      <c r="F557" s="22"/>
      <c r="G557" s="21" t="s">
        <v>23</v>
      </c>
      <c r="H557" s="21" t="s">
        <v>23</v>
      </c>
      <c r="I557" s="21" t="s">
        <v>30</v>
      </c>
      <c r="J557" s="17" t="s">
        <v>25</v>
      </c>
      <c r="K557" s="17" t="s">
        <v>26</v>
      </c>
      <c r="L557" s="17" t="s">
        <v>32</v>
      </c>
      <c r="M557" s="19" t="s">
        <v>28</v>
      </c>
      <c r="N557" s="20"/>
      <c r="O557" s="22"/>
      <c r="P557" s="22"/>
      <c r="Q557" s="31">
        <f t="shared" si="27"/>
        <v>1</v>
      </c>
      <c r="R557" s="32" t="str">
        <f t="shared" si="26"/>
        <v>P04.091</v>
      </c>
    </row>
    <row r="558" spans="1:18">
      <c r="A558" s="17"/>
      <c r="B558" s="35"/>
      <c r="C558" s="17"/>
      <c r="D558" s="17">
        <f>INDEX(D:D,ROW()-1)+_xlfn.IFS(INDEX(E:E,ROW()-1)="u16",1,INDEX(E:E,ROW()-1)="s16",1,INDEX(E:E,ROW()-1)="s32",2,INDEX(E:E,ROW()-1)="s64",4,INDEX(E:E,ROW()-1)="u16",1,INDEX(E:E,ROW()-1)="u32",2,INDEX(E:E,ROW()-1)="u64",4,INDEX(E:E,ROW()-1)="f32",2,INDEX(E:E,ROW()-1)="f64",4)</f>
        <v>1116</v>
      </c>
      <c r="E558" s="19" t="s">
        <v>29</v>
      </c>
      <c r="F558" s="22"/>
      <c r="G558" s="21" t="s">
        <v>23</v>
      </c>
      <c r="H558" s="21" t="s">
        <v>23</v>
      </c>
      <c r="I558" s="21" t="s">
        <v>30</v>
      </c>
      <c r="J558" s="17" t="s">
        <v>25</v>
      </c>
      <c r="K558" s="17" t="s">
        <v>26</v>
      </c>
      <c r="L558" s="17" t="s">
        <v>32</v>
      </c>
      <c r="M558" s="19" t="s">
        <v>28</v>
      </c>
      <c r="N558" s="20"/>
      <c r="O558" s="22"/>
      <c r="P558" s="22"/>
      <c r="Q558" s="31">
        <f t="shared" si="27"/>
        <v>1</v>
      </c>
      <c r="R558" s="32" t="str">
        <f t="shared" si="26"/>
        <v>P04.092</v>
      </c>
    </row>
    <row r="559" spans="1:18">
      <c r="A559" s="17"/>
      <c r="B559" s="35"/>
      <c r="C559" s="17"/>
      <c r="D559" s="17">
        <f>INDEX(D:D,ROW()-1)+_xlfn.IFS(INDEX(E:E,ROW()-1)="u16",1,INDEX(E:E,ROW()-1)="s16",1,INDEX(E:E,ROW()-1)="s32",2,INDEX(E:E,ROW()-1)="s64",4,INDEX(E:E,ROW()-1)="u16",1,INDEX(E:E,ROW()-1)="u32",2,INDEX(E:E,ROW()-1)="u64",4,INDEX(E:E,ROW()-1)="f32",2,INDEX(E:E,ROW()-1)="f64",4)</f>
        <v>1117</v>
      </c>
      <c r="E559" s="19" t="s">
        <v>29</v>
      </c>
      <c r="F559" s="22"/>
      <c r="G559" s="21" t="s">
        <v>23</v>
      </c>
      <c r="H559" s="21" t="s">
        <v>23</v>
      </c>
      <c r="I559" s="21" t="s">
        <v>30</v>
      </c>
      <c r="J559" s="17" t="s">
        <v>25</v>
      </c>
      <c r="K559" s="17" t="s">
        <v>26</v>
      </c>
      <c r="L559" s="17" t="s">
        <v>32</v>
      </c>
      <c r="M559" s="19" t="s">
        <v>28</v>
      </c>
      <c r="N559" s="20"/>
      <c r="O559" s="22"/>
      <c r="P559" s="22"/>
      <c r="Q559" s="31">
        <f t="shared" si="27"/>
        <v>1</v>
      </c>
      <c r="R559" s="32" t="str">
        <f t="shared" si="26"/>
        <v>P04.093</v>
      </c>
    </row>
    <row r="560" spans="1:18">
      <c r="A560" s="17"/>
      <c r="B560" s="35"/>
      <c r="C560" s="17"/>
      <c r="D560" s="17">
        <f>INDEX(D:D,ROW()-1)+_xlfn.IFS(INDEX(E:E,ROW()-1)="u16",1,INDEX(E:E,ROW()-1)="s16",1,INDEX(E:E,ROW()-1)="s32",2,INDEX(E:E,ROW()-1)="s64",4,INDEX(E:E,ROW()-1)="u16",1,INDEX(E:E,ROW()-1)="u32",2,INDEX(E:E,ROW()-1)="u64",4,INDEX(E:E,ROW()-1)="f32",2,INDEX(E:E,ROW()-1)="f64",4)</f>
        <v>1118</v>
      </c>
      <c r="E560" s="19" t="s">
        <v>29</v>
      </c>
      <c r="F560" s="22"/>
      <c r="G560" s="21" t="s">
        <v>23</v>
      </c>
      <c r="H560" s="21" t="s">
        <v>23</v>
      </c>
      <c r="I560" s="21" t="s">
        <v>30</v>
      </c>
      <c r="J560" s="17" t="s">
        <v>25</v>
      </c>
      <c r="K560" s="17" t="s">
        <v>26</v>
      </c>
      <c r="L560" s="17" t="s">
        <v>32</v>
      </c>
      <c r="M560" s="19" t="s">
        <v>28</v>
      </c>
      <c r="N560" s="20"/>
      <c r="O560" s="22"/>
      <c r="P560" s="22"/>
      <c r="Q560" s="31">
        <f t="shared" si="27"/>
        <v>1</v>
      </c>
      <c r="R560" s="32" t="str">
        <f t="shared" si="26"/>
        <v>P04.094</v>
      </c>
    </row>
  </sheetData>
  <mergeCells count="40">
    <mergeCell ref="J3:M3"/>
    <mergeCell ref="A3:A4"/>
    <mergeCell ref="A5:A107"/>
    <mergeCell ref="A108:A184"/>
    <mergeCell ref="A185:A306"/>
    <mergeCell ref="A307:A313"/>
    <mergeCell ref="A314:A381"/>
    <mergeCell ref="A382:A443"/>
    <mergeCell ref="A444:A481"/>
    <mergeCell ref="A482:A551"/>
    <mergeCell ref="B3:B4"/>
    <mergeCell ref="B5:B107"/>
    <mergeCell ref="B108:B184"/>
    <mergeCell ref="B185:B306"/>
    <mergeCell ref="B307:B313"/>
    <mergeCell ref="B314:B381"/>
    <mergeCell ref="B382:B443"/>
    <mergeCell ref="B444:B481"/>
    <mergeCell ref="B482:B551"/>
    <mergeCell ref="C3:C4"/>
    <mergeCell ref="C5:C107"/>
    <mergeCell ref="C108:C184"/>
    <mergeCell ref="C185:C306"/>
    <mergeCell ref="C307:C313"/>
    <mergeCell ref="C314:C381"/>
    <mergeCell ref="C382:C443"/>
    <mergeCell ref="C444:C481"/>
    <mergeCell ref="C482:C551"/>
    <mergeCell ref="D3:D4"/>
    <mergeCell ref="E3:E4"/>
    <mergeCell ref="F3:F4"/>
    <mergeCell ref="G3:G4"/>
    <mergeCell ref="H3:H4"/>
    <mergeCell ref="I3:I4"/>
    <mergeCell ref="N3:N4"/>
    <mergeCell ref="O3:O4"/>
    <mergeCell ref="P3:P4"/>
    <mergeCell ref="R3:R4"/>
    <mergeCell ref="A1:C2"/>
    <mergeCell ref="D1:P2"/>
  </mergeCells>
  <conditionalFormatting sqref="E5">
    <cfRule type="cellIs" priority="68" operator="equal">
      <formula>"s16"</formula>
    </cfRule>
    <cfRule type="cellIs" dxfId="7" priority="67" operator="equal">
      <formula>"s32"</formula>
    </cfRule>
    <cfRule type="cellIs" dxfId="6" priority="66" operator="equal">
      <formula>"s64"</formula>
    </cfRule>
    <cfRule type="cellIs" priority="65" operator="equal">
      <formula>"u16"</formula>
    </cfRule>
    <cfRule type="cellIs" dxfId="5" priority="64" operator="equal">
      <formula>"u32"</formula>
    </cfRule>
    <cfRule type="cellIs" dxfId="4" priority="63" operator="equal">
      <formula>"u64"</formula>
    </cfRule>
    <cfRule type="cellIs" dxfId="3" priority="62" operator="equal">
      <formula>"f32"</formula>
    </cfRule>
    <cfRule type="cellIs" dxfId="2" priority="61" operator="equal">
      <formula>"f64"</formula>
    </cfRule>
    <cfRule type="cellIs" dxfId="3" priority="60" operator="equal">
      <formula>"f32"</formula>
    </cfRule>
    <cfRule type="cellIs" dxfId="2" priority="59" operator="equal">
      <formula>"f64"</formula>
    </cfRule>
    <cfRule type="cellIs" dxfId="2" priority="58" operator="equal">
      <formula>"f64"</formula>
    </cfRule>
  </conditionalFormatting>
  <conditionalFormatting sqref="F5">
    <cfRule type="containsBlanks" dxfId="1" priority="57">
      <formula>LEN(TRIM(F5))=0</formula>
    </cfRule>
  </conditionalFormatting>
  <conditionalFormatting sqref="K5">
    <cfRule type="cellIs" dxfId="10" priority="75" operator="equal">
      <formula>"读写 - 停机更改，立即生效"</formula>
    </cfRule>
    <cfRule type="cellIs" dxfId="9" priority="74" operator="equal">
      <formula>"读写 - 立即更改，重启生效"</formula>
    </cfRule>
    <cfRule type="cellIs" dxfId="8" priority="73" operator="equal">
      <formula>"读写 - 立即更改，立即生效"</formula>
    </cfRule>
  </conditionalFormatting>
  <conditionalFormatting sqref="L5">
    <cfRule type="cellIs" dxfId="12" priority="72" operator="equal">
      <formula>"允许保存，可恢复"</formula>
    </cfRule>
    <cfRule type="cellIs" dxfId="11" priority="71" operator="equal">
      <formula>"允许保存，不可恢复"</formula>
    </cfRule>
  </conditionalFormatting>
  <conditionalFormatting sqref="E6">
    <cfRule type="cellIs" priority="48" operator="equal">
      <formula>"s16"</formula>
    </cfRule>
    <cfRule type="cellIs" dxfId="7" priority="47" operator="equal">
      <formula>"s32"</formula>
    </cfRule>
    <cfRule type="cellIs" dxfId="6" priority="46" operator="equal">
      <formula>"s64"</formula>
    </cfRule>
    <cfRule type="cellIs" priority="45" operator="equal">
      <formula>"u16"</formula>
    </cfRule>
    <cfRule type="cellIs" dxfId="5" priority="44" operator="equal">
      <formula>"u32"</formula>
    </cfRule>
    <cfRule type="cellIs" dxfId="4" priority="43" operator="equal">
      <formula>"u64"</formula>
    </cfRule>
    <cfRule type="cellIs" dxfId="3" priority="42" operator="equal">
      <formula>"f32"</formula>
    </cfRule>
    <cfRule type="cellIs" dxfId="2" priority="41" operator="equal">
      <formula>"f64"</formula>
    </cfRule>
    <cfRule type="cellIs" dxfId="3" priority="40" operator="equal">
      <formula>"f32"</formula>
    </cfRule>
    <cfRule type="cellIs" dxfId="2" priority="39" operator="equal">
      <formula>"f64"</formula>
    </cfRule>
    <cfRule type="cellIs" dxfId="2" priority="38" operator="equal">
      <formula>"f64"</formula>
    </cfRule>
  </conditionalFormatting>
  <conditionalFormatting sqref="F6">
    <cfRule type="containsBlanks" dxfId="1" priority="37">
      <formula>LEN(TRIM(F6))=0</formula>
    </cfRule>
  </conditionalFormatting>
  <conditionalFormatting sqref="K6">
    <cfRule type="cellIs" dxfId="10" priority="55" operator="equal">
      <formula>"读写 - 停机更改，立即生效"</formula>
    </cfRule>
    <cfRule type="cellIs" dxfId="9" priority="54" operator="equal">
      <formula>"读写 - 立即更改，重启生效"</formula>
    </cfRule>
    <cfRule type="cellIs" dxfId="8" priority="53" operator="equal">
      <formula>"读写 - 立即更改，立即生效"</formula>
    </cfRule>
  </conditionalFormatting>
  <conditionalFormatting sqref="L6">
    <cfRule type="cellIs" dxfId="12" priority="52" operator="equal">
      <formula>"允许保存，可恢复"</formula>
    </cfRule>
    <cfRule type="cellIs" dxfId="11" priority="51" operator="equal">
      <formula>"允许保存，不可恢复"</formula>
    </cfRule>
  </conditionalFormatting>
  <conditionalFormatting sqref="E7">
    <cfRule type="cellIs" dxfId="2" priority="268" operator="equal">
      <formula>"f64"</formula>
    </cfRule>
    <cfRule type="cellIs" dxfId="2" priority="269" operator="equal">
      <formula>"f64"</formula>
    </cfRule>
    <cfRule type="cellIs" dxfId="3" priority="270" operator="equal">
      <formula>"f32"</formula>
    </cfRule>
    <cfRule type="cellIs" dxfId="2" priority="271" operator="equal">
      <formula>"f64"</formula>
    </cfRule>
    <cfRule type="cellIs" dxfId="3" priority="272" operator="equal">
      <formula>"f32"</formula>
    </cfRule>
    <cfRule type="cellIs" dxfId="4" priority="273" operator="equal">
      <formula>"u64"</formula>
    </cfRule>
    <cfRule type="cellIs" dxfId="5" priority="274" operator="equal">
      <formula>"u32"</formula>
    </cfRule>
    <cfRule type="cellIs" priority="275" operator="equal">
      <formula>"u16"</formula>
    </cfRule>
    <cfRule type="cellIs" dxfId="6" priority="276" operator="equal">
      <formula>"s64"</formula>
    </cfRule>
    <cfRule type="cellIs" dxfId="7" priority="277" operator="equal">
      <formula>"s32"</formula>
    </cfRule>
    <cfRule type="cellIs" priority="278" operator="equal">
      <formula>"s16"</formula>
    </cfRule>
  </conditionalFormatting>
  <conditionalFormatting sqref="F7">
    <cfRule type="containsBlanks" dxfId="1" priority="267">
      <formula>LEN(TRIM(F7))=0</formula>
    </cfRule>
  </conditionalFormatting>
  <conditionalFormatting sqref="K7">
    <cfRule type="cellIs" dxfId="8" priority="279" operator="equal">
      <formula>"读写 - 立即更改，立即生效"</formula>
    </cfRule>
    <cfRule type="cellIs" dxfId="9" priority="280" operator="equal">
      <formula>"读写 - 立即更改，重启生效"</formula>
    </cfRule>
    <cfRule type="cellIs" dxfId="10" priority="281" operator="equal">
      <formula>"读写 - 停机更改，立即生效"</formula>
    </cfRule>
  </conditionalFormatting>
  <conditionalFormatting sqref="L7">
    <cfRule type="cellIs" dxfId="11" priority="245" operator="equal">
      <formula>"允许保存，不可恢复"</formula>
    </cfRule>
    <cfRule type="cellIs" dxfId="12" priority="246" operator="equal">
      <formula>"允许保存，可恢复"</formula>
    </cfRule>
  </conditionalFormatting>
  <conditionalFormatting sqref="K16">
    <cfRule type="cellIs" dxfId="8" priority="228" operator="equal">
      <formula>"读写 - 立即更改，立即生效"</formula>
    </cfRule>
    <cfRule type="cellIs" dxfId="9" priority="229" operator="equal">
      <formula>"读写 - 立即更改，重启生效"</formula>
    </cfRule>
    <cfRule type="cellIs" dxfId="10" priority="230" operator="equal">
      <formula>"读写 - 停机更改，立即生效"</formula>
    </cfRule>
  </conditionalFormatting>
  <conditionalFormatting sqref="K17">
    <cfRule type="cellIs" dxfId="8" priority="235" operator="equal">
      <formula>"读写 - 立即更改，立即生效"</formula>
    </cfRule>
    <cfRule type="cellIs" dxfId="9" priority="236" operator="equal">
      <formula>"读写 - 立即更改，重启生效"</formula>
    </cfRule>
    <cfRule type="cellIs" dxfId="10" priority="237" operator="equal">
      <formula>"读写 - 停机更改，立即生效"</formula>
    </cfRule>
  </conditionalFormatting>
  <conditionalFormatting sqref="E25">
    <cfRule type="cellIs" dxfId="2" priority="249" operator="equal">
      <formula>"f64"</formula>
    </cfRule>
    <cfRule type="cellIs" dxfId="2" priority="257" operator="equal">
      <formula>"f64"</formula>
    </cfRule>
    <cfRule type="cellIs" dxfId="3" priority="258" operator="equal">
      <formula>"f32"</formula>
    </cfRule>
    <cfRule type="cellIs" dxfId="2" priority="259" operator="equal">
      <formula>"f64"</formula>
    </cfRule>
    <cfRule type="cellIs" dxfId="3" priority="260" operator="equal">
      <formula>"f32"</formula>
    </cfRule>
    <cfRule type="cellIs" dxfId="4" priority="261" operator="equal">
      <formula>"u64"</formula>
    </cfRule>
    <cfRule type="cellIs" dxfId="5" priority="262" operator="equal">
      <formula>"u32"</formula>
    </cfRule>
    <cfRule type="cellIs" priority="263" operator="equal">
      <formula>"u16"</formula>
    </cfRule>
    <cfRule type="cellIs" dxfId="6" priority="264" operator="equal">
      <formula>"s64"</formula>
    </cfRule>
    <cfRule type="cellIs" dxfId="7" priority="265" operator="equal">
      <formula>"s32"</formula>
    </cfRule>
    <cfRule type="cellIs" priority="266" operator="equal">
      <formula>"s16"</formula>
    </cfRule>
  </conditionalFormatting>
  <conditionalFormatting sqref="F25">
    <cfRule type="containsBlanks" dxfId="1" priority="247">
      <formula>LEN(TRIM(F25))=0</formula>
    </cfRule>
  </conditionalFormatting>
  <conditionalFormatting sqref="K25">
    <cfRule type="cellIs" dxfId="8" priority="250" operator="equal">
      <formula>"读写 - 立即更改，立即生效"</formula>
    </cfRule>
    <cfRule type="cellIs" dxfId="9" priority="251" operator="equal">
      <formula>"读写 - 立即更改，重启生效"</formula>
    </cfRule>
    <cfRule type="cellIs" dxfId="10" priority="252" operator="equal">
      <formula>"读写 - 停机更改，立即生效"</formula>
    </cfRule>
  </conditionalFormatting>
  <conditionalFormatting sqref="E26">
    <cfRule type="cellIs" dxfId="2" priority="172" operator="equal">
      <formula>"f64"</formula>
    </cfRule>
    <cfRule type="cellIs" dxfId="2" priority="173" operator="equal">
      <formula>"f64"</formula>
    </cfRule>
    <cfRule type="cellIs" dxfId="3" priority="174" operator="equal">
      <formula>"f32"</formula>
    </cfRule>
    <cfRule type="cellIs" dxfId="2" priority="175" operator="equal">
      <formula>"f64"</formula>
    </cfRule>
    <cfRule type="cellIs" dxfId="3" priority="176" operator="equal">
      <formula>"f32"</formula>
    </cfRule>
    <cfRule type="cellIs" dxfId="4" priority="177" operator="equal">
      <formula>"u64"</formula>
    </cfRule>
    <cfRule type="cellIs" dxfId="5" priority="178" operator="equal">
      <formula>"u32"</formula>
    </cfRule>
    <cfRule type="cellIs" priority="179" operator="equal">
      <formula>"u16"</formula>
    </cfRule>
    <cfRule type="cellIs" dxfId="6" priority="180" operator="equal">
      <formula>"s64"</formula>
    </cfRule>
    <cfRule type="cellIs" dxfId="7" priority="181" operator="equal">
      <formula>"s32"</formula>
    </cfRule>
    <cfRule type="cellIs" priority="182" operator="equal">
      <formula>"s16"</formula>
    </cfRule>
  </conditionalFormatting>
  <conditionalFormatting sqref="F26">
    <cfRule type="containsBlanks" dxfId="1" priority="171">
      <formula>LEN(TRIM(F26))=0</formula>
    </cfRule>
  </conditionalFormatting>
  <conditionalFormatting sqref="K26">
    <cfRule type="cellIs" dxfId="8" priority="121" operator="equal">
      <formula>"读写 - 立即更改，立即生效"</formula>
    </cfRule>
    <cfRule type="cellIs" dxfId="9" priority="122" operator="equal">
      <formula>"读写 - 立即更改，重启生效"</formula>
    </cfRule>
    <cfRule type="cellIs" dxfId="10" priority="123" operator="equal">
      <formula>"读写 - 停机更改，立即生效"</formula>
    </cfRule>
  </conditionalFormatting>
  <conditionalFormatting sqref="K29">
    <cfRule type="cellIs" dxfId="8" priority="118" operator="equal">
      <formula>"读写 - 立即更改，立即生效"</formula>
    </cfRule>
    <cfRule type="cellIs" dxfId="9" priority="119" operator="equal">
      <formula>"读写 - 立即更改，重启生效"</formula>
    </cfRule>
    <cfRule type="cellIs" dxfId="10" priority="120" operator="equal">
      <formula>"读写 - 停机更改，立即生效"</formula>
    </cfRule>
  </conditionalFormatting>
  <conditionalFormatting sqref="E30">
    <cfRule type="cellIs" dxfId="2" priority="304" operator="equal">
      <formula>"f64"</formula>
    </cfRule>
    <cfRule type="cellIs" dxfId="2" priority="310" operator="equal">
      <formula>"f64"</formula>
    </cfRule>
    <cfRule type="cellIs" dxfId="3" priority="311" operator="equal">
      <formula>"f32"</formula>
    </cfRule>
    <cfRule type="cellIs" dxfId="2" priority="312" operator="equal">
      <formula>"f64"</formula>
    </cfRule>
    <cfRule type="cellIs" dxfId="3" priority="313" operator="equal">
      <formula>"f32"</formula>
    </cfRule>
    <cfRule type="cellIs" dxfId="4" priority="314" operator="equal">
      <formula>"u64"</formula>
    </cfRule>
    <cfRule type="cellIs" dxfId="5" priority="315" operator="equal">
      <formula>"u32"</formula>
    </cfRule>
    <cfRule type="cellIs" priority="316" operator="equal">
      <formula>"u16"</formula>
    </cfRule>
    <cfRule type="cellIs" dxfId="6" priority="317" operator="equal">
      <formula>"s64"</formula>
    </cfRule>
    <cfRule type="cellIs" dxfId="7" priority="318" operator="equal">
      <formula>"s32"</formula>
    </cfRule>
    <cfRule type="cellIs" priority="319" operator="equal">
      <formula>"s16"</formula>
    </cfRule>
  </conditionalFormatting>
  <conditionalFormatting sqref="K30">
    <cfRule type="cellIs" dxfId="8" priority="305" operator="equal">
      <formula>"读写 - 立即更改，立即生效"</formula>
    </cfRule>
    <cfRule type="cellIs" dxfId="9" priority="306" operator="equal">
      <formula>"读写 - 立即更改，重启生效"</formula>
    </cfRule>
    <cfRule type="cellIs" dxfId="10" priority="307" operator="equal">
      <formula>"读写 - 停机更改，立即生效"</formula>
    </cfRule>
  </conditionalFormatting>
  <conditionalFormatting sqref="L30">
    <cfRule type="cellIs" dxfId="11" priority="308" operator="equal">
      <formula>"允许保存，不可恢复"</formula>
    </cfRule>
    <cfRule type="cellIs" dxfId="12" priority="309" operator="equal">
      <formula>"允许保存，可恢复"</formula>
    </cfRule>
  </conditionalFormatting>
  <conditionalFormatting sqref="K31">
    <cfRule type="cellIs" dxfId="8" priority="321" operator="equal">
      <formula>"读写 - 立即更改，立即生效"</formula>
    </cfRule>
    <cfRule type="cellIs" dxfId="9" priority="322" operator="equal">
      <formula>"读写 - 立即更改，重启生效"</formula>
    </cfRule>
    <cfRule type="cellIs" dxfId="10" priority="323" operator="equal">
      <formula>"读写 - 停机更改，立即生效"</formula>
    </cfRule>
  </conditionalFormatting>
  <conditionalFormatting sqref="L31">
    <cfRule type="cellIs" dxfId="11" priority="324" operator="equal">
      <formula>"允许保存，不可恢复"</formula>
    </cfRule>
    <cfRule type="cellIs" dxfId="12" priority="325" operator="equal">
      <formula>"允许保存，可恢复"</formula>
    </cfRule>
  </conditionalFormatting>
  <conditionalFormatting sqref="E34">
    <cfRule type="cellIs" dxfId="2" priority="283" operator="equal">
      <formula>"f64"</formula>
    </cfRule>
    <cfRule type="cellIs" dxfId="2" priority="284" operator="equal">
      <formula>"f64"</formula>
    </cfRule>
    <cfRule type="cellIs" dxfId="3" priority="285" operator="equal">
      <formula>"f32"</formula>
    </cfRule>
    <cfRule type="cellIs" dxfId="2" priority="286" operator="equal">
      <formula>"f64"</formula>
    </cfRule>
    <cfRule type="cellIs" dxfId="3" priority="287" operator="equal">
      <formula>"f32"</formula>
    </cfRule>
    <cfRule type="cellIs" dxfId="4" priority="288" operator="equal">
      <formula>"u64"</formula>
    </cfRule>
    <cfRule type="cellIs" dxfId="5" priority="289" operator="equal">
      <formula>"u32"</formula>
    </cfRule>
    <cfRule type="cellIs" priority="290" operator="equal">
      <formula>"u16"</formula>
    </cfRule>
    <cfRule type="cellIs" dxfId="6" priority="291" operator="equal">
      <formula>"s64"</formula>
    </cfRule>
    <cfRule type="cellIs" dxfId="7" priority="292" operator="equal">
      <formula>"s32"</formula>
    </cfRule>
    <cfRule type="cellIs" priority="293" operator="equal">
      <formula>"s16"</formula>
    </cfRule>
  </conditionalFormatting>
  <conditionalFormatting sqref="F34">
    <cfRule type="containsBlanks" dxfId="1" priority="282">
      <formula>LEN(TRIM(F34))=0</formula>
    </cfRule>
  </conditionalFormatting>
  <conditionalFormatting sqref="K34">
    <cfRule type="cellIs" dxfId="8" priority="298" operator="equal">
      <formula>"读写 - 立即更改，立即生效"</formula>
    </cfRule>
    <cfRule type="cellIs" dxfId="9" priority="299" operator="equal">
      <formula>"读写 - 立即更改，重启生效"</formula>
    </cfRule>
    <cfRule type="cellIs" dxfId="10" priority="300" operator="equal">
      <formula>"读写 - 停机更改，立即生效"</formula>
    </cfRule>
  </conditionalFormatting>
  <conditionalFormatting sqref="L34">
    <cfRule type="cellIs" dxfId="11" priority="296" operator="equal">
      <formula>"允许保存，不可恢复"</formula>
    </cfRule>
    <cfRule type="cellIs" dxfId="12" priority="297" operator="equal">
      <formula>"允许保存，可恢复"</formula>
    </cfRule>
  </conditionalFormatting>
  <conditionalFormatting sqref="E35">
    <cfRule type="cellIs" dxfId="2" priority="79" operator="equal">
      <formula>"f64"</formula>
    </cfRule>
    <cfRule type="cellIs" dxfId="2" priority="80" operator="equal">
      <formula>"f64"</formula>
    </cfRule>
    <cfRule type="cellIs" dxfId="3" priority="81" operator="equal">
      <formula>"f32"</formula>
    </cfRule>
    <cfRule type="cellIs" dxfId="2" priority="82" operator="equal">
      <formula>"f64"</formula>
    </cfRule>
    <cfRule type="cellIs" dxfId="3" priority="83" operator="equal">
      <formula>"f32"</formula>
    </cfRule>
    <cfRule type="cellIs" dxfId="4" priority="84" operator="equal">
      <formula>"u64"</formula>
    </cfRule>
    <cfRule type="cellIs" dxfId="5" priority="85" operator="equal">
      <formula>"u32"</formula>
    </cfRule>
    <cfRule type="cellIs" priority="86" operator="equal">
      <formula>"u16"</formula>
    </cfRule>
    <cfRule type="cellIs" dxfId="6" priority="87" operator="equal">
      <formula>"s64"</formula>
    </cfRule>
    <cfRule type="cellIs" dxfId="7" priority="88" operator="equal">
      <formula>"s32"</formula>
    </cfRule>
    <cfRule type="cellIs" priority="89" operator="equal">
      <formula>"s16"</formula>
    </cfRule>
  </conditionalFormatting>
  <conditionalFormatting sqref="F35">
    <cfRule type="containsBlanks" dxfId="1" priority="78">
      <formula>LEN(TRIM(F35))=0</formula>
    </cfRule>
  </conditionalFormatting>
  <conditionalFormatting sqref="K35">
    <cfRule type="cellIs" dxfId="8" priority="94" operator="equal">
      <formula>"读写 - 立即更改，立即生效"</formula>
    </cfRule>
    <cfRule type="cellIs" dxfId="9" priority="95" operator="equal">
      <formula>"读写 - 立即更改，重启生效"</formula>
    </cfRule>
    <cfRule type="cellIs" dxfId="10" priority="96" operator="equal">
      <formula>"读写 - 停机更改，立即生效"</formula>
    </cfRule>
  </conditionalFormatting>
  <conditionalFormatting sqref="L35">
    <cfRule type="cellIs" dxfId="11" priority="92" operator="equal">
      <formula>"允许保存，不可恢复"</formula>
    </cfRule>
    <cfRule type="cellIs" dxfId="12" priority="93" operator="equal">
      <formula>"允许保存，可恢复"</formula>
    </cfRule>
  </conditionalFormatting>
  <conditionalFormatting sqref="E37">
    <cfRule type="cellIs" dxfId="2" priority="99" operator="equal">
      <formula>"f64"</formula>
    </cfRule>
    <cfRule type="cellIs" dxfId="2" priority="100" operator="equal">
      <formula>"f64"</formula>
    </cfRule>
    <cfRule type="cellIs" dxfId="3" priority="101" operator="equal">
      <formula>"f32"</formula>
    </cfRule>
    <cfRule type="cellIs" dxfId="2" priority="102" operator="equal">
      <formula>"f64"</formula>
    </cfRule>
    <cfRule type="cellIs" dxfId="3" priority="103" operator="equal">
      <formula>"f32"</formula>
    </cfRule>
    <cfRule type="cellIs" dxfId="4" priority="104" operator="equal">
      <formula>"u64"</formula>
    </cfRule>
    <cfRule type="cellIs" dxfId="5" priority="105" operator="equal">
      <formula>"u32"</formula>
    </cfRule>
    <cfRule type="cellIs" priority="106" operator="equal">
      <formula>"u16"</formula>
    </cfRule>
    <cfRule type="cellIs" dxfId="6" priority="107" operator="equal">
      <formula>"s64"</formula>
    </cfRule>
    <cfRule type="cellIs" dxfId="7" priority="108" operator="equal">
      <formula>"s32"</formula>
    </cfRule>
    <cfRule type="cellIs" priority="109" operator="equal">
      <formula>"s16"</formula>
    </cfRule>
  </conditionalFormatting>
  <conditionalFormatting sqref="F37">
    <cfRule type="containsBlanks" dxfId="1" priority="98">
      <formula>LEN(TRIM(F37))=0</formula>
    </cfRule>
  </conditionalFormatting>
  <conditionalFormatting sqref="K37">
    <cfRule type="cellIs" dxfId="8" priority="114" operator="equal">
      <formula>"读写 - 立即更改，立即生效"</formula>
    </cfRule>
    <cfRule type="cellIs" dxfId="9" priority="115" operator="equal">
      <formula>"读写 - 立即更改，重启生效"</formula>
    </cfRule>
    <cfRule type="cellIs" dxfId="10" priority="116" operator="equal">
      <formula>"读写 - 停机更改，立即生效"</formula>
    </cfRule>
  </conditionalFormatting>
  <conditionalFormatting sqref="L37">
    <cfRule type="cellIs" dxfId="11" priority="112" operator="equal">
      <formula>"允许保存，不可恢复"</formula>
    </cfRule>
    <cfRule type="cellIs" dxfId="12" priority="113" operator="equal">
      <formula>"允许保存，可恢复"</formula>
    </cfRule>
  </conditionalFormatting>
  <conditionalFormatting sqref="E38">
    <cfRule type="cellIs" dxfId="2" priority="1943" operator="equal">
      <formula>"f64"</formula>
    </cfRule>
    <cfRule type="cellIs" dxfId="2" priority="1944" operator="equal">
      <formula>"f64"</formula>
    </cfRule>
    <cfRule type="cellIs" dxfId="3" priority="1945" operator="equal">
      <formula>"f32"</formula>
    </cfRule>
    <cfRule type="cellIs" dxfId="2" priority="1946" operator="equal">
      <formula>"f64"</formula>
    </cfRule>
    <cfRule type="cellIs" dxfId="3" priority="1947" operator="equal">
      <formula>"f32"</formula>
    </cfRule>
    <cfRule type="cellIs" dxfId="4" priority="1948" operator="equal">
      <formula>"u64"</formula>
    </cfRule>
    <cfRule type="cellIs" dxfId="5" priority="1949" operator="equal">
      <formula>"u32"</formula>
    </cfRule>
    <cfRule type="cellIs" priority="1950" operator="equal">
      <formula>"u16"</formula>
    </cfRule>
    <cfRule type="cellIs" dxfId="6" priority="1951" operator="equal">
      <formula>"s64"</formula>
    </cfRule>
    <cfRule type="cellIs" dxfId="7" priority="1952" operator="equal">
      <formula>"s32"</formula>
    </cfRule>
    <cfRule type="cellIs" priority="1953" operator="equal">
      <formula>"s16"</formula>
    </cfRule>
  </conditionalFormatting>
  <conditionalFormatting sqref="F38">
    <cfRule type="containsBlanks" dxfId="1" priority="1942">
      <formula>LEN(TRIM(F38))=0</formula>
    </cfRule>
  </conditionalFormatting>
  <conditionalFormatting sqref="K38">
    <cfRule type="cellIs" dxfId="8" priority="1958" operator="equal">
      <formula>"读写 - 立即更改，立即生效"</formula>
    </cfRule>
    <cfRule type="cellIs" dxfId="9" priority="1959" operator="equal">
      <formula>"读写 - 立即更改，重启生效"</formula>
    </cfRule>
    <cfRule type="cellIs" dxfId="10" priority="1960" operator="equal">
      <formula>"读写 - 停机更改，立即生效"</formula>
    </cfRule>
  </conditionalFormatting>
  <conditionalFormatting sqref="L38">
    <cfRule type="cellIs" dxfId="11" priority="1956" operator="equal">
      <formula>"允许保存，不可恢复"</formula>
    </cfRule>
    <cfRule type="cellIs" dxfId="12" priority="1957" operator="equal">
      <formula>"允许保存，可恢复"</formula>
    </cfRule>
  </conditionalFormatting>
  <conditionalFormatting sqref="F42">
    <cfRule type="containsBlanks" dxfId="1" priority="391">
      <formula>LEN(TRIM(F42))=0</formula>
    </cfRule>
  </conditionalFormatting>
  <conditionalFormatting sqref="K68">
    <cfRule type="cellIs" dxfId="8" priority="1468" operator="equal">
      <formula>"读写 - 立即更改，立即生效"</formula>
    </cfRule>
    <cfRule type="cellIs" dxfId="9" priority="1469" operator="equal">
      <formula>"读写 - 立即更改，重启生效"</formula>
    </cfRule>
    <cfRule type="cellIs" dxfId="10" priority="1470" operator="equal">
      <formula>"读写 - 停机更改，立即生效"</formula>
    </cfRule>
  </conditionalFormatting>
  <conditionalFormatting sqref="L68">
    <cfRule type="cellIs" dxfId="11" priority="1466" operator="equal">
      <formula>"允许保存，不可恢复"</formula>
    </cfRule>
    <cfRule type="cellIs" dxfId="12" priority="1467" operator="equal">
      <formula>"允许保存，可恢复"</formula>
    </cfRule>
  </conditionalFormatting>
  <conditionalFormatting sqref="E70">
    <cfRule type="cellIs" dxfId="2" priority="1293" operator="equal">
      <formula>"f64"</formula>
    </cfRule>
    <cfRule type="cellIs" dxfId="2" priority="1294" operator="equal">
      <formula>"f64"</formula>
    </cfRule>
    <cfRule type="cellIs" dxfId="3" priority="1295" operator="equal">
      <formula>"f32"</formula>
    </cfRule>
    <cfRule type="cellIs" dxfId="2" priority="1296" operator="equal">
      <formula>"f64"</formula>
    </cfRule>
    <cfRule type="cellIs" dxfId="3" priority="1297" operator="equal">
      <formula>"f32"</formula>
    </cfRule>
    <cfRule type="cellIs" dxfId="4" priority="1298" operator="equal">
      <formula>"u64"</formula>
    </cfRule>
    <cfRule type="cellIs" dxfId="5" priority="1299" operator="equal">
      <formula>"u32"</formula>
    </cfRule>
    <cfRule type="cellIs" priority="1300" operator="equal">
      <formula>"u16"</formula>
    </cfRule>
    <cfRule type="cellIs" dxfId="6" priority="1301" operator="equal">
      <formula>"s64"</formula>
    </cfRule>
    <cfRule type="cellIs" dxfId="7" priority="1302" operator="equal">
      <formula>"s32"</formula>
    </cfRule>
    <cfRule type="cellIs" priority="1303" operator="equal">
      <formula>"s16"</formula>
    </cfRule>
  </conditionalFormatting>
  <conditionalFormatting sqref="F70">
    <cfRule type="containsBlanks" dxfId="1" priority="1292">
      <formula>LEN(TRIM(F70))=0</formula>
    </cfRule>
  </conditionalFormatting>
  <conditionalFormatting sqref="K70">
    <cfRule type="cellIs" dxfId="8" priority="1304" operator="equal">
      <formula>"读写 - 立即更改，立即生效"</formula>
    </cfRule>
    <cfRule type="cellIs" dxfId="9" priority="1305" operator="equal">
      <formula>"读写 - 立即更改，重启生效"</formula>
    </cfRule>
    <cfRule type="cellIs" dxfId="10" priority="1306" operator="equal">
      <formula>"读写 - 停机更改，立即生效"</formula>
    </cfRule>
  </conditionalFormatting>
  <conditionalFormatting sqref="L70">
    <cfRule type="cellIs" dxfId="11" priority="1307" operator="equal">
      <formula>"允许保存，不可恢复"</formula>
    </cfRule>
    <cfRule type="cellIs" dxfId="12" priority="1310" operator="equal">
      <formula>"允许保存，可恢复"</formula>
    </cfRule>
  </conditionalFormatting>
  <conditionalFormatting sqref="E115">
    <cfRule type="cellIs" dxfId="2" priority="423" operator="equal">
      <formula>"f64"</formula>
    </cfRule>
    <cfRule type="cellIs" dxfId="2" priority="424" operator="equal">
      <formula>"f64"</formula>
    </cfRule>
    <cfRule type="cellIs" dxfId="3" priority="425" operator="equal">
      <formula>"f32"</formula>
    </cfRule>
    <cfRule type="cellIs" dxfId="2" priority="426" operator="equal">
      <formula>"f64"</formula>
    </cfRule>
    <cfRule type="cellIs" dxfId="3" priority="427" operator="equal">
      <formula>"f32"</formula>
    </cfRule>
    <cfRule type="cellIs" dxfId="4" priority="428" operator="equal">
      <formula>"u64"</formula>
    </cfRule>
    <cfRule type="cellIs" dxfId="5" priority="429" operator="equal">
      <formula>"u32"</formula>
    </cfRule>
    <cfRule type="cellIs" priority="430" operator="equal">
      <formula>"u16"</formula>
    </cfRule>
    <cfRule type="cellIs" dxfId="6" priority="431" operator="equal">
      <formula>"s64"</formula>
    </cfRule>
    <cfRule type="cellIs" dxfId="7" priority="432" operator="equal">
      <formula>"s32"</formula>
    </cfRule>
    <cfRule type="cellIs" priority="433" operator="equal">
      <formula>"s16"</formula>
    </cfRule>
  </conditionalFormatting>
  <conditionalFormatting sqref="F115">
    <cfRule type="containsBlanks" dxfId="1" priority="422">
      <formula>LEN(TRIM(F115))=0</formula>
    </cfRule>
  </conditionalFormatting>
  <conditionalFormatting sqref="K115">
    <cfRule type="cellIs" dxfId="8" priority="438" operator="equal">
      <formula>"读写 - 立即更改，立即生效"</formula>
    </cfRule>
    <cfRule type="cellIs" dxfId="9" priority="439" operator="equal">
      <formula>"读写 - 立即更改，重启生效"</formula>
    </cfRule>
    <cfRule type="cellIs" dxfId="10" priority="440" operator="equal">
      <formula>"读写 - 停机更改，立即生效"</formula>
    </cfRule>
  </conditionalFormatting>
  <conditionalFormatting sqref="L115">
    <cfRule type="cellIs" dxfId="11" priority="436" operator="equal">
      <formula>"允许保存，不可恢复"</formula>
    </cfRule>
    <cfRule type="cellIs" dxfId="12" priority="437" operator="equal">
      <formula>"允许保存，可恢复"</formula>
    </cfRule>
  </conditionalFormatting>
  <conditionalFormatting sqref="E190">
    <cfRule type="cellIs" dxfId="2" priority="1539" operator="equal">
      <formula>"f64"</formula>
    </cfRule>
    <cfRule type="cellIs" dxfId="2" priority="1540" operator="equal">
      <formula>"f64"</formula>
    </cfRule>
    <cfRule type="cellIs" dxfId="3" priority="1541" operator="equal">
      <formula>"f32"</formula>
    </cfRule>
    <cfRule type="cellIs" dxfId="2" priority="1542" operator="equal">
      <formula>"f64"</formula>
    </cfRule>
    <cfRule type="cellIs" dxfId="3" priority="1543" operator="equal">
      <formula>"f32"</formula>
    </cfRule>
    <cfRule type="cellIs" dxfId="4" priority="1544" operator="equal">
      <formula>"u64"</formula>
    </cfRule>
    <cfRule type="cellIs" dxfId="5" priority="1545" operator="equal">
      <formula>"u32"</formula>
    </cfRule>
    <cfRule type="cellIs" priority="1546" operator="equal">
      <formula>"u16"</formula>
    </cfRule>
    <cfRule type="cellIs" dxfId="6" priority="1547" operator="equal">
      <formula>"s64"</formula>
    </cfRule>
    <cfRule type="cellIs" dxfId="7" priority="1548" operator="equal">
      <formula>"s32"</formula>
    </cfRule>
    <cfRule type="cellIs" priority="1549" operator="equal">
      <formula>"s16"</formula>
    </cfRule>
  </conditionalFormatting>
  <conditionalFormatting sqref="F190">
    <cfRule type="containsBlanks" dxfId="1" priority="1538">
      <formula>LEN(TRIM(F190))=0</formula>
    </cfRule>
  </conditionalFormatting>
  <conditionalFormatting sqref="K190">
    <cfRule type="cellIs" dxfId="8" priority="1554" operator="equal">
      <formula>"读写 - 立即更改，立即生效"</formula>
    </cfRule>
    <cfRule type="cellIs" dxfId="9" priority="1555" operator="equal">
      <formula>"读写 - 立即更改，重启生效"</formula>
    </cfRule>
    <cfRule type="cellIs" dxfId="10" priority="1556" operator="equal">
      <formula>"读写 - 停机更改，立即生效"</formula>
    </cfRule>
  </conditionalFormatting>
  <conditionalFormatting sqref="L190">
    <cfRule type="cellIs" dxfId="11" priority="1552" operator="equal">
      <formula>"允许保存，不可恢复"</formula>
    </cfRule>
    <cfRule type="cellIs" dxfId="12" priority="1553" operator="equal">
      <formula>"允许保存，可恢复"</formula>
    </cfRule>
  </conditionalFormatting>
  <conditionalFormatting sqref="E200">
    <cfRule type="cellIs" dxfId="2" priority="463" operator="equal">
      <formula>"f64"</formula>
    </cfRule>
    <cfRule type="cellIs" dxfId="2" priority="464" operator="equal">
      <formula>"f64"</formula>
    </cfRule>
    <cfRule type="cellIs" dxfId="3" priority="465" operator="equal">
      <formula>"f32"</formula>
    </cfRule>
    <cfRule type="cellIs" dxfId="2" priority="466" operator="equal">
      <formula>"f64"</formula>
    </cfRule>
    <cfRule type="cellIs" dxfId="3" priority="467" operator="equal">
      <formula>"f32"</formula>
    </cfRule>
    <cfRule type="cellIs" dxfId="4" priority="468" operator="equal">
      <formula>"u64"</formula>
    </cfRule>
    <cfRule type="cellIs" dxfId="5" priority="469" operator="equal">
      <formula>"u32"</formula>
    </cfRule>
    <cfRule type="cellIs" priority="470" operator="equal">
      <formula>"u16"</formula>
    </cfRule>
    <cfRule type="cellIs" dxfId="6" priority="471" operator="equal">
      <formula>"s64"</formula>
    </cfRule>
    <cfRule type="cellIs" dxfId="7" priority="472" operator="equal">
      <formula>"s32"</formula>
    </cfRule>
    <cfRule type="cellIs" priority="473" operator="equal">
      <formula>"s16"</formula>
    </cfRule>
  </conditionalFormatting>
  <conditionalFormatting sqref="F200">
    <cfRule type="containsBlanks" dxfId="1" priority="462">
      <formula>LEN(TRIM(F200))=0</formula>
    </cfRule>
  </conditionalFormatting>
  <conditionalFormatting sqref="K200">
    <cfRule type="cellIs" dxfId="8" priority="478" operator="equal">
      <formula>"读写 - 立即更改，立即生效"</formula>
    </cfRule>
    <cfRule type="cellIs" dxfId="9" priority="479" operator="equal">
      <formula>"读写 - 立即更改，重启生效"</formula>
    </cfRule>
    <cfRule type="cellIs" dxfId="10" priority="480" operator="equal">
      <formula>"读写 - 停机更改，立即生效"</formula>
    </cfRule>
  </conditionalFormatting>
  <conditionalFormatting sqref="L200">
    <cfRule type="cellIs" dxfId="11" priority="476" operator="equal">
      <formula>"允许保存，不可恢复"</formula>
    </cfRule>
    <cfRule type="cellIs" dxfId="12" priority="477" operator="equal">
      <formula>"允许保存，可恢复"</formula>
    </cfRule>
  </conditionalFormatting>
  <conditionalFormatting sqref="E201">
    <cfRule type="cellIs" dxfId="2" priority="483" operator="equal">
      <formula>"f64"</formula>
    </cfRule>
    <cfRule type="cellIs" dxfId="2" priority="484" operator="equal">
      <formula>"f64"</formula>
    </cfRule>
    <cfRule type="cellIs" dxfId="3" priority="485" operator="equal">
      <formula>"f32"</formula>
    </cfRule>
    <cfRule type="cellIs" dxfId="2" priority="486" operator="equal">
      <formula>"f64"</formula>
    </cfRule>
    <cfRule type="cellIs" dxfId="3" priority="487" operator="equal">
      <formula>"f32"</formula>
    </cfRule>
    <cfRule type="cellIs" dxfId="4" priority="488" operator="equal">
      <formula>"u64"</formula>
    </cfRule>
    <cfRule type="cellIs" dxfId="5" priority="489" operator="equal">
      <formula>"u32"</formula>
    </cfRule>
    <cfRule type="cellIs" priority="490" operator="equal">
      <formula>"u16"</formula>
    </cfRule>
    <cfRule type="cellIs" dxfId="6" priority="491" operator="equal">
      <formula>"s64"</formula>
    </cfRule>
    <cfRule type="cellIs" dxfId="7" priority="492" operator="equal">
      <formula>"s32"</formula>
    </cfRule>
    <cfRule type="cellIs" priority="493" operator="equal">
      <formula>"s16"</formula>
    </cfRule>
  </conditionalFormatting>
  <conditionalFormatting sqref="F201">
    <cfRule type="containsBlanks" dxfId="1" priority="482">
      <formula>LEN(TRIM(F201))=0</formula>
    </cfRule>
  </conditionalFormatting>
  <conditionalFormatting sqref="K201">
    <cfRule type="cellIs" dxfId="8" priority="498" operator="equal">
      <formula>"读写 - 立即更改，立即生效"</formula>
    </cfRule>
    <cfRule type="cellIs" dxfId="9" priority="499" operator="equal">
      <formula>"读写 - 立即更改，重启生效"</formula>
    </cfRule>
    <cfRule type="cellIs" dxfId="10" priority="500" operator="equal">
      <formula>"读写 - 停机更改，立即生效"</formula>
    </cfRule>
  </conditionalFormatting>
  <conditionalFormatting sqref="L201">
    <cfRule type="cellIs" dxfId="11" priority="496" operator="equal">
      <formula>"允许保存，不可恢复"</formula>
    </cfRule>
    <cfRule type="cellIs" dxfId="12" priority="497" operator="equal">
      <formula>"允许保存，可恢复"</formula>
    </cfRule>
  </conditionalFormatting>
  <conditionalFormatting sqref="E204">
    <cfRule type="cellIs" dxfId="2" priority="1517" operator="equal">
      <formula>"f64"</formula>
    </cfRule>
    <cfRule type="cellIs" dxfId="2" priority="1518" operator="equal">
      <formula>"f64"</formula>
    </cfRule>
    <cfRule type="cellIs" dxfId="3" priority="1519" operator="equal">
      <formula>"f32"</formula>
    </cfRule>
    <cfRule type="cellIs" dxfId="2" priority="1520" operator="equal">
      <formula>"f64"</formula>
    </cfRule>
    <cfRule type="cellIs" dxfId="3" priority="1521" operator="equal">
      <formula>"f32"</formula>
    </cfRule>
    <cfRule type="cellIs" dxfId="4" priority="1522" operator="equal">
      <formula>"u64"</formula>
    </cfRule>
    <cfRule type="cellIs" dxfId="5" priority="1523" operator="equal">
      <formula>"u32"</formula>
    </cfRule>
    <cfRule type="cellIs" priority="1524" operator="equal">
      <formula>"u16"</formula>
    </cfRule>
    <cfRule type="cellIs" dxfId="6" priority="1525" operator="equal">
      <formula>"s64"</formula>
    </cfRule>
    <cfRule type="cellIs" dxfId="7" priority="1526" operator="equal">
      <formula>"s32"</formula>
    </cfRule>
    <cfRule type="cellIs" priority="1527" operator="equal">
      <formula>"s16"</formula>
    </cfRule>
  </conditionalFormatting>
  <conditionalFormatting sqref="F204">
    <cfRule type="containsBlanks" dxfId="1" priority="1356">
      <formula>LEN(TRIM(F204))=0</formula>
    </cfRule>
  </conditionalFormatting>
  <conditionalFormatting sqref="E205">
    <cfRule type="cellIs" dxfId="2" priority="443" operator="equal">
      <formula>"f64"</formula>
    </cfRule>
    <cfRule type="cellIs" dxfId="2" priority="444" operator="equal">
      <formula>"f64"</formula>
    </cfRule>
    <cfRule type="cellIs" dxfId="3" priority="445" operator="equal">
      <formula>"f32"</formula>
    </cfRule>
    <cfRule type="cellIs" dxfId="2" priority="446" operator="equal">
      <formula>"f64"</formula>
    </cfRule>
    <cfRule type="cellIs" dxfId="3" priority="447" operator="equal">
      <formula>"f32"</formula>
    </cfRule>
    <cfRule type="cellIs" dxfId="4" priority="448" operator="equal">
      <formula>"u64"</formula>
    </cfRule>
    <cfRule type="cellIs" dxfId="5" priority="449" operator="equal">
      <formula>"u32"</formula>
    </cfRule>
    <cfRule type="cellIs" priority="450" operator="equal">
      <formula>"u16"</formula>
    </cfRule>
    <cfRule type="cellIs" dxfId="6" priority="451" operator="equal">
      <formula>"s64"</formula>
    </cfRule>
    <cfRule type="cellIs" dxfId="7" priority="452" operator="equal">
      <formula>"s32"</formula>
    </cfRule>
    <cfRule type="cellIs" priority="453" operator="equal">
      <formula>"s16"</formula>
    </cfRule>
  </conditionalFormatting>
  <conditionalFormatting sqref="F205">
    <cfRule type="containsBlanks" dxfId="1" priority="442">
      <formula>LEN(TRIM(F205))=0</formula>
    </cfRule>
  </conditionalFormatting>
  <conditionalFormatting sqref="K205">
    <cfRule type="cellIs" dxfId="8" priority="458" operator="equal">
      <formula>"读写 - 立即更改，立即生效"</formula>
    </cfRule>
    <cfRule type="cellIs" dxfId="9" priority="459" operator="equal">
      <formula>"读写 - 立即更改，重启生效"</formula>
    </cfRule>
    <cfRule type="cellIs" dxfId="10" priority="460" operator="equal">
      <formula>"读写 - 停机更改，立即生效"</formula>
    </cfRule>
  </conditionalFormatting>
  <conditionalFormatting sqref="L205">
    <cfRule type="cellIs" dxfId="11" priority="456" operator="equal">
      <formula>"允许保存，不可恢复"</formula>
    </cfRule>
    <cfRule type="cellIs" dxfId="12" priority="457" operator="equal">
      <formula>"允许保存，可恢复"</formula>
    </cfRule>
  </conditionalFormatting>
  <conditionalFormatting sqref="E219">
    <cfRule type="cellIs" dxfId="2" priority="909" operator="equal">
      <formula>"f64"</formula>
    </cfRule>
    <cfRule type="cellIs" dxfId="2" priority="910" operator="equal">
      <formula>"f64"</formula>
    </cfRule>
    <cfRule type="cellIs" dxfId="3" priority="911" operator="equal">
      <formula>"f32"</formula>
    </cfRule>
    <cfRule type="cellIs" dxfId="2" priority="912" operator="equal">
      <formula>"f64"</formula>
    </cfRule>
    <cfRule type="cellIs" dxfId="3" priority="913" operator="equal">
      <formula>"f32"</formula>
    </cfRule>
    <cfRule type="cellIs" dxfId="4" priority="914" operator="equal">
      <formula>"u64"</formula>
    </cfRule>
    <cfRule type="cellIs" dxfId="5" priority="915" operator="equal">
      <formula>"u32"</formula>
    </cfRule>
    <cfRule type="cellIs" priority="916" operator="equal">
      <formula>"u16"</formula>
    </cfRule>
    <cfRule type="cellIs" dxfId="6" priority="917" operator="equal">
      <formula>"s64"</formula>
    </cfRule>
    <cfRule type="cellIs" dxfId="7" priority="918" operator="equal">
      <formula>"s32"</formula>
    </cfRule>
    <cfRule type="cellIs" priority="919" operator="equal">
      <formula>"s16"</formula>
    </cfRule>
  </conditionalFormatting>
  <conditionalFormatting sqref="F219">
    <cfRule type="containsBlanks" dxfId="1" priority="908">
      <formula>LEN(TRIM(F219))=0</formula>
    </cfRule>
  </conditionalFormatting>
  <conditionalFormatting sqref="K219">
    <cfRule type="cellIs" dxfId="8" priority="924" operator="equal">
      <formula>"读写 - 立即更改，立即生效"</formula>
    </cfRule>
    <cfRule type="cellIs" dxfId="9" priority="925" operator="equal">
      <formula>"读写 - 立即更改，重启生效"</formula>
    </cfRule>
    <cfRule type="cellIs" dxfId="10" priority="926" operator="equal">
      <formula>"读写 - 停机更改，立即生效"</formula>
    </cfRule>
  </conditionalFormatting>
  <conditionalFormatting sqref="L219">
    <cfRule type="cellIs" dxfId="11" priority="922" operator="equal">
      <formula>"允许保存，不可恢复"</formula>
    </cfRule>
    <cfRule type="cellIs" dxfId="12" priority="923" operator="equal">
      <formula>"允许保存，可恢复"</formula>
    </cfRule>
  </conditionalFormatting>
  <conditionalFormatting sqref="E221">
    <cfRule type="cellIs" dxfId="2" priority="1504" operator="equal">
      <formula>"f64"</formula>
    </cfRule>
    <cfRule type="cellIs" dxfId="2" priority="1505" operator="equal">
      <formula>"f64"</formula>
    </cfRule>
    <cfRule type="cellIs" dxfId="3" priority="1506" operator="equal">
      <formula>"f32"</formula>
    </cfRule>
    <cfRule type="cellIs" dxfId="2" priority="1507" operator="equal">
      <formula>"f64"</formula>
    </cfRule>
    <cfRule type="cellIs" dxfId="3" priority="1508" operator="equal">
      <formula>"f32"</formula>
    </cfRule>
    <cfRule type="cellIs" dxfId="4" priority="1509" operator="equal">
      <formula>"u64"</formula>
    </cfRule>
    <cfRule type="cellIs" dxfId="5" priority="1510" operator="equal">
      <formula>"u32"</formula>
    </cfRule>
    <cfRule type="cellIs" priority="1511" operator="equal">
      <formula>"u16"</formula>
    </cfRule>
    <cfRule type="cellIs" dxfId="6" priority="1512" operator="equal">
      <formula>"s64"</formula>
    </cfRule>
    <cfRule type="cellIs" dxfId="7" priority="1513" operator="equal">
      <formula>"s32"</formula>
    </cfRule>
    <cfRule type="cellIs" priority="1514" operator="equal">
      <formula>"s16"</formula>
    </cfRule>
  </conditionalFormatting>
  <conditionalFormatting sqref="E223">
    <cfRule type="cellIs" dxfId="2" priority="1493" operator="equal">
      <formula>"f64"</formula>
    </cfRule>
    <cfRule type="cellIs" dxfId="2" priority="1494" operator="equal">
      <formula>"f64"</formula>
    </cfRule>
    <cfRule type="cellIs" dxfId="3" priority="1495" operator="equal">
      <formula>"f32"</formula>
    </cfRule>
    <cfRule type="cellIs" dxfId="2" priority="1496" operator="equal">
      <formula>"f64"</formula>
    </cfRule>
    <cfRule type="cellIs" dxfId="3" priority="1497" operator="equal">
      <formula>"f32"</formula>
    </cfRule>
    <cfRule type="cellIs" dxfId="4" priority="1498" operator="equal">
      <formula>"u64"</formula>
    </cfRule>
    <cfRule type="cellIs" dxfId="5" priority="1499" operator="equal">
      <formula>"u32"</formula>
    </cfRule>
    <cfRule type="cellIs" priority="1500" operator="equal">
      <formula>"u16"</formula>
    </cfRule>
    <cfRule type="cellIs" dxfId="6" priority="1501" operator="equal">
      <formula>"s64"</formula>
    </cfRule>
    <cfRule type="cellIs" dxfId="7" priority="1502" operator="equal">
      <formula>"s32"</formula>
    </cfRule>
    <cfRule type="cellIs" priority="1503" operator="equal">
      <formula>"s16"</formula>
    </cfRule>
  </conditionalFormatting>
  <conditionalFormatting sqref="E225">
    <cfRule type="cellIs" dxfId="2" priority="763" operator="equal">
      <formula>"f64"</formula>
    </cfRule>
    <cfRule type="cellIs" dxfId="2" priority="764" operator="equal">
      <formula>"f64"</formula>
    </cfRule>
    <cfRule type="cellIs" dxfId="3" priority="765" operator="equal">
      <formula>"f32"</formula>
    </cfRule>
    <cfRule type="cellIs" dxfId="2" priority="766" operator="equal">
      <formula>"f64"</formula>
    </cfRule>
    <cfRule type="cellIs" dxfId="3" priority="767" operator="equal">
      <formula>"f32"</formula>
    </cfRule>
    <cfRule type="cellIs" dxfId="4" priority="768" operator="equal">
      <formula>"u64"</formula>
    </cfRule>
    <cfRule type="cellIs" dxfId="5" priority="769" operator="equal">
      <formula>"u32"</formula>
    </cfRule>
    <cfRule type="cellIs" priority="770" operator="equal">
      <formula>"u16"</formula>
    </cfRule>
    <cfRule type="cellIs" dxfId="6" priority="771" operator="equal">
      <formula>"s64"</formula>
    </cfRule>
    <cfRule type="cellIs" dxfId="7" priority="772" operator="equal">
      <formula>"s32"</formula>
    </cfRule>
    <cfRule type="cellIs" priority="773" operator="equal">
      <formula>"s16"</formula>
    </cfRule>
  </conditionalFormatting>
  <conditionalFormatting sqref="F225">
    <cfRule type="containsBlanks" dxfId="1" priority="762">
      <formula>LEN(TRIM(F225))=0</formula>
    </cfRule>
  </conditionalFormatting>
  <conditionalFormatting sqref="K225">
    <cfRule type="cellIs" dxfId="8" priority="778" operator="equal">
      <formula>"读写 - 立即更改，立即生效"</formula>
    </cfRule>
    <cfRule type="cellIs" dxfId="9" priority="779" operator="equal">
      <formula>"读写 - 立即更改，重启生效"</formula>
    </cfRule>
    <cfRule type="cellIs" dxfId="10" priority="780" operator="equal">
      <formula>"读写 - 停机更改，立即生效"</formula>
    </cfRule>
  </conditionalFormatting>
  <conditionalFormatting sqref="L225">
    <cfRule type="cellIs" dxfId="11" priority="776" operator="equal">
      <formula>"允许保存，不可恢复"</formula>
    </cfRule>
    <cfRule type="cellIs" dxfId="12" priority="777" operator="equal">
      <formula>"允许保存，可恢复"</formula>
    </cfRule>
  </conditionalFormatting>
  <conditionalFormatting sqref="E237">
    <cfRule type="cellIs" dxfId="2" priority="563" operator="equal">
      <formula>"f64"</formula>
    </cfRule>
    <cfRule type="cellIs" dxfId="2" priority="564" operator="equal">
      <formula>"f64"</formula>
    </cfRule>
    <cfRule type="cellIs" dxfId="3" priority="565" operator="equal">
      <formula>"f32"</formula>
    </cfRule>
    <cfRule type="cellIs" dxfId="2" priority="566" operator="equal">
      <formula>"f64"</formula>
    </cfRule>
    <cfRule type="cellIs" dxfId="3" priority="567" operator="equal">
      <formula>"f32"</formula>
    </cfRule>
    <cfRule type="cellIs" dxfId="4" priority="568" operator="equal">
      <formula>"u64"</formula>
    </cfRule>
    <cfRule type="cellIs" dxfId="5" priority="569" operator="equal">
      <formula>"u32"</formula>
    </cfRule>
    <cfRule type="cellIs" priority="570" operator="equal">
      <formula>"u16"</formula>
    </cfRule>
    <cfRule type="cellIs" dxfId="6" priority="571" operator="equal">
      <formula>"s64"</formula>
    </cfRule>
    <cfRule type="cellIs" dxfId="7" priority="572" operator="equal">
      <formula>"s32"</formula>
    </cfRule>
    <cfRule type="cellIs" priority="573" operator="equal">
      <formula>"s16"</formula>
    </cfRule>
  </conditionalFormatting>
  <conditionalFormatting sqref="F237">
    <cfRule type="containsBlanks" dxfId="1" priority="562">
      <formula>LEN(TRIM(F237))=0</formula>
    </cfRule>
  </conditionalFormatting>
  <conditionalFormatting sqref="K237">
    <cfRule type="cellIs" dxfId="8" priority="578" operator="equal">
      <formula>"读写 - 立即更改，立即生效"</formula>
    </cfRule>
    <cfRule type="cellIs" dxfId="9" priority="579" operator="equal">
      <formula>"读写 - 立即更改，重启生效"</formula>
    </cfRule>
    <cfRule type="cellIs" dxfId="10" priority="580" operator="equal">
      <formula>"读写 - 停机更改，立即生效"</formula>
    </cfRule>
  </conditionalFormatting>
  <conditionalFormatting sqref="L237">
    <cfRule type="cellIs" dxfId="11" priority="576" operator="equal">
      <formula>"允许保存，不可恢复"</formula>
    </cfRule>
    <cfRule type="cellIs" dxfId="12" priority="577" operator="equal">
      <formula>"允许保存，可恢复"</formula>
    </cfRule>
  </conditionalFormatting>
  <conditionalFormatting sqref="E238">
    <cfRule type="cellIs" dxfId="2" priority="783" operator="equal">
      <formula>"f64"</formula>
    </cfRule>
    <cfRule type="cellIs" dxfId="2" priority="784" operator="equal">
      <formula>"f64"</formula>
    </cfRule>
    <cfRule type="cellIs" dxfId="3" priority="785" operator="equal">
      <formula>"f32"</formula>
    </cfRule>
    <cfRule type="cellIs" dxfId="2" priority="786" operator="equal">
      <formula>"f64"</formula>
    </cfRule>
    <cfRule type="cellIs" dxfId="3" priority="787" operator="equal">
      <formula>"f32"</formula>
    </cfRule>
    <cfRule type="cellIs" dxfId="4" priority="788" operator="equal">
      <formula>"u64"</formula>
    </cfRule>
    <cfRule type="cellIs" dxfId="5" priority="789" operator="equal">
      <formula>"u32"</formula>
    </cfRule>
    <cfRule type="cellIs" priority="790" operator="equal">
      <formula>"u16"</formula>
    </cfRule>
    <cfRule type="cellIs" dxfId="6" priority="791" operator="equal">
      <formula>"s64"</formula>
    </cfRule>
    <cfRule type="cellIs" dxfId="7" priority="792" operator="equal">
      <formula>"s32"</formula>
    </cfRule>
    <cfRule type="cellIs" priority="793" operator="equal">
      <formula>"s16"</formula>
    </cfRule>
  </conditionalFormatting>
  <conditionalFormatting sqref="F238">
    <cfRule type="containsBlanks" dxfId="1" priority="782">
      <formula>LEN(TRIM(F238))=0</formula>
    </cfRule>
  </conditionalFormatting>
  <conditionalFormatting sqref="K238">
    <cfRule type="cellIs" dxfId="8" priority="798" operator="equal">
      <formula>"读写 - 立即更改，立即生效"</formula>
    </cfRule>
    <cfRule type="cellIs" dxfId="9" priority="799" operator="equal">
      <formula>"读写 - 立即更改，重启生效"</formula>
    </cfRule>
    <cfRule type="cellIs" dxfId="10" priority="800" operator="equal">
      <formula>"读写 - 停机更改，立即生效"</formula>
    </cfRule>
  </conditionalFormatting>
  <conditionalFormatting sqref="L238">
    <cfRule type="cellIs" dxfId="11" priority="796" operator="equal">
      <formula>"允许保存，不可恢复"</formula>
    </cfRule>
    <cfRule type="cellIs" dxfId="12" priority="797" operator="equal">
      <formula>"允许保存，可恢复"</formula>
    </cfRule>
  </conditionalFormatting>
  <conditionalFormatting sqref="E242">
    <cfRule type="cellIs" dxfId="2" priority="1382" operator="equal">
      <formula>"f64"</formula>
    </cfRule>
    <cfRule type="cellIs" dxfId="2" priority="1383" operator="equal">
      <formula>"f64"</formula>
    </cfRule>
    <cfRule type="cellIs" dxfId="3" priority="1384" operator="equal">
      <formula>"f32"</formula>
    </cfRule>
    <cfRule type="cellIs" dxfId="2" priority="1385" operator="equal">
      <formula>"f64"</formula>
    </cfRule>
    <cfRule type="cellIs" dxfId="3" priority="1386" operator="equal">
      <formula>"f32"</formula>
    </cfRule>
    <cfRule type="cellIs" dxfId="4" priority="1387" operator="equal">
      <formula>"u64"</formula>
    </cfRule>
    <cfRule type="cellIs" dxfId="5" priority="1388" operator="equal">
      <formula>"u32"</formula>
    </cfRule>
    <cfRule type="cellIs" priority="1389" operator="equal">
      <formula>"u16"</formula>
    </cfRule>
    <cfRule type="cellIs" dxfId="6" priority="1390" operator="equal">
      <formula>"s64"</formula>
    </cfRule>
    <cfRule type="cellIs" dxfId="7" priority="1391" operator="equal">
      <formula>"s32"</formula>
    </cfRule>
    <cfRule type="cellIs" priority="1392" operator="equal">
      <formula>"s16"</formula>
    </cfRule>
  </conditionalFormatting>
  <conditionalFormatting sqref="F242">
    <cfRule type="containsBlanks" dxfId="1" priority="1381">
      <formula>LEN(TRIM(F242))=0</formula>
    </cfRule>
  </conditionalFormatting>
  <conditionalFormatting sqref="K242">
    <cfRule type="cellIs" dxfId="8" priority="1397" operator="equal">
      <formula>"读写 - 立即更改，立即生效"</formula>
    </cfRule>
    <cfRule type="cellIs" dxfId="9" priority="1398" operator="equal">
      <formula>"读写 - 立即更改，重启生效"</formula>
    </cfRule>
    <cfRule type="cellIs" dxfId="10" priority="1399" operator="equal">
      <formula>"读写 - 停机更改，立即生效"</formula>
    </cfRule>
  </conditionalFormatting>
  <conditionalFormatting sqref="L242">
    <cfRule type="cellIs" dxfId="11" priority="1395" operator="equal">
      <formula>"允许保存，不可恢复"</formula>
    </cfRule>
    <cfRule type="cellIs" dxfId="12" priority="1396" operator="equal">
      <formula>"允许保存，可恢复"</formula>
    </cfRule>
  </conditionalFormatting>
  <conditionalFormatting sqref="E244">
    <cfRule type="cellIs" dxfId="2" priority="603" operator="equal">
      <formula>"f64"</formula>
    </cfRule>
    <cfRule type="cellIs" dxfId="2" priority="604" operator="equal">
      <formula>"f64"</formula>
    </cfRule>
    <cfRule type="cellIs" dxfId="3" priority="605" operator="equal">
      <formula>"f32"</formula>
    </cfRule>
    <cfRule type="cellIs" dxfId="2" priority="606" operator="equal">
      <formula>"f64"</formula>
    </cfRule>
    <cfRule type="cellIs" dxfId="3" priority="607" operator="equal">
      <formula>"f32"</formula>
    </cfRule>
    <cfRule type="cellIs" dxfId="4" priority="608" operator="equal">
      <formula>"u64"</formula>
    </cfRule>
    <cfRule type="cellIs" dxfId="5" priority="609" operator="equal">
      <formula>"u32"</formula>
    </cfRule>
    <cfRule type="cellIs" priority="610" operator="equal">
      <formula>"u16"</formula>
    </cfRule>
    <cfRule type="cellIs" dxfId="6" priority="611" operator="equal">
      <formula>"s64"</formula>
    </cfRule>
    <cfRule type="cellIs" dxfId="7" priority="612" operator="equal">
      <formula>"s32"</formula>
    </cfRule>
    <cfRule type="cellIs" priority="613" operator="equal">
      <formula>"s16"</formula>
    </cfRule>
  </conditionalFormatting>
  <conditionalFormatting sqref="F244">
    <cfRule type="containsBlanks" dxfId="1" priority="602">
      <formula>LEN(TRIM(F244))=0</formula>
    </cfRule>
  </conditionalFormatting>
  <conditionalFormatting sqref="K244">
    <cfRule type="cellIs" dxfId="8" priority="618" operator="equal">
      <formula>"读写 - 立即更改，立即生效"</formula>
    </cfRule>
    <cfRule type="cellIs" dxfId="9" priority="619" operator="equal">
      <formula>"读写 - 立即更改，重启生效"</formula>
    </cfRule>
    <cfRule type="cellIs" dxfId="10" priority="620" operator="equal">
      <formula>"读写 - 停机更改，立即生效"</formula>
    </cfRule>
  </conditionalFormatting>
  <conditionalFormatting sqref="L244">
    <cfRule type="cellIs" dxfId="11" priority="616" operator="equal">
      <formula>"允许保存，不可恢复"</formula>
    </cfRule>
    <cfRule type="cellIs" dxfId="12" priority="617" operator="equal">
      <formula>"允许保存，可恢复"</formula>
    </cfRule>
  </conditionalFormatting>
  <conditionalFormatting sqref="E245">
    <cfRule type="cellIs" dxfId="2" priority="583" operator="equal">
      <formula>"f64"</formula>
    </cfRule>
    <cfRule type="cellIs" dxfId="2" priority="584" operator="equal">
      <formula>"f64"</formula>
    </cfRule>
    <cfRule type="cellIs" dxfId="3" priority="585" operator="equal">
      <formula>"f32"</formula>
    </cfRule>
    <cfRule type="cellIs" dxfId="2" priority="586" operator="equal">
      <formula>"f64"</formula>
    </cfRule>
    <cfRule type="cellIs" dxfId="3" priority="587" operator="equal">
      <formula>"f32"</formula>
    </cfRule>
    <cfRule type="cellIs" dxfId="4" priority="588" operator="equal">
      <formula>"u64"</formula>
    </cfRule>
    <cfRule type="cellIs" dxfId="5" priority="589" operator="equal">
      <formula>"u32"</formula>
    </cfRule>
    <cfRule type="cellIs" priority="590" operator="equal">
      <formula>"u16"</formula>
    </cfRule>
    <cfRule type="cellIs" dxfId="6" priority="591" operator="equal">
      <formula>"s64"</formula>
    </cfRule>
    <cfRule type="cellIs" dxfId="7" priority="592" operator="equal">
      <formula>"s32"</formula>
    </cfRule>
    <cfRule type="cellIs" priority="593" operator="equal">
      <formula>"s16"</formula>
    </cfRule>
  </conditionalFormatting>
  <conditionalFormatting sqref="F245">
    <cfRule type="containsBlanks" dxfId="1" priority="582">
      <formula>LEN(TRIM(F245))=0</formula>
    </cfRule>
  </conditionalFormatting>
  <conditionalFormatting sqref="K245">
    <cfRule type="cellIs" dxfId="8" priority="598" operator="equal">
      <formula>"读写 - 立即更改，立即生效"</formula>
    </cfRule>
    <cfRule type="cellIs" dxfId="9" priority="599" operator="equal">
      <formula>"读写 - 立即更改，重启生效"</formula>
    </cfRule>
    <cfRule type="cellIs" dxfId="10" priority="600" operator="equal">
      <formula>"读写 - 停机更改，立即生效"</formula>
    </cfRule>
  </conditionalFormatting>
  <conditionalFormatting sqref="L245">
    <cfRule type="cellIs" dxfId="11" priority="596" operator="equal">
      <formula>"允许保存，不可恢复"</formula>
    </cfRule>
    <cfRule type="cellIs" dxfId="12" priority="597" operator="equal">
      <formula>"允许保存，可恢复"</formula>
    </cfRule>
  </conditionalFormatting>
  <conditionalFormatting sqref="E246">
    <cfRule type="cellIs" dxfId="2" priority="1148" operator="equal">
      <formula>"f64"</formula>
    </cfRule>
    <cfRule type="cellIs" dxfId="2" priority="1149" operator="equal">
      <formula>"f64"</formula>
    </cfRule>
    <cfRule type="cellIs" dxfId="3" priority="1150" operator="equal">
      <formula>"f32"</formula>
    </cfRule>
    <cfRule type="cellIs" dxfId="2" priority="1151" operator="equal">
      <formula>"f64"</formula>
    </cfRule>
    <cfRule type="cellIs" dxfId="3" priority="1152" operator="equal">
      <formula>"f32"</formula>
    </cfRule>
    <cfRule type="cellIs" dxfId="4" priority="1153" operator="equal">
      <formula>"u64"</formula>
    </cfRule>
    <cfRule type="cellIs" dxfId="5" priority="1154" operator="equal">
      <formula>"u32"</formula>
    </cfRule>
    <cfRule type="cellIs" priority="1155" operator="equal">
      <formula>"u16"</formula>
    </cfRule>
    <cfRule type="cellIs" dxfId="6" priority="1156" operator="equal">
      <formula>"s64"</formula>
    </cfRule>
    <cfRule type="cellIs" dxfId="7" priority="1157" operator="equal">
      <formula>"s32"</formula>
    </cfRule>
    <cfRule type="cellIs" priority="1158" operator="equal">
      <formula>"s16"</formula>
    </cfRule>
  </conditionalFormatting>
  <conditionalFormatting sqref="F246">
    <cfRule type="containsBlanks" dxfId="1" priority="1147">
      <formula>LEN(TRIM(F246))=0</formula>
    </cfRule>
  </conditionalFormatting>
  <conditionalFormatting sqref="K246">
    <cfRule type="cellIs" dxfId="8" priority="1163" operator="equal">
      <formula>"读写 - 立即更改，立即生效"</formula>
    </cfRule>
    <cfRule type="cellIs" dxfId="9" priority="1164" operator="equal">
      <formula>"读写 - 立即更改，重启生效"</formula>
    </cfRule>
    <cfRule type="cellIs" dxfId="10" priority="1165" operator="equal">
      <formula>"读写 - 停机更改，立即生效"</formula>
    </cfRule>
  </conditionalFormatting>
  <conditionalFormatting sqref="L246">
    <cfRule type="cellIs" dxfId="11" priority="1161" operator="equal">
      <formula>"允许保存，不可恢复"</formula>
    </cfRule>
    <cfRule type="cellIs" dxfId="12" priority="1162" operator="equal">
      <formula>"允许保存，可恢复"</formula>
    </cfRule>
  </conditionalFormatting>
  <conditionalFormatting sqref="E247">
    <cfRule type="cellIs" dxfId="2" priority="1472" operator="equal">
      <formula>"f64"</formula>
    </cfRule>
    <cfRule type="cellIs" dxfId="2" priority="1473" operator="equal">
      <formula>"f64"</formula>
    </cfRule>
    <cfRule type="cellIs" dxfId="3" priority="1474" operator="equal">
      <formula>"f32"</formula>
    </cfRule>
    <cfRule type="cellIs" dxfId="2" priority="1475" operator="equal">
      <formula>"f64"</formula>
    </cfRule>
    <cfRule type="cellIs" dxfId="3" priority="1476" operator="equal">
      <formula>"f32"</formula>
    </cfRule>
    <cfRule type="cellIs" dxfId="4" priority="1477" operator="equal">
      <formula>"u64"</formula>
    </cfRule>
    <cfRule type="cellIs" dxfId="5" priority="1478" operator="equal">
      <formula>"u32"</formula>
    </cfRule>
    <cfRule type="cellIs" priority="1479" operator="equal">
      <formula>"u16"</formula>
    </cfRule>
    <cfRule type="cellIs" dxfId="6" priority="1480" operator="equal">
      <formula>"s64"</formula>
    </cfRule>
    <cfRule type="cellIs" dxfId="7" priority="1481" operator="equal">
      <formula>"s32"</formula>
    </cfRule>
    <cfRule type="cellIs" priority="1482" operator="equal">
      <formula>"s16"</formula>
    </cfRule>
  </conditionalFormatting>
  <conditionalFormatting sqref="F247">
    <cfRule type="containsBlanks" dxfId="1" priority="1471">
      <formula>LEN(TRIM(F247))=0</formula>
    </cfRule>
  </conditionalFormatting>
  <conditionalFormatting sqref="K247">
    <cfRule type="cellIs" dxfId="8" priority="1487" operator="equal">
      <formula>"读写 - 立即更改，立即生效"</formula>
    </cfRule>
    <cfRule type="cellIs" dxfId="9" priority="1488" operator="equal">
      <formula>"读写 - 立即更改，重启生效"</formula>
    </cfRule>
    <cfRule type="cellIs" dxfId="10" priority="1489" operator="equal">
      <formula>"读写 - 停机更改，立即生效"</formula>
    </cfRule>
  </conditionalFormatting>
  <conditionalFormatting sqref="L247">
    <cfRule type="cellIs" dxfId="11" priority="1485" operator="equal">
      <formula>"允许保存，不可恢复"</formula>
    </cfRule>
    <cfRule type="cellIs" dxfId="12" priority="1486" operator="equal">
      <formula>"允许保存，可恢复"</formula>
    </cfRule>
  </conditionalFormatting>
  <conditionalFormatting sqref="K248">
    <cfRule type="cellIs" dxfId="8" priority="809" operator="equal">
      <formula>"读写 - 立即更改，立即生效"</formula>
    </cfRule>
    <cfRule type="cellIs" dxfId="9" priority="810" operator="equal">
      <formula>"读写 - 立即更改，重启生效"</formula>
    </cfRule>
    <cfRule type="cellIs" dxfId="10" priority="811" operator="equal">
      <formula>"读写 - 停机更改，立即生效"</formula>
    </cfRule>
  </conditionalFormatting>
  <conditionalFormatting sqref="L248">
    <cfRule type="cellIs" dxfId="11" priority="807" operator="equal">
      <formula>"允许保存，不可恢复"</formula>
    </cfRule>
    <cfRule type="cellIs" dxfId="12" priority="808" operator="equal">
      <formula>"允许保存，可恢复"</formula>
    </cfRule>
  </conditionalFormatting>
  <conditionalFormatting sqref="K249">
    <cfRule type="cellIs" dxfId="8" priority="804" operator="equal">
      <formula>"读写 - 立即更改，立即生效"</formula>
    </cfRule>
    <cfRule type="cellIs" dxfId="9" priority="805" operator="equal">
      <formula>"读写 - 立即更改，重启生效"</formula>
    </cfRule>
    <cfRule type="cellIs" dxfId="10" priority="806" operator="equal">
      <formula>"读写 - 停机更改，立即生效"</formula>
    </cfRule>
  </conditionalFormatting>
  <conditionalFormatting sqref="L249">
    <cfRule type="cellIs" dxfId="11" priority="802" operator="equal">
      <formula>"允许保存，不可恢复"</formula>
    </cfRule>
    <cfRule type="cellIs" dxfId="12" priority="803" operator="equal">
      <formula>"允许保存，可恢复"</formula>
    </cfRule>
  </conditionalFormatting>
  <conditionalFormatting sqref="K252">
    <cfRule type="cellIs" dxfId="8" priority="1352" operator="equal">
      <formula>"读写 - 立即更改，立即生效"</formula>
    </cfRule>
    <cfRule type="cellIs" dxfId="9" priority="1353" operator="equal">
      <formula>"读写 - 立即更改，重启生效"</formula>
    </cfRule>
    <cfRule type="cellIs" dxfId="10" priority="1354" operator="equal">
      <formula>"读写 - 停机更改，立即生效"</formula>
    </cfRule>
  </conditionalFormatting>
  <conditionalFormatting sqref="L252">
    <cfRule type="cellIs" dxfId="11" priority="1350" operator="equal">
      <formula>"允许保存，不可恢复"</formula>
    </cfRule>
    <cfRule type="cellIs" dxfId="12" priority="1351" operator="equal">
      <formula>"允许保存，可恢复"</formula>
    </cfRule>
  </conditionalFormatting>
  <conditionalFormatting sqref="K253">
    <cfRule type="cellIs" dxfId="8" priority="1347" operator="equal">
      <formula>"读写 - 立即更改，立即生效"</formula>
    </cfRule>
    <cfRule type="cellIs" dxfId="9" priority="1348" operator="equal">
      <formula>"读写 - 立即更改，重启生效"</formula>
    </cfRule>
    <cfRule type="cellIs" dxfId="10" priority="1349" operator="equal">
      <formula>"读写 - 停机更改，立即生效"</formula>
    </cfRule>
  </conditionalFormatting>
  <conditionalFormatting sqref="L253">
    <cfRule type="cellIs" dxfId="11" priority="1345" operator="equal">
      <formula>"允许保存，不可恢复"</formula>
    </cfRule>
    <cfRule type="cellIs" dxfId="12" priority="1346" operator="equal">
      <formula>"允许保存，可恢复"</formula>
    </cfRule>
  </conditionalFormatting>
  <conditionalFormatting sqref="K259">
    <cfRule type="cellIs" dxfId="8" priority="1337" operator="equal">
      <formula>"读写 - 立即更改，立即生效"</formula>
    </cfRule>
    <cfRule type="cellIs" dxfId="9" priority="1338" operator="equal">
      <formula>"读写 - 立即更改，重启生效"</formula>
    </cfRule>
    <cfRule type="cellIs" dxfId="10" priority="1339" operator="equal">
      <formula>"读写 - 停机更改，立即生效"</formula>
    </cfRule>
  </conditionalFormatting>
  <conditionalFormatting sqref="L259">
    <cfRule type="cellIs" dxfId="11" priority="1335" operator="equal">
      <formula>"允许保存，不可恢复"</formula>
    </cfRule>
    <cfRule type="cellIs" dxfId="12" priority="1336" operator="equal">
      <formula>"允许保存，可恢复"</formula>
    </cfRule>
  </conditionalFormatting>
  <conditionalFormatting sqref="K260">
    <cfRule type="cellIs" dxfId="8" priority="1342" operator="equal">
      <formula>"读写 - 立即更改，立即生效"</formula>
    </cfRule>
    <cfRule type="cellIs" dxfId="9" priority="1343" operator="equal">
      <formula>"读写 - 立即更改，重启生效"</formula>
    </cfRule>
    <cfRule type="cellIs" dxfId="10" priority="1344" operator="equal">
      <formula>"读写 - 停机更改，立即生效"</formula>
    </cfRule>
  </conditionalFormatting>
  <conditionalFormatting sqref="L260">
    <cfRule type="cellIs" dxfId="11" priority="1340" operator="equal">
      <formula>"允许保存，不可恢复"</formula>
    </cfRule>
    <cfRule type="cellIs" dxfId="12" priority="1341" operator="equal">
      <formula>"允许保存，可恢复"</formula>
    </cfRule>
  </conditionalFormatting>
  <conditionalFormatting sqref="K266">
    <cfRule type="cellIs" dxfId="8" priority="1322" operator="equal">
      <formula>"读写 - 立即更改，立即生效"</formula>
    </cfRule>
    <cfRule type="cellIs" dxfId="9" priority="1323" operator="equal">
      <formula>"读写 - 立即更改，重启生效"</formula>
    </cfRule>
    <cfRule type="cellIs" dxfId="10" priority="1324" operator="equal">
      <formula>"读写 - 停机更改，立即生效"</formula>
    </cfRule>
  </conditionalFormatting>
  <conditionalFormatting sqref="L266">
    <cfRule type="cellIs" dxfId="11" priority="1320" operator="equal">
      <formula>"允许保存，不可恢复"</formula>
    </cfRule>
    <cfRule type="cellIs" dxfId="12" priority="1321" operator="equal">
      <formula>"允许保存，可恢复"</formula>
    </cfRule>
  </conditionalFormatting>
  <conditionalFormatting sqref="K267">
    <cfRule type="cellIs" dxfId="8" priority="1327" operator="equal">
      <formula>"读写 - 立即更改，立即生效"</formula>
    </cfRule>
    <cfRule type="cellIs" dxfId="9" priority="1328" operator="equal">
      <formula>"读写 - 立即更改，重启生效"</formula>
    </cfRule>
    <cfRule type="cellIs" dxfId="10" priority="1329" operator="equal">
      <formula>"读写 - 停机更改，立即生效"</formula>
    </cfRule>
  </conditionalFormatting>
  <conditionalFormatting sqref="L267">
    <cfRule type="cellIs" dxfId="11" priority="1325" operator="equal">
      <formula>"允许保存，不可恢复"</formula>
    </cfRule>
    <cfRule type="cellIs" dxfId="12" priority="1326" operator="equal">
      <formula>"允许保存，可恢复"</formula>
    </cfRule>
  </conditionalFormatting>
  <conditionalFormatting sqref="E281">
    <cfRule type="cellIs" dxfId="2" priority="1359" operator="equal">
      <formula>"f64"</formula>
    </cfRule>
    <cfRule type="cellIs" dxfId="2" priority="1360" operator="equal">
      <formula>"f64"</formula>
    </cfRule>
    <cfRule type="cellIs" dxfId="3" priority="1361" operator="equal">
      <formula>"f32"</formula>
    </cfRule>
    <cfRule type="cellIs" dxfId="2" priority="1362" operator="equal">
      <formula>"f64"</formula>
    </cfRule>
    <cfRule type="cellIs" dxfId="3" priority="1363" operator="equal">
      <formula>"f32"</formula>
    </cfRule>
    <cfRule type="cellIs" dxfId="4" priority="1364" operator="equal">
      <formula>"u64"</formula>
    </cfRule>
    <cfRule type="cellIs" dxfId="5" priority="1365" operator="equal">
      <formula>"u32"</formula>
    </cfRule>
    <cfRule type="cellIs" priority="1366" operator="equal">
      <formula>"u16"</formula>
    </cfRule>
    <cfRule type="cellIs" dxfId="6" priority="1367" operator="equal">
      <formula>"s64"</formula>
    </cfRule>
    <cfRule type="cellIs" dxfId="7" priority="1368" operator="equal">
      <formula>"s32"</formula>
    </cfRule>
    <cfRule type="cellIs" priority="1369" operator="equal">
      <formula>"s16"</formula>
    </cfRule>
  </conditionalFormatting>
  <conditionalFormatting sqref="F281">
    <cfRule type="containsBlanks" dxfId="1" priority="1358">
      <formula>LEN(TRIM(F281))=0</formula>
    </cfRule>
  </conditionalFormatting>
  <conditionalFormatting sqref="K281">
    <cfRule type="cellIs" dxfId="8" priority="1374" operator="equal">
      <formula>"读写 - 立即更改，立即生效"</formula>
    </cfRule>
    <cfRule type="cellIs" dxfId="9" priority="1375" operator="equal">
      <formula>"读写 - 立即更改，重启生效"</formula>
    </cfRule>
    <cfRule type="cellIs" dxfId="10" priority="1376" operator="equal">
      <formula>"读写 - 停机更改，立即生效"</formula>
    </cfRule>
  </conditionalFormatting>
  <conditionalFormatting sqref="L281">
    <cfRule type="cellIs" dxfId="11" priority="1372" operator="equal">
      <formula>"允许保存，不可恢复"</formula>
    </cfRule>
    <cfRule type="cellIs" dxfId="12" priority="1373" operator="equal">
      <formula>"允许保存，可恢复"</formula>
    </cfRule>
  </conditionalFormatting>
  <conditionalFormatting sqref="E283">
    <cfRule type="cellIs" dxfId="2" priority="1029" operator="equal">
      <formula>"f64"</formula>
    </cfRule>
    <cfRule type="cellIs" dxfId="2" priority="1030" operator="equal">
      <formula>"f64"</formula>
    </cfRule>
    <cfRule type="cellIs" dxfId="3" priority="1031" operator="equal">
      <formula>"f32"</formula>
    </cfRule>
    <cfRule type="cellIs" dxfId="2" priority="1032" operator="equal">
      <formula>"f64"</formula>
    </cfRule>
    <cfRule type="cellIs" dxfId="3" priority="1033" operator="equal">
      <formula>"f32"</formula>
    </cfRule>
    <cfRule type="cellIs" dxfId="4" priority="1034" operator="equal">
      <formula>"u64"</formula>
    </cfRule>
    <cfRule type="cellIs" dxfId="5" priority="1035" operator="equal">
      <formula>"u32"</formula>
    </cfRule>
    <cfRule type="cellIs" priority="1036" operator="equal">
      <formula>"u16"</formula>
    </cfRule>
    <cfRule type="cellIs" dxfId="6" priority="1037" operator="equal">
      <formula>"s64"</formula>
    </cfRule>
    <cfRule type="cellIs" dxfId="7" priority="1038" operator="equal">
      <formula>"s32"</formula>
    </cfRule>
    <cfRule type="cellIs" priority="1039" operator="equal">
      <formula>"s16"</formula>
    </cfRule>
  </conditionalFormatting>
  <conditionalFormatting sqref="F283">
    <cfRule type="containsBlanks" dxfId="1" priority="1028">
      <formula>LEN(TRIM(F283))=0</formula>
    </cfRule>
  </conditionalFormatting>
  <conditionalFormatting sqref="K283">
    <cfRule type="cellIs" dxfId="8" priority="1044" operator="equal">
      <formula>"读写 - 立即更改，立即生效"</formula>
    </cfRule>
    <cfRule type="cellIs" dxfId="9" priority="1045" operator="equal">
      <formula>"读写 - 立即更改，重启生效"</formula>
    </cfRule>
    <cfRule type="cellIs" dxfId="10" priority="1046" operator="equal">
      <formula>"读写 - 停机更改，立即生效"</formula>
    </cfRule>
  </conditionalFormatting>
  <conditionalFormatting sqref="L283">
    <cfRule type="cellIs" dxfId="11" priority="1042" operator="equal">
      <formula>"允许保存，不可恢复"</formula>
    </cfRule>
    <cfRule type="cellIs" dxfId="12" priority="1043" operator="equal">
      <formula>"允许保存，可恢复"</formula>
    </cfRule>
  </conditionalFormatting>
  <conditionalFormatting sqref="E293">
    <cfRule type="cellIs" dxfId="2" priority="1009" operator="equal">
      <formula>"f64"</formula>
    </cfRule>
    <cfRule type="cellIs" dxfId="2" priority="1010" operator="equal">
      <formula>"f64"</formula>
    </cfRule>
    <cfRule type="cellIs" dxfId="3" priority="1011" operator="equal">
      <formula>"f32"</formula>
    </cfRule>
    <cfRule type="cellIs" dxfId="2" priority="1012" operator="equal">
      <formula>"f64"</formula>
    </cfRule>
    <cfRule type="cellIs" dxfId="3" priority="1013" operator="equal">
      <formula>"f32"</formula>
    </cfRule>
    <cfRule type="cellIs" dxfId="4" priority="1014" operator="equal">
      <formula>"u64"</formula>
    </cfRule>
    <cfRule type="cellIs" dxfId="5" priority="1015" operator="equal">
      <formula>"u32"</formula>
    </cfRule>
    <cfRule type="cellIs" priority="1016" operator="equal">
      <formula>"u16"</formula>
    </cfRule>
    <cfRule type="cellIs" dxfId="6" priority="1017" operator="equal">
      <formula>"s64"</formula>
    </cfRule>
    <cfRule type="cellIs" dxfId="7" priority="1018" operator="equal">
      <formula>"s32"</formula>
    </cfRule>
    <cfRule type="cellIs" priority="1019" operator="equal">
      <formula>"s16"</formula>
    </cfRule>
  </conditionalFormatting>
  <conditionalFormatting sqref="F293">
    <cfRule type="containsBlanks" dxfId="1" priority="1008">
      <formula>LEN(TRIM(F293))=0</formula>
    </cfRule>
  </conditionalFormatting>
  <conditionalFormatting sqref="K293">
    <cfRule type="cellIs" dxfId="8" priority="1024" operator="equal">
      <formula>"读写 - 立即更改，立即生效"</formula>
    </cfRule>
    <cfRule type="cellIs" dxfId="9" priority="1025" operator="equal">
      <formula>"读写 - 立即更改，重启生效"</formula>
    </cfRule>
    <cfRule type="cellIs" dxfId="10" priority="1026" operator="equal">
      <formula>"读写 - 停机更改，立即生效"</formula>
    </cfRule>
  </conditionalFormatting>
  <conditionalFormatting sqref="L293">
    <cfRule type="cellIs" dxfId="11" priority="1022" operator="equal">
      <formula>"允许保存，不可恢复"</formula>
    </cfRule>
    <cfRule type="cellIs" dxfId="12" priority="1023" operator="equal">
      <formula>"允许保存，可恢复"</formula>
    </cfRule>
  </conditionalFormatting>
  <conditionalFormatting sqref="E298">
    <cfRule type="cellIs" dxfId="2" priority="1089" operator="equal">
      <formula>"f64"</formula>
    </cfRule>
    <cfRule type="cellIs" dxfId="2" priority="1090" operator="equal">
      <formula>"f64"</formula>
    </cfRule>
    <cfRule type="cellIs" dxfId="3" priority="1091" operator="equal">
      <formula>"f32"</formula>
    </cfRule>
    <cfRule type="cellIs" dxfId="2" priority="1092" operator="equal">
      <formula>"f64"</formula>
    </cfRule>
    <cfRule type="cellIs" dxfId="3" priority="1093" operator="equal">
      <formula>"f32"</formula>
    </cfRule>
    <cfRule type="cellIs" dxfId="4" priority="1094" operator="equal">
      <formula>"u64"</formula>
    </cfRule>
    <cfRule type="cellIs" dxfId="5" priority="1095" operator="equal">
      <formula>"u32"</formula>
    </cfRule>
    <cfRule type="cellIs" priority="1096" operator="equal">
      <formula>"u16"</formula>
    </cfRule>
    <cfRule type="cellIs" dxfId="6" priority="1097" operator="equal">
      <formula>"s64"</formula>
    </cfRule>
    <cfRule type="cellIs" dxfId="7" priority="1098" operator="equal">
      <formula>"s32"</formula>
    </cfRule>
    <cfRule type="cellIs" priority="1099" operator="equal">
      <formula>"s16"</formula>
    </cfRule>
  </conditionalFormatting>
  <conditionalFormatting sqref="F298">
    <cfRule type="containsBlanks" dxfId="1" priority="1088">
      <formula>LEN(TRIM(F298))=0</formula>
    </cfRule>
  </conditionalFormatting>
  <conditionalFormatting sqref="K298">
    <cfRule type="cellIs" dxfId="8" priority="1104" operator="equal">
      <formula>"读写 - 立即更改，立即生效"</formula>
    </cfRule>
    <cfRule type="cellIs" dxfId="9" priority="1105" operator="equal">
      <formula>"读写 - 立即更改，重启生效"</formula>
    </cfRule>
    <cfRule type="cellIs" dxfId="10" priority="1106" operator="equal">
      <formula>"读写 - 停机更改，立即生效"</formula>
    </cfRule>
  </conditionalFormatting>
  <conditionalFormatting sqref="L298">
    <cfRule type="cellIs" dxfId="11" priority="1102" operator="equal">
      <formula>"允许保存，不可恢复"</formula>
    </cfRule>
    <cfRule type="cellIs" dxfId="12" priority="1103" operator="equal">
      <formula>"允许保存，可恢复"</formula>
    </cfRule>
  </conditionalFormatting>
  <conditionalFormatting sqref="E299">
    <cfRule type="cellIs" dxfId="2" priority="1070" operator="equal">
      <formula>"f64"</formula>
    </cfRule>
    <cfRule type="cellIs" dxfId="2" priority="1071" operator="equal">
      <formula>"f64"</formula>
    </cfRule>
    <cfRule type="cellIs" dxfId="3" priority="1072" operator="equal">
      <formula>"f32"</formula>
    </cfRule>
    <cfRule type="cellIs" dxfId="2" priority="1073" operator="equal">
      <formula>"f64"</formula>
    </cfRule>
    <cfRule type="cellIs" dxfId="3" priority="1074" operator="equal">
      <formula>"f32"</formula>
    </cfRule>
    <cfRule type="cellIs" dxfId="4" priority="1075" operator="equal">
      <formula>"u64"</formula>
    </cfRule>
    <cfRule type="cellIs" dxfId="5" priority="1076" operator="equal">
      <formula>"u32"</formula>
    </cfRule>
    <cfRule type="cellIs" priority="1077" operator="equal">
      <formula>"u16"</formula>
    </cfRule>
    <cfRule type="cellIs" dxfId="6" priority="1078" operator="equal">
      <formula>"s64"</formula>
    </cfRule>
    <cfRule type="cellIs" dxfId="7" priority="1079" operator="equal">
      <formula>"s32"</formula>
    </cfRule>
    <cfRule type="cellIs" priority="1080" operator="equal">
      <formula>"s16"</formula>
    </cfRule>
  </conditionalFormatting>
  <conditionalFormatting sqref="F299">
    <cfRule type="containsBlanks" dxfId="1" priority="1069">
      <formula>LEN(TRIM(F299))=0</formula>
    </cfRule>
  </conditionalFormatting>
  <conditionalFormatting sqref="K299">
    <cfRule type="cellIs" dxfId="8" priority="1085" operator="equal">
      <formula>"读写 - 立即更改，立即生效"</formula>
    </cfRule>
    <cfRule type="cellIs" dxfId="9" priority="1086" operator="equal">
      <formula>"读写 - 立即更改，重启生效"</formula>
    </cfRule>
    <cfRule type="cellIs" dxfId="10" priority="1087" operator="equal">
      <formula>"读写 - 停机更改，立即生效"</formula>
    </cfRule>
  </conditionalFormatting>
  <conditionalFormatting sqref="L299">
    <cfRule type="cellIs" dxfId="11" priority="1083" operator="equal">
      <formula>"允许保存，不可恢复"</formula>
    </cfRule>
    <cfRule type="cellIs" dxfId="12" priority="1084" operator="equal">
      <formula>"允许保存，可恢复"</formula>
    </cfRule>
  </conditionalFormatting>
  <conditionalFormatting sqref="E300">
    <cfRule type="cellIs" dxfId="2" priority="989" operator="equal">
      <formula>"f64"</formula>
    </cfRule>
    <cfRule type="cellIs" dxfId="2" priority="990" operator="equal">
      <formula>"f64"</formula>
    </cfRule>
    <cfRule type="cellIs" dxfId="3" priority="991" operator="equal">
      <formula>"f32"</formula>
    </cfRule>
    <cfRule type="cellIs" dxfId="2" priority="992" operator="equal">
      <formula>"f64"</formula>
    </cfRule>
    <cfRule type="cellIs" dxfId="3" priority="993" operator="equal">
      <formula>"f32"</formula>
    </cfRule>
    <cfRule type="cellIs" dxfId="4" priority="994" operator="equal">
      <formula>"u64"</formula>
    </cfRule>
    <cfRule type="cellIs" dxfId="5" priority="995" operator="equal">
      <formula>"u32"</formula>
    </cfRule>
    <cfRule type="cellIs" priority="996" operator="equal">
      <formula>"u16"</formula>
    </cfRule>
    <cfRule type="cellIs" dxfId="6" priority="997" operator="equal">
      <formula>"s64"</formula>
    </cfRule>
    <cfRule type="cellIs" dxfId="7" priority="998" operator="equal">
      <formula>"s32"</formula>
    </cfRule>
    <cfRule type="cellIs" priority="999" operator="equal">
      <formula>"s16"</formula>
    </cfRule>
  </conditionalFormatting>
  <conditionalFormatting sqref="F300">
    <cfRule type="containsBlanks" dxfId="1" priority="988">
      <formula>LEN(TRIM(F300))=0</formula>
    </cfRule>
  </conditionalFormatting>
  <conditionalFormatting sqref="K300">
    <cfRule type="cellIs" dxfId="8" priority="1004" operator="equal">
      <formula>"读写 - 立即更改，立即生效"</formula>
    </cfRule>
    <cfRule type="cellIs" dxfId="9" priority="1005" operator="equal">
      <formula>"读写 - 立即更改，重启生效"</formula>
    </cfRule>
    <cfRule type="cellIs" dxfId="10" priority="1006" operator="equal">
      <formula>"读写 - 停机更改，立即生效"</formula>
    </cfRule>
  </conditionalFormatting>
  <conditionalFormatting sqref="L300">
    <cfRule type="cellIs" dxfId="11" priority="1002" operator="equal">
      <formula>"允许保存，不可恢复"</formula>
    </cfRule>
    <cfRule type="cellIs" dxfId="12" priority="1003" operator="equal">
      <formula>"允许保存，可恢复"</formula>
    </cfRule>
  </conditionalFormatting>
  <conditionalFormatting sqref="E301">
    <cfRule type="cellIs" dxfId="2" priority="969" operator="equal">
      <formula>"f64"</formula>
    </cfRule>
    <cfRule type="cellIs" dxfId="2" priority="970" operator="equal">
      <formula>"f64"</formula>
    </cfRule>
    <cfRule type="cellIs" dxfId="3" priority="971" operator="equal">
      <formula>"f32"</formula>
    </cfRule>
    <cfRule type="cellIs" dxfId="2" priority="972" operator="equal">
      <formula>"f64"</formula>
    </cfRule>
    <cfRule type="cellIs" dxfId="3" priority="973" operator="equal">
      <formula>"f32"</formula>
    </cfRule>
    <cfRule type="cellIs" dxfId="4" priority="974" operator="equal">
      <formula>"u64"</formula>
    </cfRule>
    <cfRule type="cellIs" dxfId="5" priority="975" operator="equal">
      <formula>"u32"</formula>
    </cfRule>
    <cfRule type="cellIs" priority="976" operator="equal">
      <formula>"u16"</formula>
    </cfRule>
    <cfRule type="cellIs" dxfId="6" priority="977" operator="equal">
      <formula>"s64"</formula>
    </cfRule>
    <cfRule type="cellIs" dxfId="7" priority="978" operator="equal">
      <formula>"s32"</formula>
    </cfRule>
    <cfRule type="cellIs" priority="979" operator="equal">
      <formula>"s16"</formula>
    </cfRule>
  </conditionalFormatting>
  <conditionalFormatting sqref="F301">
    <cfRule type="containsBlanks" dxfId="1" priority="968">
      <formula>LEN(TRIM(F301))=0</formula>
    </cfRule>
  </conditionalFormatting>
  <conditionalFormatting sqref="K301">
    <cfRule type="cellIs" dxfId="8" priority="984" operator="equal">
      <formula>"读写 - 立即更改，立即生效"</formula>
    </cfRule>
    <cfRule type="cellIs" dxfId="9" priority="985" operator="equal">
      <formula>"读写 - 立即更改，重启生效"</formula>
    </cfRule>
    <cfRule type="cellIs" dxfId="10" priority="986" operator="equal">
      <formula>"读写 - 停机更改，立即生效"</formula>
    </cfRule>
  </conditionalFormatting>
  <conditionalFormatting sqref="L301">
    <cfRule type="cellIs" dxfId="11" priority="982" operator="equal">
      <formula>"允许保存，不可恢复"</formula>
    </cfRule>
    <cfRule type="cellIs" dxfId="12" priority="983" operator="equal">
      <formula>"允许保存，可恢复"</formula>
    </cfRule>
  </conditionalFormatting>
  <conditionalFormatting sqref="E302">
    <cfRule type="cellIs" dxfId="2" priority="949" operator="equal">
      <formula>"f64"</formula>
    </cfRule>
    <cfRule type="cellIs" dxfId="2" priority="950" operator="equal">
      <formula>"f64"</formula>
    </cfRule>
    <cfRule type="cellIs" dxfId="3" priority="951" operator="equal">
      <formula>"f32"</formula>
    </cfRule>
    <cfRule type="cellIs" dxfId="2" priority="952" operator="equal">
      <formula>"f64"</formula>
    </cfRule>
    <cfRule type="cellIs" dxfId="3" priority="953" operator="equal">
      <formula>"f32"</formula>
    </cfRule>
    <cfRule type="cellIs" dxfId="4" priority="954" operator="equal">
      <formula>"u64"</formula>
    </cfRule>
    <cfRule type="cellIs" dxfId="5" priority="955" operator="equal">
      <formula>"u32"</formula>
    </cfRule>
    <cfRule type="cellIs" priority="956" operator="equal">
      <formula>"u16"</formula>
    </cfRule>
    <cfRule type="cellIs" dxfId="6" priority="957" operator="equal">
      <formula>"s64"</formula>
    </cfRule>
    <cfRule type="cellIs" dxfId="7" priority="958" operator="equal">
      <formula>"s32"</formula>
    </cfRule>
    <cfRule type="cellIs" priority="959" operator="equal">
      <formula>"s16"</formula>
    </cfRule>
  </conditionalFormatting>
  <conditionalFormatting sqref="F302">
    <cfRule type="containsBlanks" dxfId="1" priority="948">
      <formula>LEN(TRIM(F302))=0</formula>
    </cfRule>
  </conditionalFormatting>
  <conditionalFormatting sqref="K302">
    <cfRule type="cellIs" dxfId="8" priority="964" operator="equal">
      <formula>"读写 - 立即更改，立即生效"</formula>
    </cfRule>
    <cfRule type="cellIs" dxfId="9" priority="965" operator="equal">
      <formula>"读写 - 立即更改，重启生效"</formula>
    </cfRule>
    <cfRule type="cellIs" dxfId="10" priority="966" operator="equal">
      <formula>"读写 - 停机更改，立即生效"</formula>
    </cfRule>
  </conditionalFormatting>
  <conditionalFormatting sqref="L302">
    <cfRule type="cellIs" dxfId="11" priority="962" operator="equal">
      <formula>"允许保存，不可恢复"</formula>
    </cfRule>
    <cfRule type="cellIs" dxfId="12" priority="963" operator="equal">
      <formula>"允许保存，可恢复"</formula>
    </cfRule>
  </conditionalFormatting>
  <conditionalFormatting sqref="E303">
    <cfRule type="cellIs" dxfId="2" priority="929" operator="equal">
      <formula>"f64"</formula>
    </cfRule>
    <cfRule type="cellIs" dxfId="2" priority="930" operator="equal">
      <formula>"f64"</formula>
    </cfRule>
    <cfRule type="cellIs" dxfId="3" priority="931" operator="equal">
      <formula>"f32"</formula>
    </cfRule>
    <cfRule type="cellIs" dxfId="2" priority="932" operator="equal">
      <formula>"f64"</formula>
    </cfRule>
    <cfRule type="cellIs" dxfId="3" priority="933" operator="equal">
      <formula>"f32"</formula>
    </cfRule>
    <cfRule type="cellIs" dxfId="4" priority="934" operator="equal">
      <formula>"u64"</formula>
    </cfRule>
    <cfRule type="cellIs" dxfId="5" priority="935" operator="equal">
      <formula>"u32"</formula>
    </cfRule>
    <cfRule type="cellIs" priority="936" operator="equal">
      <formula>"u16"</formula>
    </cfRule>
    <cfRule type="cellIs" dxfId="6" priority="937" operator="equal">
      <formula>"s64"</formula>
    </cfRule>
    <cfRule type="cellIs" dxfId="7" priority="938" operator="equal">
      <formula>"s32"</formula>
    </cfRule>
    <cfRule type="cellIs" priority="939" operator="equal">
      <formula>"s16"</formula>
    </cfRule>
  </conditionalFormatting>
  <conditionalFormatting sqref="F303">
    <cfRule type="containsBlanks" dxfId="1" priority="928">
      <formula>LEN(TRIM(F303))=0</formula>
    </cfRule>
  </conditionalFormatting>
  <conditionalFormatting sqref="K303">
    <cfRule type="cellIs" dxfId="8" priority="944" operator="equal">
      <formula>"读写 - 立即更改，立即生效"</formula>
    </cfRule>
    <cfRule type="cellIs" dxfId="9" priority="945" operator="equal">
      <formula>"读写 - 立即更改，重启生效"</formula>
    </cfRule>
    <cfRule type="cellIs" dxfId="10" priority="946" operator="equal">
      <formula>"读写 - 停机更改，立即生效"</formula>
    </cfRule>
  </conditionalFormatting>
  <conditionalFormatting sqref="L303">
    <cfRule type="cellIs" dxfId="11" priority="942" operator="equal">
      <formula>"允许保存，不可恢复"</formula>
    </cfRule>
    <cfRule type="cellIs" dxfId="12" priority="943" operator="equal">
      <formula>"允许保存，可恢复"</formula>
    </cfRule>
  </conditionalFormatting>
  <conditionalFormatting sqref="E304">
    <cfRule type="cellIs" dxfId="2" priority="849" operator="equal">
      <formula>"f64"</formula>
    </cfRule>
    <cfRule type="cellIs" dxfId="2" priority="850" operator="equal">
      <formula>"f64"</formula>
    </cfRule>
    <cfRule type="cellIs" dxfId="3" priority="851" operator="equal">
      <formula>"f32"</formula>
    </cfRule>
    <cfRule type="cellIs" dxfId="2" priority="852" operator="equal">
      <formula>"f64"</formula>
    </cfRule>
    <cfRule type="cellIs" dxfId="3" priority="853" operator="equal">
      <formula>"f32"</formula>
    </cfRule>
    <cfRule type="cellIs" dxfId="4" priority="854" operator="equal">
      <formula>"u64"</formula>
    </cfRule>
    <cfRule type="cellIs" dxfId="5" priority="855" operator="equal">
      <formula>"u32"</formula>
    </cfRule>
    <cfRule type="cellIs" priority="856" operator="equal">
      <formula>"u16"</formula>
    </cfRule>
    <cfRule type="cellIs" dxfId="6" priority="857" operator="equal">
      <formula>"s64"</formula>
    </cfRule>
    <cfRule type="cellIs" dxfId="7" priority="858" operator="equal">
      <formula>"s32"</formula>
    </cfRule>
    <cfRule type="cellIs" priority="859" operator="equal">
      <formula>"s16"</formula>
    </cfRule>
  </conditionalFormatting>
  <conditionalFormatting sqref="F304">
    <cfRule type="containsBlanks" dxfId="1" priority="848">
      <formula>LEN(TRIM(F304))=0</formula>
    </cfRule>
  </conditionalFormatting>
  <conditionalFormatting sqref="K304">
    <cfRule type="cellIs" dxfId="8" priority="864" operator="equal">
      <formula>"读写 - 立即更改，立即生效"</formula>
    </cfRule>
    <cfRule type="cellIs" dxfId="9" priority="865" operator="equal">
      <formula>"读写 - 立即更改，重启生效"</formula>
    </cfRule>
    <cfRule type="cellIs" dxfId="10" priority="866" operator="equal">
      <formula>"读写 - 停机更改，立即生效"</formula>
    </cfRule>
  </conditionalFormatting>
  <conditionalFormatting sqref="L304">
    <cfRule type="cellIs" dxfId="11" priority="862" operator="equal">
      <formula>"允许保存，不可恢复"</formula>
    </cfRule>
    <cfRule type="cellIs" dxfId="12" priority="863" operator="equal">
      <formula>"允许保存，可恢复"</formula>
    </cfRule>
  </conditionalFormatting>
  <conditionalFormatting sqref="E305">
    <cfRule type="cellIs" dxfId="2" priority="869" operator="equal">
      <formula>"f64"</formula>
    </cfRule>
    <cfRule type="cellIs" dxfId="2" priority="870" operator="equal">
      <formula>"f64"</formula>
    </cfRule>
    <cfRule type="cellIs" dxfId="3" priority="871" operator="equal">
      <formula>"f32"</formula>
    </cfRule>
    <cfRule type="cellIs" dxfId="2" priority="872" operator="equal">
      <formula>"f64"</formula>
    </cfRule>
    <cfRule type="cellIs" dxfId="3" priority="873" operator="equal">
      <formula>"f32"</formula>
    </cfRule>
    <cfRule type="cellIs" dxfId="4" priority="874" operator="equal">
      <formula>"u64"</formula>
    </cfRule>
    <cfRule type="cellIs" dxfId="5" priority="875" operator="equal">
      <formula>"u32"</formula>
    </cfRule>
    <cfRule type="cellIs" priority="876" operator="equal">
      <formula>"u16"</formula>
    </cfRule>
    <cfRule type="cellIs" dxfId="6" priority="877" operator="equal">
      <formula>"s64"</formula>
    </cfRule>
    <cfRule type="cellIs" dxfId="7" priority="878" operator="equal">
      <formula>"s32"</formula>
    </cfRule>
    <cfRule type="cellIs" priority="879" operator="equal">
      <formula>"s16"</formula>
    </cfRule>
  </conditionalFormatting>
  <conditionalFormatting sqref="F305">
    <cfRule type="containsBlanks" dxfId="1" priority="868">
      <formula>LEN(TRIM(F305))=0</formula>
    </cfRule>
  </conditionalFormatting>
  <conditionalFormatting sqref="K305">
    <cfRule type="cellIs" dxfId="8" priority="884" operator="equal">
      <formula>"读写 - 立即更改，立即生效"</formula>
    </cfRule>
    <cfRule type="cellIs" dxfId="9" priority="885" operator="equal">
      <formula>"读写 - 立即更改，重启生效"</formula>
    </cfRule>
    <cfRule type="cellIs" dxfId="10" priority="886" operator="equal">
      <formula>"读写 - 停机更改，立即生效"</formula>
    </cfRule>
  </conditionalFormatting>
  <conditionalFormatting sqref="L305">
    <cfRule type="cellIs" dxfId="11" priority="882" operator="equal">
      <formula>"允许保存，不可恢复"</formula>
    </cfRule>
    <cfRule type="cellIs" dxfId="12" priority="883" operator="equal">
      <formula>"允许保存，可恢复"</formula>
    </cfRule>
  </conditionalFormatting>
  <conditionalFormatting sqref="E310">
    <cfRule type="cellIs" dxfId="2" priority="1838" operator="equal">
      <formula>"f64"</formula>
    </cfRule>
    <cfRule type="cellIs" dxfId="2" priority="1839" operator="equal">
      <formula>"f64"</formula>
    </cfRule>
    <cfRule type="cellIs" dxfId="3" priority="1840" operator="equal">
      <formula>"f32"</formula>
    </cfRule>
    <cfRule type="cellIs" dxfId="2" priority="1841" operator="equal">
      <formula>"f64"</formula>
    </cfRule>
    <cfRule type="cellIs" dxfId="3" priority="1842" operator="equal">
      <formula>"f32"</formula>
    </cfRule>
    <cfRule type="cellIs" dxfId="4" priority="1843" operator="equal">
      <formula>"u64"</formula>
    </cfRule>
    <cfRule type="cellIs" dxfId="5" priority="1844" operator="equal">
      <formula>"u32"</formula>
    </cfRule>
    <cfRule type="cellIs" priority="1845" operator="equal">
      <formula>"u16"</formula>
    </cfRule>
    <cfRule type="cellIs" dxfId="6" priority="1846" operator="equal">
      <formula>"s64"</formula>
    </cfRule>
    <cfRule type="cellIs" dxfId="7" priority="1847" operator="equal">
      <formula>"s32"</formula>
    </cfRule>
    <cfRule type="cellIs" priority="1848" operator="equal">
      <formula>"s16"</formula>
    </cfRule>
  </conditionalFormatting>
  <conditionalFormatting sqref="F310">
    <cfRule type="containsBlanks" dxfId="1" priority="1769">
      <formula>LEN(TRIM(F310))=0</formula>
    </cfRule>
  </conditionalFormatting>
  <conditionalFormatting sqref="K310">
    <cfRule type="cellIs" dxfId="8" priority="1774" operator="equal">
      <formula>"读写 - 立即更改，立即生效"</formula>
    </cfRule>
    <cfRule type="cellIs" dxfId="9" priority="1775" operator="equal">
      <formula>"读写 - 立即更改，重启生效"</formula>
    </cfRule>
    <cfRule type="cellIs" dxfId="10" priority="1776" operator="equal">
      <formula>"读写 - 停机更改，立即生效"</formula>
    </cfRule>
  </conditionalFormatting>
  <conditionalFormatting sqref="L310">
    <cfRule type="cellIs" dxfId="11" priority="1772" operator="equal">
      <formula>"允许保存，不可恢复"</formula>
    </cfRule>
    <cfRule type="cellIs" dxfId="12" priority="1773" operator="equal">
      <formula>"允许保存，可恢复"</formula>
    </cfRule>
  </conditionalFormatting>
  <conditionalFormatting sqref="K316">
    <cfRule type="cellIs" dxfId="8" priority="1579" operator="equal">
      <formula>"读写 - 立即更改，立即生效"</formula>
    </cfRule>
    <cfRule type="cellIs" dxfId="9" priority="1580" operator="equal">
      <formula>"读写 - 立即更改，重启生效"</formula>
    </cfRule>
    <cfRule type="cellIs" dxfId="10" priority="1581" operator="equal">
      <formula>"读写 - 停机更改，立即生效"</formula>
    </cfRule>
  </conditionalFormatting>
  <conditionalFormatting sqref="L316">
    <cfRule type="cellIs" dxfId="11" priority="1582" operator="equal">
      <formula>"允许保存，不可恢复"</formula>
    </cfRule>
    <cfRule type="cellIs" dxfId="12" priority="1583" operator="equal">
      <formula>"允许保存，可恢复"</formula>
    </cfRule>
  </conditionalFormatting>
  <conditionalFormatting sqref="K318">
    <cfRule type="cellIs" dxfId="8" priority="1413" operator="equal">
      <formula>"读写 - 立即更改，立即生效"</formula>
    </cfRule>
    <cfRule type="cellIs" dxfId="9" priority="1414" operator="equal">
      <formula>"读写 - 立即更改，重启生效"</formula>
    </cfRule>
    <cfRule type="cellIs" dxfId="10" priority="1415" operator="equal">
      <formula>"读写 - 停机更改，立即生效"</formula>
    </cfRule>
  </conditionalFormatting>
  <conditionalFormatting sqref="L318">
    <cfRule type="cellIs" dxfId="11" priority="1401" operator="equal">
      <formula>"允许保存，不可恢复"</formula>
    </cfRule>
    <cfRule type="cellIs" dxfId="12" priority="1402" operator="equal">
      <formula>"允许保存，可恢复"</formula>
    </cfRule>
  </conditionalFormatting>
  <conditionalFormatting sqref="K319">
    <cfRule type="cellIs" dxfId="8" priority="1410" operator="equal">
      <formula>"读写 - 立即更改，立即生效"</formula>
    </cfRule>
    <cfRule type="cellIs" dxfId="9" priority="1411" operator="equal">
      <formula>"读写 - 立即更改，重启生效"</formula>
    </cfRule>
    <cfRule type="cellIs" dxfId="10" priority="1412" operator="equal">
      <formula>"读写 - 停机更改，立即生效"</formula>
    </cfRule>
  </conditionalFormatting>
  <conditionalFormatting sqref="L319">
    <cfRule type="cellIs" dxfId="11" priority="1403" operator="equal">
      <formula>"允许保存，不可恢复"</formula>
    </cfRule>
    <cfRule type="cellIs" dxfId="12" priority="1404" operator="equal">
      <formula>"允许保存，可恢复"</formula>
    </cfRule>
  </conditionalFormatting>
  <conditionalFormatting sqref="K320">
    <cfRule type="cellIs" dxfId="8" priority="1407" operator="equal">
      <formula>"读写 - 立即更改，立即生效"</formula>
    </cfRule>
    <cfRule type="cellIs" dxfId="9" priority="1408" operator="equal">
      <formula>"读写 - 立即更改，重启生效"</formula>
    </cfRule>
    <cfRule type="cellIs" dxfId="10" priority="1409" operator="equal">
      <formula>"读写 - 停机更改，立即生效"</formula>
    </cfRule>
  </conditionalFormatting>
  <conditionalFormatting sqref="L320">
    <cfRule type="cellIs" dxfId="11" priority="1405" operator="equal">
      <formula>"允许保存，不可恢复"</formula>
    </cfRule>
    <cfRule type="cellIs" dxfId="12" priority="1406" operator="equal">
      <formula>"允许保存，可恢复"</formula>
    </cfRule>
  </conditionalFormatting>
  <conditionalFormatting sqref="E324">
    <cfRule type="cellIs" dxfId="2" priority="1779" operator="equal">
      <formula>"f64"</formula>
    </cfRule>
    <cfRule type="cellIs" dxfId="2" priority="1780" operator="equal">
      <formula>"f64"</formula>
    </cfRule>
    <cfRule type="cellIs" dxfId="3" priority="1781" operator="equal">
      <formula>"f32"</formula>
    </cfRule>
    <cfRule type="cellIs" dxfId="2" priority="1782" operator="equal">
      <formula>"f64"</formula>
    </cfRule>
    <cfRule type="cellIs" dxfId="3" priority="1783" operator="equal">
      <formula>"f32"</formula>
    </cfRule>
    <cfRule type="cellIs" dxfId="4" priority="1784" operator="equal">
      <formula>"u64"</formula>
    </cfRule>
    <cfRule type="cellIs" dxfId="5" priority="1785" operator="equal">
      <formula>"u32"</formula>
    </cfRule>
    <cfRule type="cellIs" priority="1786" operator="equal">
      <formula>"u16"</formula>
    </cfRule>
    <cfRule type="cellIs" dxfId="6" priority="1787" operator="equal">
      <formula>"s64"</formula>
    </cfRule>
    <cfRule type="cellIs" dxfId="7" priority="1788" operator="equal">
      <formula>"s32"</formula>
    </cfRule>
    <cfRule type="cellIs" priority="1789" operator="equal">
      <formula>"s16"</formula>
    </cfRule>
  </conditionalFormatting>
  <conditionalFormatting sqref="F324">
    <cfRule type="containsBlanks" dxfId="1" priority="1778">
      <formula>LEN(TRIM(F324))=0</formula>
    </cfRule>
  </conditionalFormatting>
  <conditionalFormatting sqref="K324">
    <cfRule type="cellIs" dxfId="8" priority="1794" operator="equal">
      <formula>"读写 - 立即更改，立即生效"</formula>
    </cfRule>
    <cfRule type="cellIs" dxfId="9" priority="1795" operator="equal">
      <formula>"读写 - 立即更改，重启生效"</formula>
    </cfRule>
    <cfRule type="cellIs" dxfId="10" priority="1796" operator="equal">
      <formula>"读写 - 停机更改，立即生效"</formula>
    </cfRule>
  </conditionalFormatting>
  <conditionalFormatting sqref="L324">
    <cfRule type="cellIs" dxfId="11" priority="1792" operator="equal">
      <formula>"允许保存，不可恢复"</formula>
    </cfRule>
    <cfRule type="cellIs" dxfId="12" priority="1793" operator="equal">
      <formula>"允许保存，可恢复"</formula>
    </cfRule>
  </conditionalFormatting>
  <conditionalFormatting sqref="E325">
    <cfRule type="cellIs" dxfId="2" priority="1607" operator="equal">
      <formula>"f64"</formula>
    </cfRule>
    <cfRule type="cellIs" dxfId="2" priority="1608" operator="equal">
      <formula>"f64"</formula>
    </cfRule>
    <cfRule type="cellIs" dxfId="3" priority="1609" operator="equal">
      <formula>"f32"</formula>
    </cfRule>
    <cfRule type="cellIs" dxfId="2" priority="1610" operator="equal">
      <formula>"f64"</formula>
    </cfRule>
    <cfRule type="cellIs" dxfId="3" priority="1611" operator="equal">
      <formula>"f32"</formula>
    </cfRule>
    <cfRule type="cellIs" dxfId="4" priority="1612" operator="equal">
      <formula>"u64"</formula>
    </cfRule>
    <cfRule type="cellIs" dxfId="5" priority="1613" operator="equal">
      <formula>"u32"</formula>
    </cfRule>
    <cfRule type="cellIs" priority="1614" operator="equal">
      <formula>"u16"</formula>
    </cfRule>
    <cfRule type="cellIs" dxfId="6" priority="1615" operator="equal">
      <formula>"s64"</formula>
    </cfRule>
    <cfRule type="cellIs" dxfId="7" priority="1616" operator="equal">
      <formula>"s32"</formula>
    </cfRule>
    <cfRule type="cellIs" priority="1617" operator="equal">
      <formula>"s16"</formula>
    </cfRule>
  </conditionalFormatting>
  <conditionalFormatting sqref="F325">
    <cfRule type="containsBlanks" dxfId="1" priority="1606">
      <formula>LEN(TRIM(F325))=0</formula>
    </cfRule>
  </conditionalFormatting>
  <conditionalFormatting sqref="K325">
    <cfRule type="cellIs" dxfId="8" priority="1622" operator="equal">
      <formula>"读写 - 立即更改，立即生效"</formula>
    </cfRule>
    <cfRule type="cellIs" dxfId="9" priority="1623" operator="equal">
      <formula>"读写 - 立即更改，重启生效"</formula>
    </cfRule>
    <cfRule type="cellIs" dxfId="10" priority="1624" operator="equal">
      <formula>"读写 - 停机更改，立即生效"</formula>
    </cfRule>
  </conditionalFormatting>
  <conditionalFormatting sqref="L325">
    <cfRule type="cellIs" dxfId="11" priority="1620" operator="equal">
      <formula>"允许保存，不可恢复"</formula>
    </cfRule>
    <cfRule type="cellIs" dxfId="12" priority="1621" operator="equal">
      <formula>"允许保存，可恢复"</formula>
    </cfRule>
  </conditionalFormatting>
  <conditionalFormatting sqref="E421">
    <cfRule type="cellIs" dxfId="2" priority="1747" operator="equal">
      <formula>"f64"</formula>
    </cfRule>
    <cfRule type="cellIs" dxfId="2" priority="1748" operator="equal">
      <formula>"f64"</formula>
    </cfRule>
    <cfRule type="cellIs" dxfId="3" priority="1749" operator="equal">
      <formula>"f32"</formula>
    </cfRule>
    <cfRule type="cellIs" dxfId="2" priority="1750" operator="equal">
      <formula>"f64"</formula>
    </cfRule>
    <cfRule type="cellIs" dxfId="3" priority="1751" operator="equal">
      <formula>"f32"</formula>
    </cfRule>
    <cfRule type="cellIs" dxfId="4" priority="1752" operator="equal">
      <formula>"u64"</formula>
    </cfRule>
    <cfRule type="cellIs" dxfId="5" priority="1753" operator="equal">
      <formula>"u32"</formula>
    </cfRule>
    <cfRule type="cellIs" priority="1754" operator="equal">
      <formula>"u16"</formula>
    </cfRule>
    <cfRule type="cellIs" dxfId="6" priority="1755" operator="equal">
      <formula>"s64"</formula>
    </cfRule>
    <cfRule type="cellIs" dxfId="7" priority="1756" operator="equal">
      <formula>"s32"</formula>
    </cfRule>
    <cfRule type="cellIs" priority="1757" operator="equal">
      <formula>"s16"</formula>
    </cfRule>
  </conditionalFormatting>
  <conditionalFormatting sqref="F421">
    <cfRule type="containsBlanks" dxfId="1" priority="1746">
      <formula>LEN(TRIM(F421))=0</formula>
    </cfRule>
  </conditionalFormatting>
  <conditionalFormatting sqref="K421">
    <cfRule type="cellIs" dxfId="8" priority="1762" operator="equal">
      <formula>"读写 - 立即更改，立即生效"</formula>
    </cfRule>
    <cfRule type="cellIs" dxfId="9" priority="1763" operator="equal">
      <formula>"读写 - 立即更改，重启生效"</formula>
    </cfRule>
    <cfRule type="cellIs" dxfId="10" priority="1764" operator="equal">
      <formula>"读写 - 停机更改，立即生效"</formula>
    </cfRule>
  </conditionalFormatting>
  <conditionalFormatting sqref="L421">
    <cfRule type="cellIs" dxfId="11" priority="1760" operator="equal">
      <formula>"允许保存，不可恢复"</formula>
    </cfRule>
    <cfRule type="cellIs" dxfId="12" priority="1761" operator="equal">
      <formula>"允许保存，可恢复"</formula>
    </cfRule>
  </conditionalFormatting>
  <conditionalFormatting sqref="K424">
    <cfRule type="cellIs" dxfId="8" priority="1463" operator="equal">
      <formula>"读写 - 立即更改，立即生效"</formula>
    </cfRule>
    <cfRule type="cellIs" dxfId="9" priority="1464" operator="equal">
      <formula>"读写 - 立即更改，重启生效"</formula>
    </cfRule>
    <cfRule type="cellIs" dxfId="10" priority="1465" operator="equal">
      <formula>"读写 - 停机更改，立即生效"</formula>
    </cfRule>
  </conditionalFormatting>
  <conditionalFormatting sqref="L424">
    <cfRule type="cellIs" dxfId="11" priority="1461" operator="equal">
      <formula>"允许保存，不可恢复"</formula>
    </cfRule>
    <cfRule type="cellIs" dxfId="12" priority="1462" operator="equal">
      <formula>"允许保存，可恢复"</formula>
    </cfRule>
  </conditionalFormatting>
  <conditionalFormatting sqref="F446">
    <cfRule type="containsBlanks" dxfId="1" priority="1896">
      <formula>LEN(TRIM(F446))=0</formula>
    </cfRule>
  </conditionalFormatting>
  <conditionalFormatting sqref="K446">
    <cfRule type="cellIs" dxfId="8" priority="1899" operator="equal">
      <formula>"读写 - 立即更改，立即生效"</formula>
    </cfRule>
    <cfRule type="cellIs" dxfId="9" priority="1900" operator="equal">
      <formula>"读写 - 立即更改，重启生效"</formula>
    </cfRule>
    <cfRule type="cellIs" dxfId="10" priority="1901" operator="equal">
      <formula>"读写 - 停机更改，立即生效"</formula>
    </cfRule>
  </conditionalFormatting>
  <conditionalFormatting sqref="L446">
    <cfRule type="cellIs" dxfId="11" priority="1897" operator="equal">
      <formula>"允许保存，不可恢复"</formula>
    </cfRule>
    <cfRule type="cellIs" dxfId="12" priority="1898" operator="equal">
      <formula>"允许保存，可恢复"</formula>
    </cfRule>
  </conditionalFormatting>
  <conditionalFormatting sqref="E448">
    <cfRule type="cellIs" dxfId="2" priority="1880" operator="equal">
      <formula>"f64"</formula>
    </cfRule>
    <cfRule type="cellIs" dxfId="2" priority="1881" operator="equal">
      <formula>"f64"</formula>
    </cfRule>
    <cfRule type="cellIs" dxfId="3" priority="1882" operator="equal">
      <formula>"f32"</formula>
    </cfRule>
    <cfRule type="cellIs" dxfId="2" priority="1883" operator="equal">
      <formula>"f64"</formula>
    </cfRule>
    <cfRule type="cellIs" dxfId="3" priority="1884" operator="equal">
      <formula>"f32"</formula>
    </cfRule>
    <cfRule type="cellIs" dxfId="4" priority="1885" operator="equal">
      <formula>"u64"</formula>
    </cfRule>
    <cfRule type="cellIs" dxfId="5" priority="1886" operator="equal">
      <formula>"u32"</formula>
    </cfRule>
    <cfRule type="cellIs" priority="1887" operator="equal">
      <formula>"u16"</formula>
    </cfRule>
    <cfRule type="cellIs" dxfId="6" priority="1888" operator="equal">
      <formula>"s64"</formula>
    </cfRule>
    <cfRule type="cellIs" dxfId="7" priority="1889" operator="equal">
      <formula>"s32"</formula>
    </cfRule>
    <cfRule type="cellIs" priority="1890" operator="equal">
      <formula>"s16"</formula>
    </cfRule>
  </conditionalFormatting>
  <conditionalFormatting sqref="K448">
    <cfRule type="cellIs" dxfId="8" priority="1893" operator="equal">
      <formula>"读写 - 立即更改，立即生效"</formula>
    </cfRule>
    <cfRule type="cellIs" dxfId="9" priority="1894" operator="equal">
      <formula>"读写 - 立即更改，重启生效"</formula>
    </cfRule>
    <cfRule type="cellIs" dxfId="10" priority="1895" operator="equal">
      <formula>"读写 - 停机更改，立即生效"</formula>
    </cfRule>
  </conditionalFormatting>
  <conditionalFormatting sqref="L448">
    <cfRule type="cellIs" dxfId="11" priority="1891" operator="equal">
      <formula>"允许保存，不可恢复"</formula>
    </cfRule>
    <cfRule type="cellIs" dxfId="12" priority="1892" operator="equal">
      <formula>"允许保存，可恢复"</formula>
    </cfRule>
  </conditionalFormatting>
  <conditionalFormatting sqref="E452">
    <cfRule type="cellIs" dxfId="2" priority="1861" operator="equal">
      <formula>"f64"</formula>
    </cfRule>
    <cfRule type="cellIs" dxfId="2" priority="1862" operator="equal">
      <formula>"f64"</formula>
    </cfRule>
    <cfRule type="cellIs" dxfId="3" priority="1863" operator="equal">
      <formula>"f32"</formula>
    </cfRule>
    <cfRule type="cellIs" dxfId="2" priority="1864" operator="equal">
      <formula>"f64"</formula>
    </cfRule>
    <cfRule type="cellIs" dxfId="3" priority="1865" operator="equal">
      <formula>"f32"</formula>
    </cfRule>
    <cfRule type="cellIs" dxfId="4" priority="1866" operator="equal">
      <formula>"u64"</formula>
    </cfRule>
    <cfRule type="cellIs" dxfId="5" priority="1867" operator="equal">
      <formula>"u32"</formula>
    </cfRule>
    <cfRule type="cellIs" priority="1868" operator="equal">
      <formula>"u16"</formula>
    </cfRule>
    <cfRule type="cellIs" dxfId="6" priority="1869" operator="equal">
      <formula>"s64"</formula>
    </cfRule>
    <cfRule type="cellIs" dxfId="7" priority="1870" operator="equal">
      <formula>"s32"</formula>
    </cfRule>
    <cfRule type="cellIs" priority="1871" operator="equal">
      <formula>"s16"</formula>
    </cfRule>
  </conditionalFormatting>
  <conditionalFormatting sqref="F452">
    <cfRule type="containsBlanks" dxfId="1" priority="1860">
      <formula>LEN(TRIM(F452))=0</formula>
    </cfRule>
  </conditionalFormatting>
  <conditionalFormatting sqref="K452">
    <cfRule type="cellIs" dxfId="8" priority="1876" operator="equal">
      <formula>"读写 - 立即更改，立即生效"</formula>
    </cfRule>
    <cfRule type="cellIs" dxfId="9" priority="1877" operator="equal">
      <formula>"读写 - 立即更改，重启生效"</formula>
    </cfRule>
    <cfRule type="cellIs" dxfId="10" priority="1878" operator="equal">
      <formula>"读写 - 停机更改，立即生效"</formula>
    </cfRule>
  </conditionalFormatting>
  <conditionalFormatting sqref="L452">
    <cfRule type="cellIs" dxfId="11" priority="1874" operator="equal">
      <formula>"允许保存，不可恢复"</formula>
    </cfRule>
    <cfRule type="cellIs" dxfId="12" priority="1875" operator="equal">
      <formula>"允许保存，可恢复"</formula>
    </cfRule>
  </conditionalFormatting>
  <conditionalFormatting sqref="F453">
    <cfRule type="containsBlanks" dxfId="1" priority="1851">
      <formula>LEN(TRIM(F453))=0</formula>
    </cfRule>
  </conditionalFormatting>
  <conditionalFormatting sqref="K453">
    <cfRule type="cellIs" dxfId="8" priority="1856" operator="equal">
      <formula>"读写 - 立即更改，立即生效"</formula>
    </cfRule>
    <cfRule type="cellIs" dxfId="9" priority="1857" operator="equal">
      <formula>"读写 - 立即更改，重启生效"</formula>
    </cfRule>
    <cfRule type="cellIs" dxfId="10" priority="1858" operator="equal">
      <formula>"读写 - 停机更改，立即生效"</formula>
    </cfRule>
  </conditionalFormatting>
  <conditionalFormatting sqref="L453">
    <cfRule type="cellIs" dxfId="11" priority="1854" operator="equal">
      <formula>"允许保存，不可恢复"</formula>
    </cfRule>
    <cfRule type="cellIs" dxfId="12" priority="1855" operator="equal">
      <formula>"允许保存，可恢复"</formula>
    </cfRule>
  </conditionalFormatting>
  <conditionalFormatting sqref="F454">
    <cfRule type="containsBlanks" dxfId="1" priority="1850">
      <formula>LEN(TRIM(F454))=0</formula>
    </cfRule>
  </conditionalFormatting>
  <conditionalFormatting sqref="E457">
    <cfRule type="cellIs" dxfId="2" priority="1923" operator="equal">
      <formula>"f64"</formula>
    </cfRule>
    <cfRule type="cellIs" dxfId="2" priority="1924" operator="equal">
      <formula>"f64"</formula>
    </cfRule>
    <cfRule type="cellIs" dxfId="3" priority="1925" operator="equal">
      <formula>"f32"</formula>
    </cfRule>
    <cfRule type="cellIs" dxfId="2" priority="1926" operator="equal">
      <formula>"f64"</formula>
    </cfRule>
    <cfRule type="cellIs" dxfId="3" priority="1927" operator="equal">
      <formula>"f32"</formula>
    </cfRule>
    <cfRule type="cellIs" dxfId="4" priority="1928" operator="equal">
      <formula>"u64"</formula>
    </cfRule>
    <cfRule type="cellIs" dxfId="5" priority="1929" operator="equal">
      <formula>"u32"</formula>
    </cfRule>
    <cfRule type="cellIs" priority="1930" operator="equal">
      <formula>"u16"</formula>
    </cfRule>
    <cfRule type="cellIs" dxfId="6" priority="1931" operator="equal">
      <formula>"s64"</formula>
    </cfRule>
    <cfRule type="cellIs" dxfId="7" priority="1932" operator="equal">
      <formula>"s32"</formula>
    </cfRule>
    <cfRule type="cellIs" priority="1933" operator="equal">
      <formula>"s16"</formula>
    </cfRule>
  </conditionalFormatting>
  <conditionalFormatting sqref="F457">
    <cfRule type="containsBlanks" dxfId="1" priority="1922">
      <formula>LEN(TRIM(F457))=0</formula>
    </cfRule>
  </conditionalFormatting>
  <conditionalFormatting sqref="K457">
    <cfRule type="cellIs" dxfId="8" priority="1938" operator="equal">
      <formula>"读写 - 立即更改，立即生效"</formula>
    </cfRule>
    <cfRule type="cellIs" dxfId="9" priority="1939" operator="equal">
      <formula>"读写 - 立即更改，重启生效"</formula>
    </cfRule>
    <cfRule type="cellIs" dxfId="10" priority="1940" operator="equal">
      <formula>"读写 - 停机更改，立即生效"</formula>
    </cfRule>
  </conditionalFormatting>
  <conditionalFormatting sqref="L457">
    <cfRule type="cellIs" dxfId="11" priority="1936" operator="equal">
      <formula>"允许保存，不可恢复"</formula>
    </cfRule>
    <cfRule type="cellIs" dxfId="12" priority="1937" operator="equal">
      <formula>"允许保存，可恢复"</formula>
    </cfRule>
  </conditionalFormatting>
  <conditionalFormatting sqref="E556">
    <cfRule type="cellIs" dxfId="2" priority="1647" operator="equal">
      <formula>"f64"</formula>
    </cfRule>
    <cfRule type="cellIs" dxfId="2" priority="1648" operator="equal">
      <formula>"f64"</formula>
    </cfRule>
    <cfRule type="cellIs" dxfId="3" priority="1649" operator="equal">
      <formula>"f32"</formula>
    </cfRule>
    <cfRule type="cellIs" dxfId="2" priority="1650" operator="equal">
      <formula>"f64"</formula>
    </cfRule>
    <cfRule type="cellIs" dxfId="3" priority="1651" operator="equal">
      <formula>"f32"</formula>
    </cfRule>
    <cfRule type="cellIs" dxfId="4" priority="1652" operator="equal">
      <formula>"u64"</formula>
    </cfRule>
    <cfRule type="cellIs" dxfId="5" priority="1653" operator="equal">
      <formula>"u32"</formula>
    </cfRule>
    <cfRule type="cellIs" priority="1654" operator="equal">
      <formula>"u16"</formula>
    </cfRule>
    <cfRule type="cellIs" dxfId="6" priority="1655" operator="equal">
      <formula>"s64"</formula>
    </cfRule>
    <cfRule type="cellIs" dxfId="7" priority="1656" operator="equal">
      <formula>"s32"</formula>
    </cfRule>
    <cfRule type="cellIs" priority="1657" operator="equal">
      <formula>"s16"</formula>
    </cfRule>
  </conditionalFormatting>
  <conditionalFormatting sqref="F556">
    <cfRule type="containsBlanks" dxfId="1" priority="1646">
      <formula>LEN(TRIM(F556))=0</formula>
    </cfRule>
  </conditionalFormatting>
  <conditionalFormatting sqref="K556">
    <cfRule type="cellIs" dxfId="8" priority="1662" operator="equal">
      <formula>"读写 - 立即更改，立即生效"</formula>
    </cfRule>
    <cfRule type="cellIs" dxfId="9" priority="1663" operator="equal">
      <formula>"读写 - 立即更改，重启生效"</formula>
    </cfRule>
    <cfRule type="cellIs" dxfId="10" priority="1664" operator="equal">
      <formula>"读写 - 停机更改，立即生效"</formula>
    </cfRule>
  </conditionalFormatting>
  <conditionalFormatting sqref="L556">
    <cfRule type="cellIs" dxfId="11" priority="1660" operator="equal">
      <formula>"允许保存，不可恢复"</formula>
    </cfRule>
    <cfRule type="cellIs" dxfId="12" priority="1661" operator="equal">
      <formula>"允许保存，可恢复"</formula>
    </cfRule>
  </conditionalFormatting>
  <conditionalFormatting sqref="E559">
    <cfRule type="cellIs" dxfId="2" priority="1627" operator="equal">
      <formula>"f64"</formula>
    </cfRule>
    <cfRule type="cellIs" dxfId="2" priority="1628" operator="equal">
      <formula>"f64"</formula>
    </cfRule>
    <cfRule type="cellIs" dxfId="3" priority="1629" operator="equal">
      <formula>"f32"</formula>
    </cfRule>
    <cfRule type="cellIs" dxfId="2" priority="1630" operator="equal">
      <formula>"f64"</formula>
    </cfRule>
    <cfRule type="cellIs" dxfId="3" priority="1631" operator="equal">
      <formula>"f32"</formula>
    </cfRule>
    <cfRule type="cellIs" dxfId="4" priority="1632" operator="equal">
      <formula>"u64"</formula>
    </cfRule>
    <cfRule type="cellIs" dxfId="5" priority="1633" operator="equal">
      <formula>"u32"</formula>
    </cfRule>
    <cfRule type="cellIs" priority="1634" operator="equal">
      <formula>"u16"</formula>
    </cfRule>
    <cfRule type="cellIs" dxfId="6" priority="1635" operator="equal">
      <formula>"s64"</formula>
    </cfRule>
    <cfRule type="cellIs" dxfId="7" priority="1636" operator="equal">
      <formula>"s32"</formula>
    </cfRule>
    <cfRule type="cellIs" priority="1637" operator="equal">
      <formula>"s16"</formula>
    </cfRule>
  </conditionalFormatting>
  <conditionalFormatting sqref="F559">
    <cfRule type="containsBlanks" dxfId="1" priority="1626">
      <formula>LEN(TRIM(F559))=0</formula>
    </cfRule>
  </conditionalFormatting>
  <conditionalFormatting sqref="K559">
    <cfRule type="cellIs" dxfId="8" priority="1642" operator="equal">
      <formula>"读写 - 立即更改，立即生效"</formula>
    </cfRule>
    <cfRule type="cellIs" dxfId="9" priority="1643" operator="equal">
      <formula>"读写 - 立即更改，重启生效"</formula>
    </cfRule>
    <cfRule type="cellIs" dxfId="10" priority="1644" operator="equal">
      <formula>"读写 - 停机更改，立即生效"</formula>
    </cfRule>
  </conditionalFormatting>
  <conditionalFormatting sqref="L559">
    <cfRule type="cellIs" dxfId="11" priority="1640" operator="equal">
      <formula>"允许保存，不可恢复"</formula>
    </cfRule>
    <cfRule type="cellIs" dxfId="12" priority="1641" operator="equal">
      <formula>"允许保存，可恢复"</formula>
    </cfRule>
  </conditionalFormatting>
  <conditionalFormatting sqref="E248:E249">
    <cfRule type="cellIs" dxfId="2" priority="813" operator="equal">
      <formula>"f64"</formula>
    </cfRule>
    <cfRule type="cellIs" dxfId="2" priority="814" operator="equal">
      <formula>"f64"</formula>
    </cfRule>
    <cfRule type="cellIs" dxfId="3" priority="815" operator="equal">
      <formula>"f32"</formula>
    </cfRule>
    <cfRule type="cellIs" dxfId="2" priority="816" operator="equal">
      <formula>"f64"</formula>
    </cfRule>
    <cfRule type="cellIs" dxfId="3" priority="817" operator="equal">
      <formula>"f32"</formula>
    </cfRule>
    <cfRule type="cellIs" dxfId="4" priority="818" operator="equal">
      <formula>"u64"</formula>
    </cfRule>
    <cfRule type="cellIs" dxfId="5" priority="819" operator="equal">
      <formula>"u32"</formula>
    </cfRule>
    <cfRule type="cellIs" priority="820" operator="equal">
      <formula>"u16"</formula>
    </cfRule>
    <cfRule type="cellIs" dxfId="6" priority="821" operator="equal">
      <formula>"s64"</formula>
    </cfRule>
    <cfRule type="cellIs" dxfId="7" priority="822" operator="equal">
      <formula>"s32"</formula>
    </cfRule>
    <cfRule type="cellIs" priority="823" operator="equal">
      <formula>"s16"</formula>
    </cfRule>
  </conditionalFormatting>
  <conditionalFormatting sqref="E278:E279">
    <cfRule type="cellIs" dxfId="2" priority="1270" operator="equal">
      <formula>"f64"</formula>
    </cfRule>
    <cfRule type="cellIs" dxfId="2" priority="1271" operator="equal">
      <formula>"f64"</formula>
    </cfRule>
    <cfRule type="cellIs" dxfId="3" priority="1272" operator="equal">
      <formula>"f32"</formula>
    </cfRule>
    <cfRule type="cellIs" dxfId="2" priority="1273" operator="equal">
      <formula>"f64"</formula>
    </cfRule>
    <cfRule type="cellIs" dxfId="3" priority="1274" operator="equal">
      <formula>"f32"</formula>
    </cfRule>
    <cfRule type="cellIs" dxfId="4" priority="1275" operator="equal">
      <formula>"u64"</formula>
    </cfRule>
    <cfRule type="cellIs" dxfId="5" priority="1276" operator="equal">
      <formula>"u32"</formula>
    </cfRule>
    <cfRule type="cellIs" priority="1277" operator="equal">
      <formula>"u16"</formula>
    </cfRule>
    <cfRule type="cellIs" dxfId="6" priority="1278" operator="equal">
      <formula>"s64"</formula>
    </cfRule>
    <cfRule type="cellIs" dxfId="7" priority="1279" operator="equal">
      <formula>"s32"</formula>
    </cfRule>
    <cfRule type="cellIs" priority="1280" operator="equal">
      <formula>"s16"</formula>
    </cfRule>
  </conditionalFormatting>
  <conditionalFormatting sqref="E480:E481">
    <cfRule type="cellIs" dxfId="2" priority="1668" operator="equal">
      <formula>"f64"</formula>
    </cfRule>
    <cfRule type="cellIs" dxfId="2" priority="1669" operator="equal">
      <formula>"f64"</formula>
    </cfRule>
    <cfRule type="cellIs" dxfId="3" priority="1670" operator="equal">
      <formula>"f32"</formula>
    </cfRule>
    <cfRule type="cellIs" dxfId="2" priority="1671" operator="equal">
      <formula>"f64"</formula>
    </cfRule>
    <cfRule type="cellIs" dxfId="3" priority="1672" operator="equal">
      <formula>"f32"</formula>
    </cfRule>
    <cfRule type="cellIs" dxfId="4" priority="1673" operator="equal">
      <formula>"u64"</formula>
    </cfRule>
    <cfRule type="cellIs" dxfId="5" priority="1674" operator="equal">
      <formula>"u32"</formula>
    </cfRule>
    <cfRule type="cellIs" priority="1675" operator="equal">
      <formula>"u16"</formula>
    </cfRule>
    <cfRule type="cellIs" dxfId="6" priority="1676" operator="equal">
      <formula>"s64"</formula>
    </cfRule>
    <cfRule type="cellIs" dxfId="7" priority="1677" operator="equal">
      <formula>"s32"</formula>
    </cfRule>
    <cfRule type="cellIs" priority="1678" operator="equal">
      <formula>"s16"</formula>
    </cfRule>
  </conditionalFormatting>
  <conditionalFormatting sqref="F156:F159">
    <cfRule type="containsBlanks" dxfId="1" priority="397">
      <formula>LEN(TRIM(F156))=0</formula>
    </cfRule>
  </conditionalFormatting>
  <conditionalFormatting sqref="F160:F161">
    <cfRule type="containsBlanks" dxfId="1" priority="398">
      <formula>LEN(TRIM(F160))=0</formula>
    </cfRule>
  </conditionalFormatting>
  <conditionalFormatting sqref="F163:F164">
    <cfRule type="containsBlanks" dxfId="1" priority="395">
      <formula>LEN(TRIM(F163))=0</formula>
    </cfRule>
  </conditionalFormatting>
  <conditionalFormatting sqref="F248:F249">
    <cfRule type="containsBlanks" dxfId="1" priority="812">
      <formula>LEN(TRIM(F248))=0</formula>
    </cfRule>
  </conditionalFormatting>
  <conditionalFormatting sqref="F278:F279">
    <cfRule type="containsBlanks" dxfId="1" priority="1269">
      <formula>LEN(TRIM(F278))=0</formula>
    </cfRule>
  </conditionalFormatting>
  <conditionalFormatting sqref="F480:F481">
    <cfRule type="containsBlanks" dxfId="1" priority="1667">
      <formula>LEN(TRIM(F480))=0</formula>
    </cfRule>
  </conditionalFormatting>
  <conditionalFormatting sqref="K278:K279">
    <cfRule type="cellIs" dxfId="8" priority="1285" operator="equal">
      <formula>"读写 - 立即更改，立即生效"</formula>
    </cfRule>
    <cfRule type="cellIs" dxfId="9" priority="1286" operator="equal">
      <formula>"读写 - 立即更改，重启生效"</formula>
    </cfRule>
    <cfRule type="cellIs" dxfId="10" priority="1287" operator="equal">
      <formula>"读写 - 停机更改，立即生效"</formula>
    </cfRule>
  </conditionalFormatting>
  <conditionalFormatting sqref="K314:K315">
    <cfRule type="cellIs" dxfId="8" priority="1584" operator="equal">
      <formula>"读写 - 立即更改，立即生效"</formula>
    </cfRule>
    <cfRule type="cellIs" dxfId="9" priority="1585" operator="equal">
      <formula>"读写 - 立即更改，重启生效"</formula>
    </cfRule>
    <cfRule type="cellIs" dxfId="10" priority="1586" operator="equal">
      <formula>"读写 - 停机更改，立即生效"</formula>
    </cfRule>
  </conditionalFormatting>
  <conditionalFormatting sqref="K480:K481">
    <cfRule type="cellIs" dxfId="8" priority="1683" operator="equal">
      <formula>"读写 - 立即更改，立即生效"</formula>
    </cfRule>
    <cfRule type="cellIs" dxfId="9" priority="1684" operator="equal">
      <formula>"读写 - 立即更改，重启生效"</formula>
    </cfRule>
    <cfRule type="cellIs" dxfId="10" priority="1685" operator="equal">
      <formula>"读写 - 停机更改，立即生效"</formula>
    </cfRule>
  </conditionalFormatting>
  <conditionalFormatting sqref="L8:L28">
    <cfRule type="cellIs" dxfId="11" priority="341" operator="equal">
      <formula>"允许保存，不可恢复"</formula>
    </cfRule>
    <cfRule type="cellIs" dxfId="12" priority="344" operator="equal">
      <formula>"允许保存，可恢复"</formula>
    </cfRule>
  </conditionalFormatting>
  <conditionalFormatting sqref="L278:L279">
    <cfRule type="cellIs" dxfId="11" priority="1283" operator="equal">
      <formula>"允许保存，不可恢复"</formula>
    </cfRule>
    <cfRule type="cellIs" dxfId="12" priority="1284" operator="equal">
      <formula>"允许保存，可恢复"</formula>
    </cfRule>
  </conditionalFormatting>
  <conditionalFormatting sqref="L480:L481">
    <cfRule type="cellIs" dxfId="11" priority="1681" operator="equal">
      <formula>"允许保存，不可恢复"</formula>
    </cfRule>
    <cfRule type="cellIs" dxfId="12" priority="1682" operator="equal">
      <formula>"允许保存，可恢复"</formula>
    </cfRule>
  </conditionalFormatting>
  <conditionalFormatting sqref="M$1:M$1048576">
    <cfRule type="cellIs" dxfId="13" priority="1" operator="equal">
      <formula>"User"</formula>
    </cfRule>
    <cfRule type="cellIs" dxfId="14" priority="2" operator="equal">
      <formula>"Admin"</formula>
    </cfRule>
  </conditionalFormatting>
  <conditionalFormatting sqref="N482:N551">
    <cfRule type="cellIs" dxfId="13" priority="2020" operator="equal">
      <formula>"User"</formula>
    </cfRule>
    <cfRule type="cellIs" dxfId="14" priority="2021" operator="equal">
      <formula>"Admin"</formula>
    </cfRule>
  </conditionalFormatting>
  <conditionalFormatting sqref="O$1:O$1048576">
    <cfRule type="containsBlanks" dxfId="1" priority="2018">
      <formula>LEN(TRIM(O1))=0</formula>
    </cfRule>
  </conditionalFormatting>
  <conditionalFormatting sqref="P$1:P$1048576">
    <cfRule type="containsBlanks" dxfId="1" priority="2019">
      <formula>LEN(TRIM(P1))=0</formula>
    </cfRule>
  </conditionalFormatting>
  <conditionalFormatting sqref="Q5:Q560">
    <cfRule type="cellIs" dxfId="0" priority="7" operator="equal">
      <formula>0</formula>
    </cfRule>
  </conditionalFormatting>
  <conditionalFormatting sqref="R5:R560">
    <cfRule type="containsBlanks" dxfId="1" priority="128">
      <formula>LEN(TRIM(R5))=0</formula>
    </cfRule>
  </conditionalFormatting>
  <conditionalFormatting sqref="E1:E4 E32:E33 E36 E29 E71:E114 E39:E69 E226:E236 E224 E188:E189 E222 E243 E196:E198 E215 E191:E194 E250:E277 E207 E213 E211 E209 E217 E357 E429 E427 E560:E1048576 E557:E558 E381:E420 E423:E425 E443:E445 E482:E555 E366 E460:E479 E376 E378 E374 E372 E370 E368 E447 E449:E451 E453 E364 E435 E433 E431 E362 E439 E441 E437 E456 E326:E353 E311 E359:E360 E306:E309 E355 E162 E133 E116:E119 E129 E127 E131 E137 E125 E123 E121 E135 E160 E158 E164:E186 E139:E156 E202:E203 E282 E220 E239:E241 E280 E294:E297 E284:E292">
    <cfRule type="cellIs" dxfId="2" priority="1963" operator="equal">
      <formula>"f64"</formula>
    </cfRule>
    <cfRule type="cellIs" dxfId="2" priority="1964" operator="equal">
      <formula>"f64"</formula>
    </cfRule>
    <cfRule type="cellIs" dxfId="3" priority="1965" operator="equal">
      <formula>"f32"</formula>
    </cfRule>
    <cfRule type="cellIs" dxfId="2" priority="1966" operator="equal">
      <formula>"f64"</formula>
    </cfRule>
    <cfRule type="cellIs" dxfId="3" priority="1967" operator="equal">
      <formula>"f32"</formula>
    </cfRule>
    <cfRule type="cellIs" dxfId="4" priority="1968" operator="equal">
      <formula>"u64"</formula>
    </cfRule>
    <cfRule type="cellIs" dxfId="5" priority="1969" operator="equal">
      <formula>"u32"</formula>
    </cfRule>
    <cfRule type="cellIs" priority="1970" operator="equal">
      <formula>"u16"</formula>
    </cfRule>
    <cfRule type="cellIs" dxfId="6" priority="1971" operator="equal">
      <formula>"s64"</formula>
    </cfRule>
    <cfRule type="cellIs" dxfId="7" priority="1972" operator="equal">
      <formula>"s32"</formula>
    </cfRule>
    <cfRule type="cellIs" priority="1973" operator="equal">
      <formula>"s16"</formula>
    </cfRule>
  </conditionalFormatting>
  <conditionalFormatting sqref="F1:F4 F32:F33 F36 F29 F71:F114 F43:F69 F39:F41 F243 F202:F203 F188:F189 F196:F198 F250:F277 F209 F217:F218 F191:F194 F213 F215 F211 F207 F284:F292 F557:F558 F362 F460:F474 F381:F420 F560:F1048576 F447:F451 F370 F435 F433 F366 F364 F376 F378 F456 F482:F555 F443:F445 F441 F423:F425 F427 F429 F437 F439 F431 F368 F372 F374 F357 F355 F326:F353 F311 F359:F360 F306:F309 F129 F125 F127 F135 F137 F131 F133 F123 F116:F119 F165:F186 F139:F155 F121 F224 F162 F239:F241 F294:F297 F222 F226:F236 F282 F220 F280">
    <cfRule type="containsBlanks" dxfId="1" priority="1962">
      <formula>LEN(TRIM(F1))=0</formula>
    </cfRule>
  </conditionalFormatting>
  <conditionalFormatting sqref="K1:K4 K32:K33 K36 K71:K114 K39:K67 K69 K202:K203 K239:K241 K188:K189 K220 K224 K222 K254:K258 K215 K213 K250:K251 K209 K261:K265 K268:K277 K211 K196:K198 K191:K194 K217:K218 K207 K311 K456 K381:K420 K368 K370 K372 K374 K376 K437 K431 K433 K435 K427 K439 K441 K560:K1048576 K449:K451 K447 K482:K555 K557:K558 K429 K460:K479 K443:K445 K423 K425 K378 K364 K362 K366 K355 K357 K326:K353 K306:K309 K359:K360 K162 K129 K116:K119 K133 K121 K125 K131 K127 K137 K135 K123 K160 K158 K164:K186 K139:K156 K243 K226:K236 K284:K292 K282 K294:K297 K280">
    <cfRule type="cellIs" dxfId="8" priority="1978" operator="equal">
      <formula>"读写 - 立即更改，立即生效"</formula>
    </cfRule>
    <cfRule type="cellIs" dxfId="9" priority="1979" operator="equal">
      <formula>"读写 - 立即更改，重启生效"</formula>
    </cfRule>
    <cfRule type="cellIs" dxfId="10" priority="1980" operator="equal">
      <formula>"读写 - 停机更改，立即生效"</formula>
    </cfRule>
  </conditionalFormatting>
  <conditionalFormatting sqref="L1:L4 L32:L33 L36 L29 L71:L114 L39:L67 L69 L188:L189 L220 L224 L222 L254:L258 L215 L213 L250:L251 L209 L261:L265 L268:L277 L211 L196:L198 L191:L194 L217:L218 L207 L311 L456 L381:L420 L368 L370 L372 L374 L376 L437 L431 L433 L435 L427 L439 L441 L560:L1048576 L449:L451 L447 L482:L555 L557:L558 L429 L460:L479 L443:L445 L423 L425 L378 L364 L362 L366 L355 L357 L326:L353 L306:L309 L359:L360 L162 L129 L116:L119 L133 L121 L125 L131 L127 L137 L135 L123 L160 L158 L164:L186 L139:L156 L239:L241 L202:L203 L282 L243 L226:L236 L280 L284:L292 L294:L297">
    <cfRule type="cellIs" dxfId="11" priority="1976" operator="equal">
      <formula>"允许保存，不可恢复"</formula>
    </cfRule>
    <cfRule type="cellIs" dxfId="12" priority="1977" operator="equal">
      <formula>"允许保存，可恢复"</formula>
    </cfRule>
  </conditionalFormatting>
  <conditionalFormatting sqref="Q1:Q4 Q561:Q1048576">
    <cfRule type="cellIs" dxfId="0" priority="1768" operator="equal">
      <formula>0</formula>
    </cfRule>
  </conditionalFormatting>
  <conditionalFormatting sqref="E24 E8:E15">
    <cfRule type="cellIs" dxfId="2" priority="337" operator="equal">
      <formula>"f64"</formula>
    </cfRule>
    <cfRule type="cellIs" dxfId="2" priority="345" operator="equal">
      <formula>"f64"</formula>
    </cfRule>
    <cfRule type="cellIs" dxfId="3" priority="346" operator="equal">
      <formula>"f32"</formula>
    </cfRule>
    <cfRule type="cellIs" dxfId="2" priority="347" operator="equal">
      <formula>"f64"</formula>
    </cfRule>
    <cfRule type="cellIs" dxfId="3" priority="348" operator="equal">
      <formula>"f32"</formula>
    </cfRule>
    <cfRule type="cellIs" dxfId="4" priority="349" operator="equal">
      <formula>"u64"</formula>
    </cfRule>
    <cfRule type="cellIs" dxfId="5" priority="350" operator="equal">
      <formula>"u32"</formula>
    </cfRule>
    <cfRule type="cellIs" priority="351" operator="equal">
      <formula>"u16"</formula>
    </cfRule>
    <cfRule type="cellIs" dxfId="6" priority="352" operator="equal">
      <formula>"s64"</formula>
    </cfRule>
    <cfRule type="cellIs" dxfId="7" priority="353" operator="equal">
      <formula>"s32"</formula>
    </cfRule>
    <cfRule type="cellIs" priority="354" operator="equal">
      <formula>"s16"</formula>
    </cfRule>
  </conditionalFormatting>
  <conditionalFormatting sqref="F8:F24 F30:F31 F27:F28">
    <cfRule type="containsBlanks" dxfId="1" priority="302">
      <formula>LEN(TRIM(F8))=0</formula>
    </cfRule>
  </conditionalFormatting>
  <conditionalFormatting sqref="K8:K15 K27:K28 K18:K24">
    <cfRule type="cellIs" dxfId="8" priority="338" operator="equal">
      <formula>"读写 - 立即更改，立即生效"</formula>
    </cfRule>
    <cfRule type="cellIs" dxfId="9" priority="339" operator="equal">
      <formula>"读写 - 立即更改，重启生效"</formula>
    </cfRule>
    <cfRule type="cellIs" dxfId="10" priority="340" operator="equal">
      <formula>"读写 - 停机更改，立即生效"</formula>
    </cfRule>
  </conditionalFormatting>
  <conditionalFormatting sqref="E16:E23 E27">
    <cfRule type="cellIs" dxfId="2" priority="355" operator="equal">
      <formula>"f64"</formula>
    </cfRule>
    <cfRule type="cellIs" dxfId="2" priority="356" operator="equal">
      <formula>"f64"</formula>
    </cfRule>
    <cfRule type="cellIs" dxfId="3" priority="357" operator="equal">
      <formula>"f32"</formula>
    </cfRule>
    <cfRule type="cellIs" dxfId="2" priority="358" operator="equal">
      <formula>"f64"</formula>
    </cfRule>
    <cfRule type="cellIs" dxfId="3" priority="359" operator="equal">
      <formula>"f32"</formula>
    </cfRule>
    <cfRule type="cellIs" dxfId="4" priority="360" operator="equal">
      <formula>"u64"</formula>
    </cfRule>
    <cfRule type="cellIs" dxfId="5" priority="361" operator="equal">
      <formula>"u32"</formula>
    </cfRule>
    <cfRule type="cellIs" priority="362" operator="equal">
      <formula>"u16"</formula>
    </cfRule>
    <cfRule type="cellIs" dxfId="6" priority="363" operator="equal">
      <formula>"s64"</formula>
    </cfRule>
    <cfRule type="cellIs" dxfId="7" priority="364" operator="equal">
      <formula>"s32"</formula>
    </cfRule>
    <cfRule type="cellIs" priority="365" operator="equal">
      <formula>"s16"</formula>
    </cfRule>
  </conditionalFormatting>
  <conditionalFormatting sqref="E28 E31">
    <cfRule type="cellIs" dxfId="2" priority="320" operator="equal">
      <formula>"f64"</formula>
    </cfRule>
    <cfRule type="cellIs" dxfId="2" priority="326" operator="equal">
      <formula>"f64"</formula>
    </cfRule>
    <cfRule type="cellIs" dxfId="3" priority="327" operator="equal">
      <formula>"f32"</formula>
    </cfRule>
    <cfRule type="cellIs" dxfId="2" priority="328" operator="equal">
      <formula>"f64"</formula>
    </cfRule>
    <cfRule type="cellIs" dxfId="3" priority="329" operator="equal">
      <formula>"f32"</formula>
    </cfRule>
    <cfRule type="cellIs" dxfId="4" priority="330" operator="equal">
      <formula>"u64"</formula>
    </cfRule>
    <cfRule type="cellIs" dxfId="5" priority="331" operator="equal">
      <formula>"u32"</formula>
    </cfRule>
    <cfRule type="cellIs" priority="332" operator="equal">
      <formula>"u16"</formula>
    </cfRule>
    <cfRule type="cellIs" dxfId="6" priority="333" operator="equal">
      <formula>"s64"</formula>
    </cfRule>
    <cfRule type="cellIs" dxfId="7" priority="334" operator="equal">
      <formula>"s32"</formula>
    </cfRule>
    <cfRule type="cellIs" priority="335" operator="equal">
      <formula>"s16"</formula>
    </cfRule>
  </conditionalFormatting>
  <conditionalFormatting sqref="E120 E208 E210 E212 E214 E218 E206 E216 E124 E122 E138 E136 E134 E132 E130 E128 E126">
    <cfRule type="cellIs" dxfId="2" priority="1559" operator="equal">
      <formula>"f64"</formula>
    </cfRule>
    <cfRule type="cellIs" dxfId="2" priority="1560" operator="equal">
      <formula>"f64"</formula>
    </cfRule>
    <cfRule type="cellIs" dxfId="3" priority="1561" operator="equal">
      <formula>"f32"</formula>
    </cfRule>
    <cfRule type="cellIs" dxfId="2" priority="1562" operator="equal">
      <formula>"f64"</formula>
    </cfRule>
    <cfRule type="cellIs" dxfId="3" priority="1563" operator="equal">
      <formula>"f32"</formula>
    </cfRule>
    <cfRule type="cellIs" dxfId="4" priority="1564" operator="equal">
      <formula>"u64"</formula>
    </cfRule>
    <cfRule type="cellIs" dxfId="5" priority="1565" operator="equal">
      <formula>"u32"</formula>
    </cfRule>
    <cfRule type="cellIs" priority="1566" operator="equal">
      <formula>"u16"</formula>
    </cfRule>
    <cfRule type="cellIs" dxfId="6" priority="1567" operator="equal">
      <formula>"s64"</formula>
    </cfRule>
    <cfRule type="cellIs" dxfId="7" priority="1568" operator="equal">
      <formula>"s32"</formula>
    </cfRule>
    <cfRule type="cellIs" priority="1569" operator="equal">
      <formula>"s16"</formula>
    </cfRule>
  </conditionalFormatting>
  <conditionalFormatting sqref="F120 F214 F212 F210 F208 F206 F216 F136 F134 F132 F122 F124 F126 F128 F130 F138">
    <cfRule type="containsBlanks" dxfId="1" priority="1558">
      <formula>LEN(TRIM(F120))=0</formula>
    </cfRule>
  </conditionalFormatting>
  <conditionalFormatting sqref="K120 K214 K212 K210 K208 K206 K216 K136 K134 K132 K122 K124 K126 K128 K130 K138">
    <cfRule type="cellIs" dxfId="8" priority="1574" operator="equal">
      <formula>"读写 - 立即更改，立即生效"</formula>
    </cfRule>
    <cfRule type="cellIs" dxfId="9" priority="1575" operator="equal">
      <formula>"读写 - 立即更改，重启生效"</formula>
    </cfRule>
    <cfRule type="cellIs" dxfId="10" priority="1576" operator="equal">
      <formula>"读写 - 停机更改，立即生效"</formula>
    </cfRule>
  </conditionalFormatting>
  <conditionalFormatting sqref="L120 L214 L212 L210 L208 L206 L216 L136 L134 L132 L122 L124 L126 L128 L130 L138">
    <cfRule type="cellIs" dxfId="11" priority="1572" operator="equal">
      <formula>"允许保存，不可恢复"</formula>
    </cfRule>
    <cfRule type="cellIs" dxfId="12" priority="1573" operator="equal">
      <formula>"允许保存，可恢复"</formula>
    </cfRule>
  </conditionalFormatting>
  <conditionalFormatting sqref="E157 E163 E161 E159">
    <cfRule type="cellIs" dxfId="2" priority="401" operator="equal">
      <formula>"f64"</formula>
    </cfRule>
    <cfRule type="cellIs" dxfId="2" priority="402" operator="equal">
      <formula>"f64"</formula>
    </cfRule>
    <cfRule type="cellIs" dxfId="3" priority="403" operator="equal">
      <formula>"f32"</formula>
    </cfRule>
    <cfRule type="cellIs" dxfId="2" priority="404" operator="equal">
      <formula>"f64"</formula>
    </cfRule>
    <cfRule type="cellIs" dxfId="3" priority="405" operator="equal">
      <formula>"f32"</formula>
    </cfRule>
    <cfRule type="cellIs" dxfId="4" priority="406" operator="equal">
      <formula>"u64"</formula>
    </cfRule>
    <cfRule type="cellIs" dxfId="5" priority="407" operator="equal">
      <formula>"u32"</formula>
    </cfRule>
    <cfRule type="cellIs" priority="408" operator="equal">
      <formula>"u16"</formula>
    </cfRule>
    <cfRule type="cellIs" dxfId="6" priority="409" operator="equal">
      <formula>"s64"</formula>
    </cfRule>
    <cfRule type="cellIs" dxfId="7" priority="410" operator="equal">
      <formula>"s32"</formula>
    </cfRule>
    <cfRule type="cellIs" priority="411" operator="equal">
      <formula>"s16"</formula>
    </cfRule>
  </conditionalFormatting>
  <conditionalFormatting sqref="K157 K163 K161 K159">
    <cfRule type="cellIs" dxfId="8" priority="416" operator="equal">
      <formula>"读写 - 立即更改，立即生效"</formula>
    </cfRule>
    <cfRule type="cellIs" dxfId="9" priority="417" operator="equal">
      <formula>"读写 - 立即更改，重启生效"</formula>
    </cfRule>
    <cfRule type="cellIs" dxfId="10" priority="418" operator="equal">
      <formula>"读写 - 停机更改，立即生效"</formula>
    </cfRule>
  </conditionalFormatting>
  <conditionalFormatting sqref="L157 L163 L161 L159">
    <cfRule type="cellIs" dxfId="11" priority="414" operator="equal">
      <formula>"允许保存，不可恢复"</formula>
    </cfRule>
    <cfRule type="cellIs" dxfId="12" priority="415" operator="equal">
      <formula>"允许保存，可恢复"</formula>
    </cfRule>
  </conditionalFormatting>
  <conditionalFormatting sqref="E187 E199 E195">
    <cfRule type="cellIs" dxfId="2" priority="503" operator="equal">
      <formula>"f64"</formula>
    </cfRule>
    <cfRule type="cellIs" dxfId="2" priority="504" operator="equal">
      <formula>"f64"</formula>
    </cfRule>
    <cfRule type="cellIs" dxfId="3" priority="505" operator="equal">
      <formula>"f32"</formula>
    </cfRule>
    <cfRule type="cellIs" dxfId="2" priority="506" operator="equal">
      <formula>"f64"</formula>
    </cfRule>
    <cfRule type="cellIs" dxfId="3" priority="507" operator="equal">
      <formula>"f32"</formula>
    </cfRule>
    <cfRule type="cellIs" dxfId="4" priority="508" operator="equal">
      <formula>"u64"</formula>
    </cfRule>
    <cfRule type="cellIs" dxfId="5" priority="509" operator="equal">
      <formula>"u32"</formula>
    </cfRule>
    <cfRule type="cellIs" priority="510" operator="equal">
      <formula>"u16"</formula>
    </cfRule>
    <cfRule type="cellIs" dxfId="6" priority="511" operator="equal">
      <formula>"s64"</formula>
    </cfRule>
    <cfRule type="cellIs" dxfId="7" priority="512" operator="equal">
      <formula>"s32"</formula>
    </cfRule>
    <cfRule type="cellIs" priority="513" operator="equal">
      <formula>"s16"</formula>
    </cfRule>
  </conditionalFormatting>
  <conditionalFormatting sqref="F187 F199 F195">
    <cfRule type="containsBlanks" dxfId="1" priority="502">
      <formula>LEN(TRIM(F187))=0</formula>
    </cfRule>
  </conditionalFormatting>
  <conditionalFormatting sqref="K187 K199 K195">
    <cfRule type="cellIs" dxfId="8" priority="518" operator="equal">
      <formula>"读写 - 立即更改，立即生效"</formula>
    </cfRule>
    <cfRule type="cellIs" dxfId="9" priority="519" operator="equal">
      <formula>"读写 - 立即更改，重启生效"</formula>
    </cfRule>
    <cfRule type="cellIs" dxfId="10" priority="520" operator="equal">
      <formula>"读写 - 停机更改，立即生效"</formula>
    </cfRule>
  </conditionalFormatting>
  <conditionalFormatting sqref="L187 L199 L195">
    <cfRule type="cellIs" dxfId="11" priority="516" operator="equal">
      <formula>"允许保存，不可恢复"</formula>
    </cfRule>
    <cfRule type="cellIs" dxfId="12" priority="517" operator="equal">
      <formula>"允许保存，可恢复"</formula>
    </cfRule>
  </conditionalFormatting>
  <conditionalFormatting sqref="K204 K223 K221">
    <cfRule type="cellIs" dxfId="8" priority="1532" operator="equal">
      <formula>"读写 - 立即更改，立即生效"</formula>
    </cfRule>
    <cfRule type="cellIs" dxfId="9" priority="1533" operator="equal">
      <formula>"读写 - 立即更改，重启生效"</formula>
    </cfRule>
    <cfRule type="cellIs" dxfId="10" priority="1534" operator="equal">
      <formula>"读写 - 停机更改，立即生效"</formula>
    </cfRule>
  </conditionalFormatting>
  <conditionalFormatting sqref="L204 L223 L221">
    <cfRule type="cellIs" dxfId="11" priority="1530" operator="equal">
      <formula>"允许保存，不可恢复"</formula>
    </cfRule>
    <cfRule type="cellIs" dxfId="12" priority="1531" operator="equal">
      <formula>"允许保存，可恢复"</formula>
    </cfRule>
  </conditionalFormatting>
  <conditionalFormatting sqref="F221 F223">
    <cfRule type="containsBlanks" dxfId="1" priority="1516">
      <formula>LEN(TRIM(F221))=0</formula>
    </cfRule>
  </conditionalFormatting>
  <conditionalFormatting sqref="E312 E314 E316 E318 E320 E322">
    <cfRule type="cellIs" dxfId="2" priority="1819" operator="equal">
      <formula>"f64"</formula>
    </cfRule>
    <cfRule type="cellIs" dxfId="2" priority="1820" operator="equal">
      <formula>"f64"</formula>
    </cfRule>
    <cfRule type="cellIs" dxfId="3" priority="1821" operator="equal">
      <formula>"f32"</formula>
    </cfRule>
    <cfRule type="cellIs" dxfId="2" priority="1822" operator="equal">
      <formula>"f64"</formula>
    </cfRule>
    <cfRule type="cellIs" dxfId="3" priority="1823" operator="equal">
      <formula>"f32"</formula>
    </cfRule>
    <cfRule type="cellIs" dxfId="4" priority="1824" operator="equal">
      <formula>"u64"</formula>
    </cfRule>
    <cfRule type="cellIs" dxfId="5" priority="1825" operator="equal">
      <formula>"u32"</formula>
    </cfRule>
    <cfRule type="cellIs" priority="1826" operator="equal">
      <formula>"u16"</formula>
    </cfRule>
    <cfRule type="cellIs" dxfId="6" priority="1827" operator="equal">
      <formula>"s64"</formula>
    </cfRule>
    <cfRule type="cellIs" dxfId="7" priority="1828" operator="equal">
      <formula>"s32"</formula>
    </cfRule>
    <cfRule type="cellIs" priority="1829" operator="equal">
      <formula>"s16"</formula>
    </cfRule>
  </conditionalFormatting>
  <conditionalFormatting sqref="F312 F314 F316 F318 F320 F322">
    <cfRule type="containsBlanks" dxfId="1" priority="1818">
      <formula>LEN(TRIM(F312))=0</formula>
    </cfRule>
  </conditionalFormatting>
  <conditionalFormatting sqref="K312 K322">
    <cfRule type="cellIs" dxfId="8" priority="1834" operator="equal">
      <formula>"读写 - 立即更改，立即生效"</formula>
    </cfRule>
    <cfRule type="cellIs" dxfId="9" priority="1835" operator="equal">
      <formula>"读写 - 立即更改，重启生效"</formula>
    </cfRule>
    <cfRule type="cellIs" dxfId="10" priority="1836" operator="equal">
      <formula>"读写 - 停机更改，立即生效"</formula>
    </cfRule>
  </conditionalFormatting>
  <conditionalFormatting sqref="L312 L314 L322">
    <cfRule type="cellIs" dxfId="11" priority="1832" operator="equal">
      <formula>"允许保存，不可恢复"</formula>
    </cfRule>
    <cfRule type="cellIs" dxfId="12" priority="1833" operator="equal">
      <formula>"允许保存，可恢复"</formula>
    </cfRule>
  </conditionalFormatting>
  <conditionalFormatting sqref="E313 E315 E317 E319 E321 E323">
    <cfRule type="cellIs" dxfId="2" priority="1799" operator="equal">
      <formula>"f64"</formula>
    </cfRule>
    <cfRule type="cellIs" dxfId="2" priority="1800" operator="equal">
      <formula>"f64"</formula>
    </cfRule>
    <cfRule type="cellIs" dxfId="3" priority="1801" operator="equal">
      <formula>"f32"</formula>
    </cfRule>
    <cfRule type="cellIs" dxfId="2" priority="1802" operator="equal">
      <formula>"f64"</formula>
    </cfRule>
    <cfRule type="cellIs" dxfId="3" priority="1803" operator="equal">
      <formula>"f32"</formula>
    </cfRule>
    <cfRule type="cellIs" dxfId="4" priority="1804" operator="equal">
      <formula>"u64"</formula>
    </cfRule>
    <cfRule type="cellIs" dxfId="5" priority="1805" operator="equal">
      <formula>"u32"</formula>
    </cfRule>
    <cfRule type="cellIs" priority="1806" operator="equal">
      <formula>"u16"</formula>
    </cfRule>
    <cfRule type="cellIs" dxfId="6" priority="1807" operator="equal">
      <formula>"s64"</formula>
    </cfRule>
    <cfRule type="cellIs" dxfId="7" priority="1808" operator="equal">
      <formula>"s32"</formula>
    </cfRule>
    <cfRule type="cellIs" priority="1809" operator="equal">
      <formula>"s16"</formula>
    </cfRule>
  </conditionalFormatting>
  <conditionalFormatting sqref="F313 F315 F317 F319 F321 F323">
    <cfRule type="containsBlanks" dxfId="1" priority="1798">
      <formula>LEN(TRIM(F313))=0</formula>
    </cfRule>
  </conditionalFormatting>
  <conditionalFormatting sqref="K313 K317 K321 K323">
    <cfRule type="cellIs" dxfId="8" priority="1814" operator="equal">
      <formula>"读写 - 立即更改，立即生效"</formula>
    </cfRule>
    <cfRule type="cellIs" dxfId="9" priority="1815" operator="equal">
      <formula>"读写 - 立即更改，重启生效"</formula>
    </cfRule>
    <cfRule type="cellIs" dxfId="10" priority="1816" operator="equal">
      <formula>"读写 - 停机更改，立即生效"</formula>
    </cfRule>
  </conditionalFormatting>
  <conditionalFormatting sqref="L313 L315 L317 L321 L323">
    <cfRule type="cellIs" dxfId="11" priority="1812" operator="equal">
      <formula>"允许保存，不可恢复"</formula>
    </cfRule>
    <cfRule type="cellIs" dxfId="12" priority="1813" operator="equal">
      <formula>"允许保存，可恢复"</formula>
    </cfRule>
  </conditionalFormatting>
  <conditionalFormatting sqref="E356 E361 E363 E365 E367 E369 E371 E373 E375 E377 E379:E380 E358 E354">
    <cfRule type="cellIs" dxfId="2" priority="1588" operator="equal">
      <formula>"f64"</formula>
    </cfRule>
    <cfRule type="cellIs" dxfId="2" priority="1589" operator="equal">
      <formula>"f64"</formula>
    </cfRule>
    <cfRule type="cellIs" dxfId="3" priority="1590" operator="equal">
      <formula>"f32"</formula>
    </cfRule>
    <cfRule type="cellIs" dxfId="2" priority="1591" operator="equal">
      <formula>"f64"</formula>
    </cfRule>
    <cfRule type="cellIs" dxfId="3" priority="1592" operator="equal">
      <formula>"f32"</formula>
    </cfRule>
    <cfRule type="cellIs" dxfId="4" priority="1593" operator="equal">
      <formula>"u64"</formula>
    </cfRule>
    <cfRule type="cellIs" dxfId="5" priority="1594" operator="equal">
      <formula>"u32"</formula>
    </cfRule>
    <cfRule type="cellIs" priority="1595" operator="equal">
      <formula>"u16"</formula>
    </cfRule>
    <cfRule type="cellIs" dxfId="6" priority="1596" operator="equal">
      <formula>"s64"</formula>
    </cfRule>
    <cfRule type="cellIs" dxfId="7" priority="1597" operator="equal">
      <formula>"s32"</formula>
    </cfRule>
    <cfRule type="cellIs" priority="1598" operator="equal">
      <formula>"s16"</formula>
    </cfRule>
  </conditionalFormatting>
  <conditionalFormatting sqref="F356 F361 F363 F365 F367 F369 F371 F373 F375 F377 F379:F380 F358 F354">
    <cfRule type="containsBlanks" dxfId="1" priority="1587">
      <formula>LEN(TRIM(F354))=0</formula>
    </cfRule>
  </conditionalFormatting>
  <conditionalFormatting sqref="K356 K361 K363 K365 K367 K369 K371 K373 K375 K377 K379:K380 K358 K354">
    <cfRule type="cellIs" dxfId="8" priority="1603" operator="equal">
      <formula>"读写 - 立即更改，立即生效"</formula>
    </cfRule>
    <cfRule type="cellIs" dxfId="9" priority="1604" operator="equal">
      <formula>"读写 - 立即更改，重启生效"</formula>
    </cfRule>
    <cfRule type="cellIs" dxfId="10" priority="1605" operator="equal">
      <formula>"读写 - 停机更改，立即生效"</formula>
    </cfRule>
  </conditionalFormatting>
  <conditionalFormatting sqref="L356 L361 L363 L365 L367 L369 L371 L373 L375 L377 L379:L380 L358 L354">
    <cfRule type="cellIs" dxfId="11" priority="1601" operator="equal">
      <formula>"允许保存，不可恢复"</formula>
    </cfRule>
    <cfRule type="cellIs" dxfId="12" priority="1602" operator="equal">
      <formula>"允许保存，可恢复"</formula>
    </cfRule>
  </conditionalFormatting>
  <conditionalFormatting sqref="E442 E440 E438 E436 E434 E432 E430 E428 E426 E454:E455 E422 E458:E459 E446">
    <cfRule type="cellIs" dxfId="2" priority="1903" operator="equal">
      <formula>"f64"</formula>
    </cfRule>
    <cfRule type="cellIs" dxfId="2" priority="1904" operator="equal">
      <formula>"f64"</formula>
    </cfRule>
    <cfRule type="cellIs" dxfId="3" priority="1905" operator="equal">
      <formula>"f32"</formula>
    </cfRule>
    <cfRule type="cellIs" dxfId="2" priority="1906" operator="equal">
      <formula>"f64"</formula>
    </cfRule>
    <cfRule type="cellIs" dxfId="3" priority="1907" operator="equal">
      <formula>"f32"</formula>
    </cfRule>
    <cfRule type="cellIs" dxfId="4" priority="1908" operator="equal">
      <formula>"u64"</formula>
    </cfRule>
    <cfRule type="cellIs" dxfId="5" priority="1909" operator="equal">
      <formula>"u32"</formula>
    </cfRule>
    <cfRule type="cellIs" priority="1910" operator="equal">
      <formula>"u16"</formula>
    </cfRule>
    <cfRule type="cellIs" dxfId="6" priority="1911" operator="equal">
      <formula>"s64"</formula>
    </cfRule>
    <cfRule type="cellIs" dxfId="7" priority="1912" operator="equal">
      <formula>"s32"</formula>
    </cfRule>
    <cfRule type="cellIs" priority="1913" operator="equal">
      <formula>"s16"</formula>
    </cfRule>
  </conditionalFormatting>
  <conditionalFormatting sqref="F442 F440 F438 F436 F434 F432 F430 F428 F426 F455 F422 F458:F459">
    <cfRule type="containsBlanks" dxfId="1" priority="1902">
      <formula>LEN(TRIM(F422))=0</formula>
    </cfRule>
  </conditionalFormatting>
  <conditionalFormatting sqref="K442 K440 K438 K436 K434 K432 K430 K428 K426 K454:K455 K422 K458:K459">
    <cfRule type="cellIs" dxfId="8" priority="1918" operator="equal">
      <formula>"读写 - 立即更改，立即生效"</formula>
    </cfRule>
    <cfRule type="cellIs" dxfId="9" priority="1919" operator="equal">
      <formula>"读写 - 立即更改，重启生效"</formula>
    </cfRule>
    <cfRule type="cellIs" dxfId="10" priority="1920" operator="equal">
      <formula>"读写 - 停机更改，立即生效"</formula>
    </cfRule>
  </conditionalFormatting>
  <conditionalFormatting sqref="L442 L440 L438 L436 L434 L432 L430 L428 L426 L454:L455 L422 L458:L459">
    <cfRule type="cellIs" dxfId="11" priority="1916" operator="equal">
      <formula>"允许保存，不可恢复"</formula>
    </cfRule>
    <cfRule type="cellIs" dxfId="12" priority="1917" operator="equal">
      <formula>"允许保存，可恢复"</formula>
    </cfRule>
  </conditionalFormatting>
  <dataValidations count="5">
    <dataValidation type="list" allowBlank="1" showInputMessage="1" showErrorMessage="1" sqref="J5 J6 J7 J8 J12 J16 J17 J18 J19 J20 J21 J22 J23 J24 J25 J26 J27 J28 J29 J30 J31 J32 J33 J34 J35 J36 J37 J38 J39 J40 J41 J42 J54 J55 J56 J57 J58 J59 J60 J61 J62 J63 J64 J65 J66 J67 J68 J69 J70 J71 J72 J73 J74 J75 J76 J77 J78 J79 J80 J81 J82 J83 J84 J85 J86 J87 J88 J89 J90 J91 J92 J93 J94 J95 J96 J97 J98 J99 J100 J101 J102 J103 J104 J105 J106 J107 J108 J109 J110 J111 J114 J115 J116 J117 J118 J119 J120 J121 J122 J123 J124 J125 J126 J127 J128 J129 J130 J131 J132 J133 J134 J135 J136 J137 J138 J139 J140 J141 J142 J143 J144 J145 J146 J147 J148 J149 J150 J151 J152 J153 J154 J155 J156 J157 J158 J159 J160 J161 J162 J163 J164 J165 J166 J167 J168 J169 J170 J171 J172 J173 J174 J175 J176 J177 J178 J179 J180 J184 J185 J186 J187 J190 J195 J196 J197 J198 J199 J200 J201 J202 J203 J204 J205 J206 J207 J208 J209 J210 J211 J212 J213 J214 J215 J216 J217 J218 J219 J220 J221 J222 J223 J224 J225 J226 J227 J228 J229 J230 J231 J232 J233 J234 J235 J236 J237 J238 J239 J240 J241 J242 J243 J244 J245 J246 J247 J248 J249 J250 J251 J252 J253 J254 J255 J256 J257 J258 J259 J260 J261 J262 J263 J264 J265 J266 J267 J268 J269 J270 J271 J278 J279 J280 J281 J282 J283 J284 J285 J286 J287 J288 J293 J294 J295 J296 J297 J298 J299 J300 J301 J302 J303 J304 J305 J306 J307 J308 J309 J310 J311 J312 J313 J314 J315 J316 J317 J318 J319 J320 J321 J322 J323 J324 J325 J326 J329 J330 J331 J332 J333 J334 J335 J336 J337 J354 J355 J356 J357 J358 J359 J360 J361 J362 J363 J364 J365 J366 J367 J368 J369 J370 J371 J372 J373 J374 J375 J376 J377 J378 J379 J380 J381 J382 J383 J384 J385 J386 J387 J388 J389 J390 J391 J392 J393 J394 J395 J404 J421 J422 J423 J424 J425 J426 J427 J428 J429 J430 J431 J432 J433 J434 J435 J436 J437 J438 J439 J440 J441 J442 J443 J444 J445 J446 J447 J448 J449 J450 J451 J452 J453 J454 J455 J456 J457 J458 J459 J460 J461 J462 J463 J480 J481 J552 J553 J554 J555 J556 J557 J558 J559 J560 J9:J11 J13:J15 J43:J53 J112:J113 J181:J183 J188:J189 J191:J194 J272:J274 J275:J277 J289:J292 J327:J328 J338:J353 J396:J397 J398:J399 J400:J401 J402:J403 J405:J420 J464:J479 J482:J483 J484:J523 J524:J551">
      <formula1>Unit!$A$2:$A$62</formula1>
    </dataValidation>
    <dataValidation type="list" allowBlank="1" showInputMessage="1" showErrorMessage="1" sqref="E5 E6 E7 E8 E15 E16 E17 E18 E19 E20 E21 E22 E23 E24 E25 E26 E27 E28 E29 E30 E31 E32 E33 E34 E35 E36 E37 E38 E39 E40 E41 E42 E43 E53 E54 E55 E56 E57 E58 E59 E60 E61 E67 E68 E69 E70 E71 E72 E73 E74 E75 E76 E77 E78 E79 E80 E81 E82 E83 E84 E85 E86 E87 E88 E89 E90 E91 E92 E93 E94 E95 E96 E97 E98 E99 E100 E101 E102 E103 E104 E105 E106 E107 E114 E115 E116 E117 E118 E119 E120 E121 E122 E123 E124 E125 E126 E127 E128 E129 E130 E131 E132 E133 E134 E135 E136 E137 E138 E139 E140 E141 E142 E148 E149 E150 E151 E152 E153 E154 E155 E156 E157 E158 E159 E160 E161 E162 E163 E164 E165 E166 E167 E168 E169 E170 E171 E172 E173 E174 E175 E176 E177 E178 E179 E180 E184 E185 E186 E187 E190 E195 E199 E200 E201 E202 E203 E204 E205 E219 E220 E221 E222 E223 E224 E225 E226 E227 E228 E229 E230 E231 E232 E233 E234 E235 E236 E237 E238 E239 E240 E241 E242 E243 E244 E245 E246 E247 E248 E249 E250 E251 E252 E253 E254 E255 E256 E257 E258 E259 E260 E261 E262 E271 E272 E273 E274 E275 E276 E277 E278 E279 E280 E281 E282 E283 E284 E293 E294 E295 E296 E297 E298 E299 E300 E301 E302 E303 E304 E305 E306 E307 E308 E309 E310 E311 E312 E313 E314 E315 E316 E317 E318 E319 E320 E321 E322 E323 E324 E325 E326 E327 E328 E329 E330 E331 E332 E333 E334 E335 E336 E354 E355 E356 E357 E358 E359 E360 E361 E362 E363 E364 E365 E366 E367 E368 E369 E370 E371 E372 E373 E374 E375 E376 E377 E378 E379 E380 E381 E382 E383 E384 E385 E386 E387 E388 E389 E390 E391 E392 E393 E404 E421 E422 E423 E424 E425 E426 E427 E428 E429 E430 E431 E432 E433 E434 E435 E436 E437 E438 E439 E440 E441 E442 E443 E446 E447 E448 E452 E453 E454 E455 E456 E457 E458 E459 E460 E461 E462 E463 E480 E481 E552 E553 E554 E555 E556 E557 E558 E559 E560 E9:E12 E13:E14 E44:E46 E47:E48 E49:E50 E51:E52 E62:E66 E108:E113 E143:E147 E181:E183 E188:E189 E191:E194 E196:E198 E206:E218 E263:E264 E265:E270 E285:E292 E337:E353 E394:E403 E405:E420 E444:E445 E449:E451 E464:E479 E482:E483 E484:E523 E524:E551">
      <formula1>"s16,u16,s32,u32,s64,u64,f32,f64"</formula1>
    </dataValidation>
    <dataValidation type="list" allowBlank="1" showInputMessage="1" showErrorMessage="1" sqref="M5 M6 M7 M8 T9 M15 M16 M17 M24 M25 M26 M27 M28 M29 M30 M31 M32 M33 M34 M35 M36 M37 M38 M39 M40 M41 M42 M43 M44 M53 M54 M55 M56 M57 M58 M59 M60 M61 M62 M63 M64 M65 M66 M67 M68 M69 M70 M71 M72 M73 M74 M75 M76 M77 M78 M79 M80 M81 M82 M83 M84 M85 M86 M87 M88 M89 M90 M91 M92 M93 M94 M95 M96 M97 M98 M99 M100 M101 M102 M103 M104 M105 M106 M107 M108 M109 M110 M111 M114 M115 M116 M117 M118 M119 M120 M121 M122 M123 M124 M125 M126 M127 M128 M129 M130 M131 M132 M133 M134 M135 M136 M137 M138 M139 M140 M141 M142 M143 M144 M145 M146 M147 M148 M149 M150 M151 M152 M153 M156 M157 M158 M159 M160 M161 M162 M163 M164 M165 M166 M167 M168 M169 M170 M171 M172 M173 M174 M175 M176 M177 M178 M179 M180 M184 M185 M186 M187 M190 M195 M199 M200 M201 M202 M203 M204 M205 M206 M207 M208 M209 M210 M211 M212 M213 M214 M215 M216 M217 M218 M219 M220 M221 M222 M223 M224 M225 M226 M227 M228 M229 M230 M231 M232 M233 M234 M235 M236 M237 M238 M239 M240 M241 M242 M243 M244 M245 M246 M247 M248 M249 M250 M251 M252 M253 M254 M255 M256 M257 M258 M259 M260 M261 M262 M263 M264 M265 M266 M267 M268 M269 M270 M271 M272 M273 M274 M275 M276 M277 M278 M279 M280 M281 M282 M283 M284 M293 M294 M295 M296 M297 M298 M299 M300 M301 M302 M303 M304 M305 M306 M307 M308 M309 M310 M311 M312 M313 M314 M315 M316 M317 M318 M319 M320 M321 M322 M323 M324 M325 M326 M327 M328 M329 M330 M331 M332 M333 M334 M335 M336 M354 M355 M356 M357 M358 M359 M360 M361 M362 M363 M364 M365 M366 M367 M368 M369 M370 M371 M372 M373 M374 M375 M376 M377 M378 M379 M380 M381 M382 M383 M384 M385 M386 M387 M388 M389 M390 M391 M392 M393 M404 M421 M422 M423 M424 M425 M426 M427 M428 M429 M430 M431 M432 M433 M434 M435 M436 M437 M438 M439 M440 M441 M442 M443 M444 M445 M446 M447 M448 M452 M453 M454 M455 M456 M457 M458 M459 M462 M463 M480 M481 M553 M554 M555 M556 M557 M558 M559 M560 M9:M12 M13:M14 M18:M23 M45:M46 M47:M48 M49:M50 M51:M52 M112:M113 M154:M155 M181:M183 M188:M189 M191:M194 M196:M198 M285:M292 M337:M353 M394:M397 M398:M399 M400:M401 M402:M403 M405:M420 M449:M451 M460:M461 M464:M479 M482:M552 N482:N483 N484:N523 N524:N551">
      <formula1>"Admin,User,Anyone"</formula1>
    </dataValidation>
    <dataValidation type="list" allowBlank="1" showInputMessage="1" showErrorMessage="1" sqref="K5 K6 K7 K8 K16 K17 K24 K25 K26 K27 K28 K29 K30 K31 K32 K33 K34 K35 K36 K37 K38 K39 K40 K41 K42 K43 K44 K53 K54 K55 K60 K61 K62 K63 K64 K65 K66 K67 K68 K69 K70 K71 K72 K73 K74 K75 K76 K77 K78 K79 K80 K81 K82 K83 K84 K85 K86 K87 K88 K89 K90 K91 K92 K93 K94 K95 K96 K97 K98 K99 K100 K101 K102 K103 K104 K105 K106 K107 K108 K109 K110 K111 K114 K115 K116 K117 K118 K119 K120 K121 K122 K123 K124 K125 K126 K127 K128 K129 K130 K131 K132 K133 K134 K135 K136 K137 K138 K139 K140 K141 K142 K143 K144 K145 K146 K147 K148 K149 K150 K151 K152 K153 K154 K155 K156 K157 K158 K159 K160 K161 K162 K163 K164 K165 K166 K167 K168 K169 K170 K171 K172 K173 K174 K175 K176 K177 K178 K179 K180 K184 K185 K186 K187 K190 K195 K199 K200 K201 K202 K203 K204 K205 K206 K207 K208 K209 K210 K211 K212 K213 K214 K215 K216 K217 K218 K219 K220 K221 K222 K223 K224 K225 K226 K227 K228 K229 K230 K231 K232 K233 K234 K235 K236 K237 K238 K239 K240 K241 K242 K243 K244 K245 K246 K247 K248 K249 K250 K251 K252 K253 K254 K255 K256 K257 K258 K259 K260 K261 K262 K263 K264 K265 K266 K267 K268 K269 K270 K271 K272 K273 K274 K275 K276 K277 K278 K279 K280 K281 K282 K283 K284 K293 K294 K295 K296 K297 K298 K299 K300 K301 K302 K303 K304 K305 K306 K307 K308 K309 K310 K311 K312 K313 K314 K315 K316 K317 K318 K319 K320 K321 K322 K323 K324 K325 K326 K327 K328 K329 K330 K333 K337 K354 K355 K356 K357 K358 K359 K360 K361 K362 K363 K364 K365 K366 K367 K368 K369 K370 K371 K372 K373 K374 K375 K376 K377 K378 K379 K380 K381 K382 K383 K384 K385 K388 K389 K390 K391 K392 K393 K397 K404 K405 K406 K407 K408 K409 K410 K411 K412 K413 K414 K415 K416 K417 K418 K419 K420 K421 K422 K423 K424 K425 K426 K427 K428 K429 K430 K431 K432 K433 K434 K435 K436 K437 K438 K439 K440 K441 K442 K443 K444 K445 K446 K447 K448 K452 K453 K454 K455 K456 K457 K458 K459 K460 K461 K462 K463 K480 K481 K552 K553 K554 K555 K556 K557 K558 K559 K560 K9:K12 K13:K15 K18:K23 K45:K46 K47:K48 K49:K50 K51:K52 K56:K57 K58:K59 K112:K113 K181:K183 K188:K189 K191:K194 K196:K198 K285:K292 K331:K332 K334:K336 K338:K353 K386:K387 K394:K396 K398:K399 K400:K401 K402:K403 K449:K451 K464:K479 K482:K483 K484:K523 K524:K551">
      <formula1>"只读,读写 - 立即更改，立即生效,读写 - 立即更改，重启生效,读写 - 停机更改，立即生效"</formula1>
    </dataValidation>
    <dataValidation type="list" allowBlank="1" showInputMessage="1" showErrorMessage="1" sqref="L5 L6 L7 L29 L30 L31 L32 L33 L34 L35 L36 L37 L38 L39 L40 L41 L42 L43 L44 L53 L54 L55 L56 L57 L58 L59 L60 L67 L68 L69 L70 L71 L72 L73 L74 L75 L76 L77 L78 L79 L80 L81 L82 L83 L84 L85 L86 L87 L88 L89 L90 L91 L92 L93 L94 L95 L96 L97 L98 L99 L100 L101 L102 L103 L104 L105 L106 L107 L108 L109 L110 L111 L114 L115 L116 L117 L118 L119 L120 L121 L122 L123 L124 L125 L126 L127 L128 L129 L130 L131 L132 L133 L134 L135 L136 L137 L138 L139 L140 L141 L142 L143 L144 L145 L146 L147 L148 L149 L150 L151 L152 L153 L154 L155 L156 L157 L158 L159 L160 L161 L162 L163 L164 L165 L166 L167 L168 L169 L170 L171 L172 L173 L174 L175 L176 L177 L178 L179 L180 L184 L185 L186 L187 L190 L195 L199 L200 L201 L202 L203 L204 L205 L206 L207 L208 L209 L210 L211 L212 L213 L214 L215 L216 L217 L218 L219 L220 L221 L222 L223 L224 L225 L226 L227 L228 L229 L230 L231 L232 L233 L234 L235 L236 L237 L238 L239 L240 L241 L242 L243 L244 L245 L246 L247 L248 L249 L250 L251 L252 L253 L254 L255 L256 L257 L258 L259 L260 L261 L262 L263 L264 L265 L266 L267 L268 L269 L270 L271 L272 L273 L274 L275 L276 L277 L278 L279 L280 L281 L282 L283 L284 L293 L294 L295 L296 L297 L298 L299 L300 L301 L302 L303 L304 L305 L306 L307 L308 L309 L310 L311 L312 L313 L314 L315 L316 L317 L318 L319 L320 L321 L322 L323 L324 L325 L329 L330 L333 L337 L354 L355 L356 L357 L358 L359 L360 L361 L362 L363 L364 L365 L366 L367 L368 L369 L370 L371 L372 L373 L374 L375 L376 L377 L378 L379 L380 L381 L382 L383 L384 L385 L388 L389 L390 L391 L392 L393 L397 L404 L405 L406 L407 L408 L409 L410 L411 L412 L413 L414 L415 L416 L417 L418 L419 L420 L421 L422 L423 L424 L425 L426 L427 L428 L429 L430 L431 L432 L433 L434 L435 L436 L437 L438 L439 L440 L441 L442 L443 L444 L445 L446 L447 L448 L452 L453 L454 L455 L456 L457 L458 L459 L460 L461 L462 L463 L480 L481 L553 L554 L555 L556 L557 L558 L559 L560 L8:L28 L45:L46 L47:L48 L49:L50 L51:L52 L61:L66 L112:L113 L181:L183 L188:L189 L191:L194 L196:L198 L285:L292 L326:L328 L331:L332 L334:L336 L338:L353 L386:L387 L394:L396 L398:L399 L400:L401 L402:L403 L449:L451 L464:L479 L482:L552">
      <formula1>"允许保存，可恢复,允许保存，不可恢复,不允许保存，不可恢复"</formula1>
    </dataValidation>
  </dataValidations>
  <pageMargins left="0.700694444444445" right="0.700694444444445" top="0.751388888888889" bottom="0.751388888888889" header="0.298611111111111" footer="0.298611111111111"/>
  <pageSetup paperSize="8" scale="10" orientation="portrait" horizontalDpi="600"/>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62"/>
  <sheetViews>
    <sheetView topLeftCell="A10" workbookViewId="0">
      <selection activeCell="I4" sqref="I4"/>
    </sheetView>
  </sheetViews>
  <sheetFormatPr defaultColWidth="9" defaultRowHeight="14.4" outlineLevelCol="2"/>
  <cols>
    <col min="1" max="1" width="14" style="2" customWidth="1"/>
    <col min="2" max="2" width="9" style="2"/>
    <col min="3" max="16384" width="9" style="3"/>
  </cols>
  <sheetData>
    <row r="1" spans="1:1">
      <c r="A1" s="4" t="s">
        <v>1257</v>
      </c>
    </row>
    <row r="2" spans="1:3">
      <c r="A2" s="5" t="s">
        <v>25</v>
      </c>
      <c r="B2" s="5" t="s">
        <v>1258</v>
      </c>
      <c r="C2" s="6"/>
    </row>
    <row r="3" spans="1:3">
      <c r="A3" s="5" t="s">
        <v>1259</v>
      </c>
      <c r="B3" s="2" t="s">
        <v>1260</v>
      </c>
      <c r="C3" s="6"/>
    </row>
    <row r="4" spans="1:3">
      <c r="A4" s="5" t="s">
        <v>1261</v>
      </c>
      <c r="C4" s="6"/>
    </row>
    <row r="5" spans="1:3">
      <c r="A5" s="5" t="s">
        <v>125</v>
      </c>
      <c r="C5" s="6"/>
    </row>
    <row r="6" spans="1:3">
      <c r="A6" s="5" t="s">
        <v>501</v>
      </c>
      <c r="B6" s="2" t="s">
        <v>1262</v>
      </c>
      <c r="C6" s="6"/>
    </row>
    <row r="7" spans="1:3">
      <c r="A7" s="5" t="s">
        <v>130</v>
      </c>
      <c r="C7" s="6"/>
    </row>
    <row r="8" spans="1:3">
      <c r="A8" s="5" t="s">
        <v>1263</v>
      </c>
      <c r="C8" s="6"/>
    </row>
    <row r="9" spans="1:3">
      <c r="A9" s="5" t="s">
        <v>517</v>
      </c>
      <c r="C9" s="6"/>
    </row>
    <row r="10" spans="1:3">
      <c r="A10" s="5" t="s">
        <v>722</v>
      </c>
      <c r="C10" s="6"/>
    </row>
    <row r="11" spans="1:3">
      <c r="A11" s="5" t="s">
        <v>814</v>
      </c>
      <c r="C11" s="6"/>
    </row>
    <row r="12" spans="1:3">
      <c r="A12" s="5" t="s">
        <v>552</v>
      </c>
      <c r="C12" s="6"/>
    </row>
    <row r="13" spans="1:3">
      <c r="A13" s="5" t="s">
        <v>145</v>
      </c>
      <c r="C13" s="6"/>
    </row>
    <row r="14" spans="1:3">
      <c r="A14" s="5" t="s">
        <v>1264</v>
      </c>
      <c r="C14" s="6"/>
    </row>
    <row r="15" spans="1:3">
      <c r="A15" s="5" t="s">
        <v>1265</v>
      </c>
      <c r="C15" s="6"/>
    </row>
    <row r="16" spans="1:3">
      <c r="A16" s="5" t="s">
        <v>1266</v>
      </c>
      <c r="C16" s="6"/>
    </row>
    <row r="17" spans="1:3">
      <c r="A17" s="5" t="s">
        <v>1267</v>
      </c>
      <c r="C17" s="6"/>
    </row>
    <row r="18" spans="1:3">
      <c r="A18" s="5" t="s">
        <v>1268</v>
      </c>
      <c r="C18" s="6"/>
    </row>
    <row r="19" spans="1:3">
      <c r="A19" s="5" t="s">
        <v>1269</v>
      </c>
      <c r="B19" s="2" t="s">
        <v>1270</v>
      </c>
      <c r="C19" s="6"/>
    </row>
    <row r="20" spans="1:3">
      <c r="A20" s="5" t="s">
        <v>1271</v>
      </c>
      <c r="B20" s="2" t="s">
        <v>1270</v>
      </c>
      <c r="C20" s="6"/>
    </row>
    <row r="21" spans="1:3">
      <c r="A21" s="5" t="s">
        <v>1272</v>
      </c>
      <c r="B21" s="2" t="s">
        <v>1273</v>
      </c>
      <c r="C21" s="6"/>
    </row>
    <row r="22" spans="1:3">
      <c r="A22" s="5" t="s">
        <v>512</v>
      </c>
      <c r="C22" s="6"/>
    </row>
    <row r="23" spans="1:3">
      <c r="A23" s="5" t="s">
        <v>1274</v>
      </c>
      <c r="B23" s="2" t="s">
        <v>1275</v>
      </c>
      <c r="C23" s="6"/>
    </row>
    <row r="24" spans="1:3">
      <c r="A24" s="5" t="s">
        <v>1276</v>
      </c>
      <c r="B24" s="2" t="s">
        <v>1277</v>
      </c>
      <c r="C24" s="6"/>
    </row>
    <row r="25" spans="1:3">
      <c r="A25" s="5" t="s">
        <v>505</v>
      </c>
      <c r="C25" s="6"/>
    </row>
    <row r="26" spans="1:3">
      <c r="A26" s="5" t="s">
        <v>1278</v>
      </c>
      <c r="B26" s="2" t="s">
        <v>1279</v>
      </c>
      <c r="C26" s="6"/>
    </row>
    <row r="27" spans="1:3">
      <c r="A27" s="5" t="s">
        <v>1280</v>
      </c>
      <c r="B27" s="2" t="s">
        <v>1281</v>
      </c>
      <c r="C27" s="6"/>
    </row>
    <row r="28" spans="1:3">
      <c r="A28" s="5" t="s">
        <v>486</v>
      </c>
      <c r="B28" s="2" t="s">
        <v>1282</v>
      </c>
      <c r="C28" s="6"/>
    </row>
    <row r="29" spans="1:3">
      <c r="A29" s="5" t="s">
        <v>1283</v>
      </c>
      <c r="B29" s="2" t="s">
        <v>1284</v>
      </c>
      <c r="C29" s="6"/>
    </row>
    <row r="30" spans="1:3">
      <c r="A30" s="5" t="s">
        <v>489</v>
      </c>
      <c r="C30" s="6"/>
    </row>
    <row r="31" spans="1:3">
      <c r="A31" s="5" t="s">
        <v>1285</v>
      </c>
      <c r="B31" s="2" t="s">
        <v>1286</v>
      </c>
      <c r="C31" s="6"/>
    </row>
    <row r="32" spans="1:3">
      <c r="A32" s="5" t="s">
        <v>1287</v>
      </c>
      <c r="C32" s="6"/>
    </row>
    <row r="33" spans="1:3">
      <c r="A33" s="5" t="s">
        <v>1288</v>
      </c>
      <c r="B33" s="2" t="s">
        <v>1289</v>
      </c>
      <c r="C33" s="6"/>
    </row>
    <row r="34" spans="1:3">
      <c r="A34" s="5" t="s">
        <v>1290</v>
      </c>
      <c r="B34" s="2" t="s">
        <v>1291</v>
      </c>
      <c r="C34" s="6"/>
    </row>
    <row r="35" spans="1:3">
      <c r="A35" s="5" t="s">
        <v>1292</v>
      </c>
      <c r="C35" s="6"/>
    </row>
    <row r="36" spans="1:3">
      <c r="A36" s="5" t="s">
        <v>173</v>
      </c>
      <c r="B36" s="2" t="s">
        <v>1293</v>
      </c>
      <c r="C36" s="6"/>
    </row>
    <row r="37" spans="1:3">
      <c r="A37" s="5" t="s">
        <v>1294</v>
      </c>
      <c r="C37" s="6"/>
    </row>
    <row r="38" spans="1:3">
      <c r="A38" s="5" t="s">
        <v>498</v>
      </c>
      <c r="C38" s="6"/>
    </row>
    <row r="39" spans="1:3">
      <c r="A39" s="5" t="s">
        <v>1295</v>
      </c>
      <c r="B39" s="2" t="s">
        <v>1296</v>
      </c>
      <c r="C39" s="6"/>
    </row>
    <row r="40" spans="1:3">
      <c r="A40" s="5" t="s">
        <v>558</v>
      </c>
      <c r="B40" s="2" t="s">
        <v>1296</v>
      </c>
      <c r="C40" s="6"/>
    </row>
    <row r="41" spans="1:3">
      <c r="A41" s="5" t="s">
        <v>1297</v>
      </c>
      <c r="B41" s="2" t="s">
        <v>1298</v>
      </c>
      <c r="C41" s="6"/>
    </row>
    <row r="42" spans="1:3">
      <c r="A42" s="5" t="s">
        <v>483</v>
      </c>
      <c r="C42" s="6"/>
    </row>
    <row r="43" spans="1:3">
      <c r="A43" s="5" t="s">
        <v>254</v>
      </c>
      <c r="B43" s="2" t="s">
        <v>1299</v>
      </c>
      <c r="C43" s="6"/>
    </row>
    <row r="44" spans="1:3">
      <c r="A44" s="5" t="s">
        <v>90</v>
      </c>
      <c r="B44" s="2" t="s">
        <v>1300</v>
      </c>
      <c r="C44" s="6"/>
    </row>
    <row r="45" spans="1:3">
      <c r="A45" s="5" t="s">
        <v>1301</v>
      </c>
      <c r="C45" s="6"/>
    </row>
    <row r="46" spans="1:3">
      <c r="A46" s="5" t="s">
        <v>522</v>
      </c>
      <c r="B46" s="2" t="s">
        <v>1302</v>
      </c>
      <c r="C46" s="6"/>
    </row>
    <row r="47" spans="1:3">
      <c r="A47" s="5" t="s">
        <v>1303</v>
      </c>
      <c r="B47" s="2" t="s">
        <v>1304</v>
      </c>
      <c r="C47" s="6"/>
    </row>
    <row r="48" spans="1:3">
      <c r="A48" s="5" t="s">
        <v>1305</v>
      </c>
      <c r="B48" s="2" t="s">
        <v>1306</v>
      </c>
      <c r="C48" s="6"/>
    </row>
    <row r="49" spans="1:3">
      <c r="A49" s="5" t="s">
        <v>1307</v>
      </c>
      <c r="B49" s="2" t="s">
        <v>1308</v>
      </c>
      <c r="C49" s="6"/>
    </row>
    <row r="50" spans="1:3">
      <c r="A50" s="5" t="s">
        <v>1309</v>
      </c>
      <c r="C50" s="6"/>
    </row>
    <row r="51" spans="1:3">
      <c r="A51" s="5" t="s">
        <v>1310</v>
      </c>
      <c r="B51" s="2" t="s">
        <v>1311</v>
      </c>
      <c r="C51" s="6"/>
    </row>
    <row r="52" spans="1:3">
      <c r="A52" s="5" t="s">
        <v>1312</v>
      </c>
      <c r="C52" s="6"/>
    </row>
    <row r="53" spans="1:3">
      <c r="A53" s="5" t="s">
        <v>1313</v>
      </c>
      <c r="C53" s="6"/>
    </row>
    <row r="54" spans="1:3">
      <c r="A54" s="5" t="s">
        <v>1314</v>
      </c>
      <c r="C54" s="6"/>
    </row>
    <row r="55" spans="1:3">
      <c r="A55" s="5" t="s">
        <v>1315</v>
      </c>
      <c r="C55" s="6"/>
    </row>
    <row r="56" spans="1:3">
      <c r="A56" s="5" t="s">
        <v>1316</v>
      </c>
      <c r="C56" s="6"/>
    </row>
    <row r="57" spans="1:3">
      <c r="A57" s="5" t="s">
        <v>1317</v>
      </c>
      <c r="B57" s="2" t="s">
        <v>1318</v>
      </c>
      <c r="C57" s="6"/>
    </row>
    <row r="58" spans="1:3">
      <c r="A58" s="5" t="s">
        <v>439</v>
      </c>
      <c r="B58" s="2" t="s">
        <v>1319</v>
      </c>
      <c r="C58" s="6"/>
    </row>
    <row r="59" spans="1:3">
      <c r="A59" s="5" t="s">
        <v>689</v>
      </c>
      <c r="C59" s="6"/>
    </row>
    <row r="60" spans="1:3">
      <c r="A60" s="5" t="s">
        <v>694</v>
      </c>
      <c r="B60" s="2" t="s">
        <v>1320</v>
      </c>
      <c r="C60" s="6"/>
    </row>
    <row r="61" spans="1:3">
      <c r="A61" s="5" t="s">
        <v>420</v>
      </c>
      <c r="B61" s="2" t="s">
        <v>1321</v>
      </c>
      <c r="C61" s="6"/>
    </row>
    <row r="62" spans="1:2">
      <c r="A62" s="5" t="s">
        <v>1322</v>
      </c>
      <c r="B62" s="2" t="s">
        <v>1321</v>
      </c>
    </row>
  </sheetData>
  <pageMargins left="0.7" right="0.7" top="0.75" bottom="0.75" header="0.3" footer="0.3"/>
  <pageSetup paperSize="9" orientation="portrait"/>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I4" sqref="I4"/>
    </sheetView>
  </sheetViews>
  <sheetFormatPr defaultColWidth="8.88888888888889" defaultRowHeight="14.4"/>
  <cols>
    <col min="1" max="16384" width="8.88888888888889" style="1"/>
  </cols>
  <sheetData/>
  <pageMargins left="0.75" right="0.75" top="1" bottom="1" header="0.5" footer="0.5"/>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I4" sqref="I4"/>
    </sheetView>
  </sheetViews>
  <sheetFormatPr defaultColWidth="8.88888888888889" defaultRowHeight="14.4"/>
  <cols>
    <col min="1" max="16384" width="8.88888888888889" style="1"/>
  </cols>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5</vt:i4>
      </vt:variant>
    </vt:vector>
  </HeadingPairs>
  <TitlesOfParts>
    <vt:vector size="5" baseType="lpstr">
      <vt:lpstr>Device</vt:lpstr>
      <vt:lpstr>Axis</vt:lpstr>
      <vt:lpstr>Unit</vt:lpstr>
      <vt:lpstr>Sheet2</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RPC1</dc:creator>
  <cp:lastModifiedBy>uYanki</cp:lastModifiedBy>
  <dcterms:created xsi:type="dcterms:W3CDTF">2015-01-15T16:55:00Z</dcterms:created>
  <dcterms:modified xsi:type="dcterms:W3CDTF">2025-01-11T11:36:14Z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E1123B6F8F5C4BA2A48F8C73712B1072</vt:lpwstr>
  </property>
  <property fmtid="{D5CDD505-2E9C-101B-9397-08002B2CF9AE}" pid="3" name="KSOProductBuildVer">
    <vt:lpwstr>2052-11.1.0.11365</vt:lpwstr>
  </property>
</Properties>
</file>